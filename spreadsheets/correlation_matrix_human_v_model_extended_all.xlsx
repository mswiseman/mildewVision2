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 User\Downloads\"/>
    </mc:Choice>
  </mc:AlternateContent>
  <xr:revisionPtr revIDLastSave="0" documentId="13_ncr:1_{BA97694B-FCE2-4FF5-AA6C-E428141E2C75}" xr6:coauthVersionLast="47" xr6:coauthVersionMax="47" xr10:uidLastSave="{00000000-0000-0000-0000-000000000000}"/>
  <bookViews>
    <workbookView xWindow="11175" yWindow="555" windowWidth="24915" windowHeight="180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Sheet1!$A$1:$X$3055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4" i="2" l="1"/>
  <c r="H1054" i="2"/>
  <c r="G1054" i="2"/>
  <c r="J1053" i="2"/>
  <c r="H1053" i="2"/>
  <c r="G1053" i="2"/>
  <c r="J1052" i="2"/>
  <c r="H1052" i="2"/>
  <c r="G1052" i="2"/>
  <c r="J1051" i="2"/>
  <c r="H1051" i="2"/>
  <c r="G1051" i="2"/>
  <c r="J1050" i="2"/>
  <c r="H1050" i="2"/>
  <c r="G1050" i="2"/>
  <c r="J1049" i="2"/>
  <c r="H1049" i="2"/>
  <c r="G1049" i="2"/>
  <c r="J1048" i="2"/>
  <c r="H1048" i="2"/>
  <c r="G1048" i="2"/>
  <c r="J1047" i="2"/>
  <c r="H1047" i="2"/>
  <c r="G1047" i="2"/>
  <c r="J1046" i="2"/>
  <c r="H1046" i="2"/>
  <c r="G1046" i="2"/>
  <c r="J1045" i="2"/>
  <c r="H1045" i="2"/>
  <c r="G1045" i="2"/>
  <c r="J1044" i="2"/>
  <c r="H1044" i="2"/>
  <c r="G1044" i="2"/>
  <c r="J1043" i="2"/>
  <c r="H1043" i="2"/>
  <c r="G1043" i="2"/>
  <c r="J1042" i="2"/>
  <c r="H1042" i="2"/>
  <c r="G1042" i="2"/>
  <c r="J1041" i="2"/>
  <c r="H1041" i="2"/>
  <c r="G1041" i="2"/>
  <c r="J1040" i="2"/>
  <c r="H1040" i="2"/>
  <c r="G1040" i="2"/>
  <c r="J1039" i="2"/>
  <c r="H1039" i="2"/>
  <c r="G1039" i="2"/>
  <c r="J1038" i="2"/>
  <c r="H1038" i="2"/>
  <c r="G1038" i="2"/>
  <c r="J1037" i="2"/>
  <c r="H1037" i="2"/>
  <c r="G1037" i="2"/>
  <c r="J1036" i="2"/>
  <c r="H1036" i="2"/>
  <c r="G1036" i="2"/>
  <c r="J1035" i="2"/>
  <c r="H1035" i="2"/>
  <c r="G1035" i="2"/>
  <c r="J1034" i="2"/>
  <c r="H1034" i="2"/>
  <c r="G1034" i="2"/>
  <c r="J1033" i="2"/>
  <c r="H1033" i="2"/>
  <c r="G1033" i="2"/>
  <c r="J1032" i="2"/>
  <c r="H1032" i="2"/>
  <c r="G1032" i="2"/>
  <c r="J1031" i="2"/>
  <c r="H1031" i="2"/>
  <c r="G1031" i="2"/>
  <c r="J1030" i="2"/>
  <c r="H1030" i="2"/>
  <c r="G1030" i="2"/>
  <c r="J1029" i="2"/>
  <c r="H1029" i="2"/>
  <c r="G1029" i="2"/>
  <c r="J1028" i="2"/>
  <c r="H1028" i="2"/>
  <c r="G1028" i="2"/>
  <c r="J1027" i="2"/>
  <c r="H1027" i="2"/>
  <c r="G1027" i="2"/>
  <c r="J1026" i="2"/>
  <c r="H1026" i="2"/>
  <c r="G1026" i="2"/>
  <c r="J1025" i="2"/>
  <c r="H1025" i="2"/>
  <c r="G1025" i="2"/>
  <c r="J1024" i="2"/>
  <c r="H1024" i="2"/>
  <c r="G1024" i="2"/>
  <c r="J1023" i="2"/>
  <c r="H1023" i="2"/>
  <c r="G1023" i="2"/>
  <c r="J1022" i="2"/>
  <c r="H1022" i="2"/>
  <c r="G1022" i="2"/>
  <c r="J1021" i="2"/>
  <c r="H1021" i="2"/>
  <c r="G1021" i="2"/>
  <c r="J1020" i="2"/>
  <c r="H1020" i="2"/>
  <c r="G1020" i="2"/>
  <c r="J1019" i="2"/>
  <c r="H1019" i="2"/>
  <c r="G1019" i="2"/>
  <c r="J1018" i="2"/>
  <c r="H1018" i="2"/>
  <c r="G1018" i="2"/>
  <c r="J1017" i="2"/>
  <c r="H1017" i="2"/>
  <c r="G1017" i="2"/>
  <c r="J1016" i="2"/>
  <c r="H1016" i="2"/>
  <c r="G1016" i="2"/>
  <c r="J1015" i="2"/>
  <c r="H1015" i="2"/>
  <c r="G1015" i="2"/>
  <c r="J1014" i="2"/>
  <c r="H1014" i="2"/>
  <c r="G1014" i="2"/>
  <c r="J1013" i="2"/>
  <c r="H1013" i="2"/>
  <c r="G1013" i="2"/>
  <c r="J1012" i="2"/>
  <c r="H1012" i="2"/>
  <c r="G1012" i="2"/>
  <c r="J1011" i="2"/>
  <c r="H1011" i="2"/>
  <c r="G1011" i="2"/>
  <c r="J1010" i="2"/>
  <c r="H1010" i="2"/>
  <c r="G1010" i="2"/>
  <c r="J1009" i="2"/>
  <c r="H1009" i="2"/>
  <c r="G1009" i="2"/>
  <c r="J1008" i="2"/>
  <c r="H1008" i="2"/>
  <c r="G1008" i="2"/>
  <c r="J1007" i="2"/>
  <c r="H1007" i="2"/>
  <c r="G1007" i="2"/>
  <c r="J1006" i="2"/>
  <c r="H1006" i="2"/>
  <c r="G1006" i="2"/>
  <c r="J1005" i="2"/>
  <c r="H1005" i="2"/>
  <c r="G1005" i="2"/>
  <c r="J1004" i="2"/>
  <c r="H1004" i="2"/>
  <c r="G1004" i="2"/>
  <c r="J1003" i="2"/>
  <c r="H1003" i="2"/>
  <c r="G1003" i="2"/>
  <c r="J1002" i="2"/>
  <c r="H1002" i="2"/>
  <c r="G1002" i="2"/>
  <c r="J1001" i="2"/>
  <c r="H1001" i="2"/>
  <c r="G1001" i="2"/>
  <c r="J1000" i="2"/>
  <c r="H1000" i="2"/>
  <c r="G1000" i="2"/>
  <c r="J999" i="2"/>
  <c r="H999" i="2"/>
  <c r="G999" i="2"/>
  <c r="J998" i="2"/>
  <c r="H998" i="2"/>
  <c r="G998" i="2"/>
  <c r="J997" i="2"/>
  <c r="H997" i="2"/>
  <c r="G997" i="2"/>
  <c r="J996" i="2"/>
  <c r="H996" i="2"/>
  <c r="G996" i="2"/>
  <c r="J995" i="2"/>
  <c r="H995" i="2"/>
  <c r="G995" i="2"/>
  <c r="J994" i="2"/>
  <c r="H994" i="2"/>
  <c r="G994" i="2"/>
  <c r="J993" i="2"/>
  <c r="H993" i="2"/>
  <c r="G993" i="2"/>
  <c r="J992" i="2"/>
  <c r="H992" i="2"/>
  <c r="G992" i="2"/>
  <c r="J991" i="2"/>
  <c r="H991" i="2"/>
  <c r="G991" i="2"/>
  <c r="J990" i="2"/>
  <c r="H990" i="2"/>
  <c r="G990" i="2"/>
  <c r="J989" i="2"/>
  <c r="H989" i="2"/>
  <c r="G989" i="2"/>
  <c r="J988" i="2"/>
  <c r="H988" i="2"/>
  <c r="G988" i="2"/>
  <c r="J987" i="2"/>
  <c r="H987" i="2"/>
  <c r="G987" i="2"/>
  <c r="J986" i="2"/>
  <c r="H986" i="2"/>
  <c r="G986" i="2"/>
  <c r="J985" i="2"/>
  <c r="H985" i="2"/>
  <c r="G985" i="2"/>
  <c r="J984" i="2"/>
  <c r="H984" i="2"/>
  <c r="G984" i="2"/>
  <c r="J983" i="2"/>
  <c r="H983" i="2"/>
  <c r="G983" i="2"/>
  <c r="J982" i="2"/>
  <c r="H982" i="2"/>
  <c r="G982" i="2"/>
  <c r="J981" i="2"/>
  <c r="H981" i="2"/>
  <c r="G981" i="2"/>
  <c r="J980" i="2"/>
  <c r="H980" i="2"/>
  <c r="G980" i="2"/>
  <c r="J979" i="2"/>
  <c r="H979" i="2"/>
  <c r="G979" i="2"/>
  <c r="J978" i="2"/>
  <c r="H978" i="2"/>
  <c r="G978" i="2"/>
  <c r="J977" i="2"/>
  <c r="H977" i="2"/>
  <c r="G977" i="2"/>
  <c r="J976" i="2"/>
  <c r="H976" i="2"/>
  <c r="G976" i="2"/>
  <c r="J975" i="2"/>
  <c r="H975" i="2"/>
  <c r="G975" i="2"/>
  <c r="J974" i="2"/>
  <c r="H974" i="2"/>
  <c r="G974" i="2"/>
  <c r="J973" i="2"/>
  <c r="H973" i="2"/>
  <c r="G973" i="2"/>
  <c r="J972" i="2"/>
  <c r="H972" i="2"/>
  <c r="G972" i="2"/>
  <c r="J971" i="2"/>
  <c r="H971" i="2"/>
  <c r="G971" i="2"/>
  <c r="J970" i="2"/>
  <c r="H970" i="2"/>
  <c r="G970" i="2"/>
  <c r="J969" i="2"/>
  <c r="H969" i="2"/>
  <c r="G969" i="2"/>
  <c r="J968" i="2"/>
  <c r="H968" i="2"/>
  <c r="G968" i="2"/>
  <c r="J967" i="2"/>
  <c r="H967" i="2"/>
  <c r="G967" i="2"/>
  <c r="J966" i="2"/>
  <c r="H966" i="2"/>
  <c r="G966" i="2"/>
  <c r="J965" i="2"/>
  <c r="H965" i="2"/>
  <c r="G965" i="2"/>
  <c r="J964" i="2"/>
  <c r="H964" i="2"/>
  <c r="G964" i="2"/>
  <c r="J963" i="2"/>
  <c r="H963" i="2"/>
  <c r="G963" i="2"/>
  <c r="J962" i="2"/>
  <c r="H962" i="2"/>
  <c r="G962" i="2"/>
  <c r="J961" i="2"/>
  <c r="H961" i="2"/>
  <c r="G961" i="2"/>
  <c r="J960" i="2"/>
  <c r="H960" i="2"/>
  <c r="G960" i="2"/>
  <c r="J959" i="2"/>
  <c r="H959" i="2"/>
  <c r="G959" i="2"/>
  <c r="J958" i="2"/>
  <c r="H958" i="2"/>
  <c r="G958" i="2"/>
  <c r="J957" i="2"/>
  <c r="H957" i="2"/>
  <c r="G957" i="2"/>
  <c r="J956" i="2"/>
  <c r="H956" i="2"/>
  <c r="G956" i="2"/>
  <c r="J955" i="2"/>
  <c r="H955" i="2"/>
  <c r="G955" i="2"/>
  <c r="J954" i="2"/>
  <c r="H954" i="2"/>
  <c r="G954" i="2"/>
  <c r="J953" i="2"/>
  <c r="H953" i="2"/>
  <c r="G953" i="2"/>
  <c r="J952" i="2"/>
  <c r="H952" i="2"/>
  <c r="G952" i="2"/>
  <c r="J951" i="2"/>
  <c r="H951" i="2"/>
  <c r="G951" i="2"/>
  <c r="J950" i="2"/>
  <c r="H950" i="2"/>
  <c r="G950" i="2"/>
  <c r="J949" i="2"/>
  <c r="H949" i="2"/>
  <c r="G949" i="2"/>
  <c r="J948" i="2"/>
  <c r="H948" i="2"/>
  <c r="G948" i="2"/>
  <c r="J947" i="2"/>
  <c r="H947" i="2"/>
  <c r="G947" i="2"/>
  <c r="J946" i="2"/>
  <c r="H946" i="2"/>
  <c r="G946" i="2"/>
  <c r="J945" i="2"/>
  <c r="H945" i="2"/>
  <c r="G945" i="2"/>
  <c r="J944" i="2"/>
  <c r="H944" i="2"/>
  <c r="G944" i="2"/>
  <c r="J943" i="2"/>
  <c r="H943" i="2"/>
  <c r="G943" i="2"/>
  <c r="J942" i="2"/>
  <c r="H942" i="2"/>
  <c r="G942" i="2"/>
  <c r="J941" i="2"/>
  <c r="H941" i="2"/>
  <c r="G941" i="2"/>
  <c r="J940" i="2"/>
  <c r="H940" i="2"/>
  <c r="G940" i="2"/>
  <c r="J939" i="2"/>
  <c r="H939" i="2"/>
  <c r="G939" i="2"/>
  <c r="J938" i="2"/>
  <c r="H938" i="2"/>
  <c r="G938" i="2"/>
  <c r="J937" i="2"/>
  <c r="H937" i="2"/>
  <c r="G937" i="2"/>
  <c r="J936" i="2"/>
  <c r="H936" i="2"/>
  <c r="G936" i="2"/>
  <c r="J935" i="2"/>
  <c r="H935" i="2"/>
  <c r="G935" i="2"/>
  <c r="J934" i="2"/>
  <c r="H934" i="2"/>
  <c r="G934" i="2"/>
  <c r="J933" i="2"/>
  <c r="H933" i="2"/>
  <c r="G933" i="2"/>
  <c r="J932" i="2"/>
  <c r="H932" i="2"/>
  <c r="G932" i="2"/>
  <c r="J931" i="2"/>
  <c r="H931" i="2"/>
  <c r="G931" i="2"/>
  <c r="J930" i="2"/>
  <c r="H930" i="2"/>
  <c r="G930" i="2"/>
  <c r="J929" i="2"/>
  <c r="H929" i="2"/>
  <c r="G929" i="2"/>
  <c r="J928" i="2"/>
  <c r="H928" i="2"/>
  <c r="G928" i="2"/>
  <c r="J927" i="2"/>
  <c r="H927" i="2"/>
  <c r="G927" i="2"/>
  <c r="J926" i="2"/>
  <c r="H926" i="2"/>
  <c r="G926" i="2"/>
  <c r="J925" i="2"/>
  <c r="H925" i="2"/>
  <c r="G925" i="2"/>
  <c r="J924" i="2"/>
  <c r="H924" i="2"/>
  <c r="G924" i="2"/>
  <c r="J923" i="2"/>
  <c r="H923" i="2"/>
  <c r="G923" i="2"/>
  <c r="J922" i="2"/>
  <c r="H922" i="2"/>
  <c r="G922" i="2"/>
  <c r="J921" i="2"/>
  <c r="H921" i="2"/>
  <c r="G921" i="2"/>
  <c r="J920" i="2"/>
  <c r="H920" i="2"/>
  <c r="G920" i="2"/>
  <c r="J919" i="2"/>
  <c r="H919" i="2"/>
  <c r="G919" i="2"/>
  <c r="J918" i="2"/>
  <c r="H918" i="2"/>
  <c r="G918" i="2"/>
  <c r="J917" i="2"/>
  <c r="H917" i="2"/>
  <c r="G917" i="2"/>
  <c r="J916" i="2"/>
  <c r="H916" i="2"/>
  <c r="G916" i="2"/>
  <c r="J915" i="2"/>
  <c r="H915" i="2"/>
  <c r="G915" i="2"/>
  <c r="J914" i="2"/>
  <c r="H914" i="2"/>
  <c r="G914" i="2"/>
  <c r="J913" i="2"/>
  <c r="H913" i="2"/>
  <c r="G913" i="2"/>
  <c r="J912" i="2"/>
  <c r="H912" i="2"/>
  <c r="G912" i="2"/>
  <c r="J911" i="2"/>
  <c r="H911" i="2"/>
  <c r="G911" i="2"/>
  <c r="J910" i="2"/>
  <c r="H910" i="2"/>
  <c r="G910" i="2"/>
  <c r="J909" i="2"/>
  <c r="H909" i="2"/>
  <c r="G909" i="2"/>
  <c r="J908" i="2"/>
  <c r="H908" i="2"/>
  <c r="G908" i="2"/>
  <c r="J907" i="2"/>
  <c r="H907" i="2"/>
  <c r="G907" i="2"/>
  <c r="J906" i="2"/>
  <c r="H906" i="2"/>
  <c r="G906" i="2"/>
  <c r="J905" i="2"/>
  <c r="H905" i="2"/>
  <c r="G905" i="2"/>
  <c r="J904" i="2"/>
  <c r="H904" i="2"/>
  <c r="G904" i="2"/>
  <c r="J903" i="2"/>
  <c r="H903" i="2"/>
  <c r="G903" i="2"/>
  <c r="J902" i="2"/>
  <c r="H902" i="2"/>
  <c r="G902" i="2"/>
  <c r="J901" i="2"/>
  <c r="H901" i="2"/>
  <c r="G901" i="2"/>
  <c r="J900" i="2"/>
  <c r="H900" i="2"/>
  <c r="G900" i="2"/>
  <c r="J899" i="2"/>
  <c r="H899" i="2"/>
  <c r="G899" i="2"/>
  <c r="J898" i="2"/>
  <c r="H898" i="2"/>
  <c r="G898" i="2"/>
  <c r="J897" i="2"/>
  <c r="H897" i="2"/>
  <c r="G897" i="2"/>
  <c r="J896" i="2"/>
  <c r="H896" i="2"/>
  <c r="G896" i="2"/>
  <c r="J895" i="2"/>
  <c r="H895" i="2"/>
  <c r="G895" i="2"/>
  <c r="J894" i="2"/>
  <c r="H894" i="2"/>
  <c r="G894" i="2"/>
  <c r="J893" i="2"/>
  <c r="H893" i="2"/>
  <c r="G893" i="2"/>
  <c r="J892" i="2"/>
  <c r="H892" i="2"/>
  <c r="G892" i="2"/>
  <c r="J891" i="2"/>
  <c r="H891" i="2"/>
  <c r="G891" i="2"/>
  <c r="J890" i="2"/>
  <c r="H890" i="2"/>
  <c r="G890" i="2"/>
  <c r="J889" i="2"/>
  <c r="H889" i="2"/>
  <c r="G889" i="2"/>
  <c r="J888" i="2"/>
  <c r="H888" i="2"/>
  <c r="G888" i="2"/>
  <c r="J887" i="2"/>
  <c r="H887" i="2"/>
  <c r="G887" i="2"/>
  <c r="J886" i="2"/>
  <c r="H886" i="2"/>
  <c r="G886" i="2"/>
  <c r="J885" i="2"/>
  <c r="H885" i="2"/>
  <c r="G885" i="2"/>
  <c r="J884" i="2"/>
  <c r="H884" i="2"/>
  <c r="G884" i="2"/>
  <c r="J883" i="2"/>
  <c r="H883" i="2"/>
  <c r="G883" i="2"/>
  <c r="J882" i="2"/>
  <c r="H882" i="2"/>
  <c r="G882" i="2"/>
  <c r="J881" i="2"/>
  <c r="H881" i="2"/>
  <c r="G881" i="2"/>
  <c r="J880" i="2"/>
  <c r="H880" i="2"/>
  <c r="G880" i="2"/>
  <c r="J879" i="2"/>
  <c r="H879" i="2"/>
  <c r="G879" i="2"/>
  <c r="J878" i="2"/>
  <c r="H878" i="2"/>
  <c r="G878" i="2"/>
  <c r="J877" i="2"/>
  <c r="H877" i="2"/>
  <c r="G877" i="2"/>
  <c r="J876" i="2"/>
  <c r="H876" i="2"/>
  <c r="G876" i="2"/>
  <c r="J875" i="2"/>
  <c r="H875" i="2"/>
  <c r="G875" i="2"/>
  <c r="J874" i="2"/>
  <c r="H874" i="2"/>
  <c r="G874" i="2"/>
  <c r="J873" i="2"/>
  <c r="H873" i="2"/>
  <c r="G873" i="2"/>
  <c r="J872" i="2"/>
  <c r="H872" i="2"/>
  <c r="G872" i="2"/>
  <c r="J871" i="2"/>
  <c r="H871" i="2"/>
  <c r="G871" i="2"/>
  <c r="J870" i="2"/>
  <c r="H870" i="2"/>
  <c r="G870" i="2"/>
  <c r="J869" i="2"/>
  <c r="H869" i="2"/>
  <c r="G869" i="2"/>
  <c r="J868" i="2"/>
  <c r="H868" i="2"/>
  <c r="G868" i="2"/>
  <c r="J867" i="2"/>
  <c r="H867" i="2"/>
  <c r="G867" i="2"/>
  <c r="J866" i="2"/>
  <c r="H866" i="2"/>
  <c r="G866" i="2"/>
  <c r="J865" i="2"/>
  <c r="H865" i="2"/>
  <c r="G865" i="2"/>
  <c r="J864" i="2"/>
  <c r="H864" i="2"/>
  <c r="G864" i="2"/>
  <c r="J863" i="2"/>
  <c r="H863" i="2"/>
  <c r="G863" i="2"/>
  <c r="J862" i="2"/>
  <c r="H862" i="2"/>
  <c r="G862" i="2"/>
  <c r="J861" i="2"/>
  <c r="H861" i="2"/>
  <c r="G861" i="2"/>
  <c r="J860" i="2"/>
  <c r="H860" i="2"/>
  <c r="G860" i="2"/>
  <c r="J859" i="2"/>
  <c r="H859" i="2"/>
  <c r="G859" i="2"/>
  <c r="J858" i="2"/>
  <c r="H858" i="2"/>
  <c r="G858" i="2"/>
  <c r="J857" i="2"/>
  <c r="H857" i="2"/>
  <c r="G857" i="2"/>
  <c r="J856" i="2"/>
  <c r="H856" i="2"/>
  <c r="G856" i="2"/>
  <c r="J855" i="2"/>
  <c r="H855" i="2"/>
  <c r="G855" i="2"/>
  <c r="J854" i="2"/>
  <c r="H854" i="2"/>
  <c r="G854" i="2"/>
  <c r="J853" i="2"/>
  <c r="H853" i="2"/>
  <c r="G853" i="2"/>
  <c r="J852" i="2"/>
  <c r="H852" i="2"/>
  <c r="G852" i="2"/>
  <c r="J851" i="2"/>
  <c r="H851" i="2"/>
  <c r="G851" i="2"/>
  <c r="J850" i="2"/>
  <c r="H850" i="2"/>
  <c r="G850" i="2"/>
  <c r="J849" i="2"/>
  <c r="H849" i="2"/>
  <c r="G849" i="2"/>
  <c r="J848" i="2"/>
  <c r="H848" i="2"/>
  <c r="G848" i="2"/>
  <c r="J847" i="2"/>
  <c r="H847" i="2"/>
  <c r="G847" i="2"/>
  <c r="J846" i="2"/>
  <c r="H846" i="2"/>
  <c r="G846" i="2"/>
  <c r="J845" i="2"/>
  <c r="H845" i="2"/>
  <c r="G845" i="2"/>
  <c r="J844" i="2"/>
  <c r="H844" i="2"/>
  <c r="G844" i="2"/>
  <c r="J843" i="2"/>
  <c r="H843" i="2"/>
  <c r="G843" i="2"/>
  <c r="J842" i="2"/>
  <c r="H842" i="2"/>
  <c r="G842" i="2"/>
  <c r="J841" i="2"/>
  <c r="H841" i="2"/>
  <c r="G841" i="2"/>
  <c r="J840" i="2"/>
  <c r="H840" i="2"/>
  <c r="G840" i="2"/>
  <c r="J839" i="2"/>
  <c r="H839" i="2"/>
  <c r="G839" i="2"/>
  <c r="J838" i="2"/>
  <c r="H838" i="2"/>
  <c r="G838" i="2"/>
  <c r="J837" i="2"/>
  <c r="H837" i="2"/>
  <c r="G837" i="2"/>
  <c r="J836" i="2"/>
  <c r="H836" i="2"/>
  <c r="G836" i="2"/>
  <c r="J835" i="2"/>
  <c r="H835" i="2"/>
  <c r="G835" i="2"/>
  <c r="J834" i="2"/>
  <c r="H834" i="2"/>
  <c r="G834" i="2"/>
  <c r="J833" i="2"/>
  <c r="H833" i="2"/>
  <c r="G833" i="2"/>
  <c r="J832" i="2"/>
  <c r="H832" i="2"/>
  <c r="G832" i="2"/>
  <c r="J831" i="2"/>
  <c r="H831" i="2"/>
  <c r="G831" i="2"/>
  <c r="J830" i="2"/>
  <c r="H830" i="2"/>
  <c r="G830" i="2"/>
  <c r="J829" i="2"/>
  <c r="H829" i="2"/>
  <c r="G829" i="2"/>
  <c r="J828" i="2"/>
  <c r="H828" i="2"/>
  <c r="G828" i="2"/>
  <c r="J827" i="2"/>
  <c r="H827" i="2"/>
  <c r="G827" i="2"/>
  <c r="J826" i="2"/>
  <c r="H826" i="2"/>
  <c r="G826" i="2"/>
  <c r="J825" i="2"/>
  <c r="H825" i="2"/>
  <c r="G825" i="2"/>
  <c r="J824" i="2"/>
  <c r="H824" i="2"/>
  <c r="G824" i="2"/>
  <c r="J823" i="2"/>
  <c r="H823" i="2"/>
  <c r="G823" i="2"/>
  <c r="J822" i="2"/>
  <c r="H822" i="2"/>
  <c r="G822" i="2"/>
  <c r="J821" i="2"/>
  <c r="H821" i="2"/>
  <c r="G821" i="2"/>
  <c r="J820" i="2"/>
  <c r="H820" i="2"/>
  <c r="G820" i="2"/>
  <c r="J819" i="2"/>
  <c r="H819" i="2"/>
  <c r="G819" i="2"/>
  <c r="J818" i="2"/>
  <c r="H818" i="2"/>
  <c r="G818" i="2"/>
  <c r="J817" i="2"/>
  <c r="H817" i="2"/>
  <c r="G817" i="2"/>
  <c r="J816" i="2"/>
  <c r="H816" i="2"/>
  <c r="G816" i="2"/>
  <c r="J815" i="2"/>
  <c r="H815" i="2"/>
  <c r="G815" i="2"/>
  <c r="J814" i="2"/>
  <c r="H814" i="2"/>
  <c r="G814" i="2"/>
  <c r="J813" i="2"/>
  <c r="H813" i="2"/>
  <c r="G813" i="2"/>
  <c r="J812" i="2"/>
  <c r="H812" i="2"/>
  <c r="G812" i="2"/>
  <c r="J811" i="2"/>
  <c r="H811" i="2"/>
  <c r="G811" i="2"/>
  <c r="J810" i="2"/>
  <c r="H810" i="2"/>
  <c r="G810" i="2"/>
  <c r="J809" i="2"/>
  <c r="H809" i="2"/>
  <c r="G809" i="2"/>
  <c r="J808" i="2"/>
  <c r="H808" i="2"/>
  <c r="G808" i="2"/>
  <c r="J807" i="2"/>
  <c r="H807" i="2"/>
  <c r="G807" i="2"/>
  <c r="J806" i="2"/>
  <c r="H806" i="2"/>
  <c r="G806" i="2"/>
  <c r="J805" i="2"/>
  <c r="H805" i="2"/>
  <c r="G805" i="2"/>
  <c r="J804" i="2"/>
  <c r="H804" i="2"/>
  <c r="G804" i="2"/>
  <c r="J803" i="2"/>
  <c r="H803" i="2"/>
  <c r="G803" i="2"/>
  <c r="J802" i="2"/>
  <c r="H802" i="2"/>
  <c r="G802" i="2"/>
  <c r="J801" i="2"/>
  <c r="H801" i="2"/>
  <c r="G801" i="2"/>
  <c r="J800" i="2"/>
  <c r="H800" i="2"/>
  <c r="G800" i="2"/>
  <c r="J799" i="2"/>
  <c r="H799" i="2"/>
  <c r="G799" i="2"/>
  <c r="J798" i="2"/>
  <c r="H798" i="2"/>
  <c r="G798" i="2"/>
  <c r="J797" i="2"/>
  <c r="H797" i="2"/>
  <c r="G797" i="2"/>
  <c r="J796" i="2"/>
  <c r="H796" i="2"/>
  <c r="G796" i="2"/>
  <c r="J795" i="2"/>
  <c r="H795" i="2"/>
  <c r="G795" i="2"/>
  <c r="J794" i="2"/>
  <c r="H794" i="2"/>
  <c r="G794" i="2"/>
  <c r="J793" i="2"/>
  <c r="H793" i="2"/>
  <c r="G793" i="2"/>
  <c r="J792" i="2"/>
  <c r="H792" i="2"/>
  <c r="G792" i="2"/>
  <c r="J791" i="2"/>
  <c r="H791" i="2"/>
  <c r="G791" i="2"/>
  <c r="J790" i="2"/>
  <c r="H790" i="2"/>
  <c r="G790" i="2"/>
  <c r="J789" i="2"/>
  <c r="H789" i="2"/>
  <c r="G789" i="2"/>
  <c r="J788" i="2"/>
  <c r="H788" i="2"/>
  <c r="G788" i="2"/>
  <c r="J787" i="2"/>
  <c r="H787" i="2"/>
  <c r="G787" i="2"/>
  <c r="J786" i="2"/>
  <c r="H786" i="2"/>
  <c r="G786" i="2"/>
  <c r="J785" i="2"/>
  <c r="H785" i="2"/>
  <c r="G785" i="2"/>
  <c r="J784" i="2"/>
  <c r="H784" i="2"/>
  <c r="G784" i="2"/>
  <c r="J783" i="2"/>
  <c r="H783" i="2"/>
  <c r="G783" i="2"/>
  <c r="J782" i="2"/>
  <c r="H782" i="2"/>
  <c r="G782" i="2"/>
  <c r="J781" i="2"/>
  <c r="H781" i="2"/>
  <c r="G781" i="2"/>
  <c r="J780" i="2"/>
  <c r="H780" i="2"/>
  <c r="G780" i="2"/>
  <c r="J779" i="2"/>
  <c r="H779" i="2"/>
  <c r="G779" i="2"/>
  <c r="J778" i="2"/>
  <c r="H778" i="2"/>
  <c r="G778" i="2"/>
  <c r="J777" i="2"/>
  <c r="H777" i="2"/>
  <c r="G777" i="2"/>
  <c r="J776" i="2"/>
  <c r="H776" i="2"/>
  <c r="G776" i="2"/>
  <c r="J775" i="2"/>
  <c r="H775" i="2"/>
  <c r="G775" i="2"/>
  <c r="J774" i="2"/>
  <c r="H774" i="2"/>
  <c r="G774" i="2"/>
  <c r="J773" i="2"/>
  <c r="H773" i="2"/>
  <c r="G773" i="2"/>
  <c r="J772" i="2"/>
  <c r="H772" i="2"/>
  <c r="G772" i="2"/>
  <c r="J771" i="2"/>
  <c r="H771" i="2"/>
  <c r="G771" i="2"/>
  <c r="J770" i="2"/>
  <c r="H770" i="2"/>
  <c r="G770" i="2"/>
  <c r="J769" i="2"/>
  <c r="H769" i="2"/>
  <c r="G769" i="2"/>
  <c r="J768" i="2"/>
  <c r="H768" i="2"/>
  <c r="G768" i="2"/>
  <c r="J767" i="2"/>
  <c r="H767" i="2"/>
  <c r="G767" i="2"/>
  <c r="J766" i="2"/>
  <c r="H766" i="2"/>
  <c r="G766" i="2"/>
  <c r="J765" i="2"/>
  <c r="H765" i="2"/>
  <c r="G765" i="2"/>
  <c r="J764" i="2"/>
  <c r="H764" i="2"/>
  <c r="G764" i="2"/>
  <c r="J763" i="2"/>
  <c r="H763" i="2"/>
  <c r="G763" i="2"/>
  <c r="J762" i="2"/>
  <c r="H762" i="2"/>
  <c r="G762" i="2"/>
  <c r="J761" i="2"/>
  <c r="H761" i="2"/>
  <c r="G761" i="2"/>
  <c r="J760" i="2"/>
  <c r="H760" i="2"/>
  <c r="G760" i="2"/>
  <c r="J759" i="2"/>
  <c r="H759" i="2"/>
  <c r="G759" i="2"/>
  <c r="J758" i="2"/>
  <c r="H758" i="2"/>
  <c r="G758" i="2"/>
  <c r="J757" i="2"/>
  <c r="H757" i="2"/>
  <c r="G757" i="2"/>
  <c r="J756" i="2"/>
  <c r="H756" i="2"/>
  <c r="G756" i="2"/>
  <c r="J755" i="2"/>
  <c r="H755" i="2"/>
  <c r="G755" i="2"/>
  <c r="J754" i="2"/>
  <c r="H754" i="2"/>
  <c r="G754" i="2"/>
  <c r="J753" i="2"/>
  <c r="H753" i="2"/>
  <c r="G753" i="2"/>
  <c r="J752" i="2"/>
  <c r="H752" i="2"/>
  <c r="G752" i="2"/>
  <c r="J751" i="2"/>
  <c r="H751" i="2"/>
  <c r="G751" i="2"/>
  <c r="J750" i="2"/>
  <c r="H750" i="2"/>
  <c r="G750" i="2"/>
  <c r="J749" i="2"/>
  <c r="H749" i="2"/>
  <c r="G749" i="2"/>
  <c r="J748" i="2"/>
  <c r="H748" i="2"/>
  <c r="G748" i="2"/>
  <c r="J747" i="2"/>
  <c r="H747" i="2"/>
  <c r="G747" i="2"/>
  <c r="J746" i="2"/>
  <c r="H746" i="2"/>
  <c r="G746" i="2"/>
  <c r="J745" i="2"/>
  <c r="H745" i="2"/>
  <c r="G745" i="2"/>
  <c r="J744" i="2"/>
  <c r="H744" i="2"/>
  <c r="G744" i="2"/>
  <c r="J743" i="2"/>
  <c r="H743" i="2"/>
  <c r="G743" i="2"/>
  <c r="J742" i="2"/>
  <c r="H742" i="2"/>
  <c r="G742" i="2"/>
  <c r="J741" i="2"/>
  <c r="H741" i="2"/>
  <c r="G741" i="2"/>
  <c r="J740" i="2"/>
  <c r="H740" i="2"/>
  <c r="G740" i="2"/>
  <c r="J739" i="2"/>
  <c r="H739" i="2"/>
  <c r="G739" i="2"/>
  <c r="J738" i="2"/>
  <c r="H738" i="2"/>
  <c r="G738" i="2"/>
  <c r="J737" i="2"/>
  <c r="H737" i="2"/>
  <c r="G737" i="2"/>
  <c r="J736" i="2"/>
  <c r="H736" i="2"/>
  <c r="G736" i="2"/>
  <c r="J735" i="2"/>
  <c r="H735" i="2"/>
  <c r="G735" i="2"/>
  <c r="J734" i="2"/>
  <c r="H734" i="2"/>
  <c r="G734" i="2"/>
  <c r="J733" i="2"/>
  <c r="H733" i="2"/>
  <c r="G733" i="2"/>
  <c r="J732" i="2"/>
  <c r="H732" i="2"/>
  <c r="G732" i="2"/>
  <c r="J731" i="2"/>
  <c r="H731" i="2"/>
  <c r="G731" i="2"/>
  <c r="J730" i="2"/>
  <c r="H730" i="2"/>
  <c r="G730" i="2"/>
  <c r="J729" i="2"/>
  <c r="H729" i="2"/>
  <c r="G729" i="2"/>
  <c r="J728" i="2"/>
  <c r="H728" i="2"/>
  <c r="G728" i="2"/>
  <c r="J727" i="2"/>
  <c r="H727" i="2"/>
  <c r="G727" i="2"/>
  <c r="J726" i="2"/>
  <c r="H726" i="2"/>
  <c r="G726" i="2"/>
  <c r="J725" i="2"/>
  <c r="H725" i="2"/>
  <c r="G725" i="2"/>
  <c r="J724" i="2"/>
  <c r="H724" i="2"/>
  <c r="G724" i="2"/>
  <c r="J723" i="2"/>
  <c r="H723" i="2"/>
  <c r="G723" i="2"/>
  <c r="J722" i="2"/>
  <c r="H722" i="2"/>
  <c r="G722" i="2"/>
  <c r="J721" i="2"/>
  <c r="H721" i="2"/>
  <c r="G721" i="2"/>
  <c r="J720" i="2"/>
  <c r="H720" i="2"/>
  <c r="G720" i="2"/>
  <c r="J719" i="2"/>
  <c r="H719" i="2"/>
  <c r="G719" i="2"/>
  <c r="J718" i="2"/>
  <c r="H718" i="2"/>
  <c r="G718" i="2"/>
  <c r="J717" i="2"/>
  <c r="H717" i="2"/>
  <c r="G717" i="2"/>
  <c r="J716" i="2"/>
  <c r="H716" i="2"/>
  <c r="G716" i="2"/>
  <c r="J715" i="2"/>
  <c r="H715" i="2"/>
  <c r="G715" i="2"/>
  <c r="J714" i="2"/>
  <c r="H714" i="2"/>
  <c r="G714" i="2"/>
  <c r="J713" i="2"/>
  <c r="H713" i="2"/>
  <c r="G713" i="2"/>
  <c r="J712" i="2"/>
  <c r="H712" i="2"/>
  <c r="G712" i="2"/>
  <c r="J711" i="2"/>
  <c r="H711" i="2"/>
  <c r="G711" i="2"/>
  <c r="J710" i="2"/>
  <c r="H710" i="2"/>
  <c r="G710" i="2"/>
  <c r="J709" i="2"/>
  <c r="H709" i="2"/>
  <c r="G709" i="2"/>
  <c r="J708" i="2"/>
  <c r="H708" i="2"/>
  <c r="G708" i="2"/>
  <c r="J707" i="2"/>
  <c r="H707" i="2"/>
  <c r="G707" i="2"/>
  <c r="J706" i="2"/>
  <c r="H706" i="2"/>
  <c r="G706" i="2"/>
  <c r="J705" i="2"/>
  <c r="H705" i="2"/>
  <c r="G705" i="2"/>
  <c r="J704" i="2"/>
  <c r="H704" i="2"/>
  <c r="G704" i="2"/>
  <c r="J703" i="2"/>
  <c r="H703" i="2"/>
  <c r="G703" i="2"/>
  <c r="J702" i="2"/>
  <c r="H702" i="2"/>
  <c r="G702" i="2"/>
  <c r="J701" i="2"/>
  <c r="H701" i="2"/>
  <c r="G701" i="2"/>
  <c r="J700" i="2"/>
  <c r="H700" i="2"/>
  <c r="G700" i="2"/>
  <c r="J699" i="2"/>
  <c r="H699" i="2"/>
  <c r="G699" i="2"/>
  <c r="J698" i="2"/>
  <c r="H698" i="2"/>
  <c r="G698" i="2"/>
  <c r="J697" i="2"/>
  <c r="H697" i="2"/>
  <c r="G697" i="2"/>
  <c r="J696" i="2"/>
  <c r="H696" i="2"/>
  <c r="G696" i="2"/>
  <c r="J695" i="2"/>
  <c r="H695" i="2"/>
  <c r="G695" i="2"/>
  <c r="J694" i="2"/>
  <c r="H694" i="2"/>
  <c r="G694" i="2"/>
  <c r="J693" i="2"/>
  <c r="H693" i="2"/>
  <c r="G693" i="2"/>
  <c r="J692" i="2"/>
  <c r="H692" i="2"/>
  <c r="G692" i="2"/>
  <c r="J691" i="2"/>
  <c r="H691" i="2"/>
  <c r="G691" i="2"/>
  <c r="J690" i="2"/>
  <c r="H690" i="2"/>
  <c r="G690" i="2"/>
  <c r="J689" i="2"/>
  <c r="H689" i="2"/>
  <c r="G689" i="2"/>
  <c r="J688" i="2"/>
  <c r="H688" i="2"/>
  <c r="G688" i="2"/>
  <c r="J687" i="2"/>
  <c r="H687" i="2"/>
  <c r="G687" i="2"/>
  <c r="J686" i="2"/>
  <c r="H686" i="2"/>
  <c r="G686" i="2"/>
  <c r="J685" i="2"/>
  <c r="H685" i="2"/>
  <c r="G685" i="2"/>
  <c r="J684" i="2"/>
  <c r="H684" i="2"/>
  <c r="G684" i="2"/>
  <c r="J683" i="2"/>
  <c r="H683" i="2"/>
  <c r="G683" i="2"/>
  <c r="J682" i="2"/>
  <c r="H682" i="2"/>
  <c r="G682" i="2"/>
  <c r="J681" i="2"/>
  <c r="H681" i="2"/>
  <c r="G681" i="2"/>
  <c r="J680" i="2"/>
  <c r="H680" i="2"/>
  <c r="G680" i="2"/>
  <c r="J679" i="2"/>
  <c r="H679" i="2"/>
  <c r="G679" i="2"/>
  <c r="J678" i="2"/>
  <c r="H678" i="2"/>
  <c r="G678" i="2"/>
  <c r="J677" i="2"/>
  <c r="H677" i="2"/>
  <c r="G677" i="2"/>
  <c r="J676" i="2"/>
  <c r="H676" i="2"/>
  <c r="G676" i="2"/>
  <c r="J675" i="2"/>
  <c r="H675" i="2"/>
  <c r="G675" i="2"/>
  <c r="J674" i="2"/>
  <c r="H674" i="2"/>
  <c r="G674" i="2"/>
  <c r="J673" i="2"/>
  <c r="H673" i="2"/>
  <c r="G673" i="2"/>
  <c r="J672" i="2"/>
  <c r="H672" i="2"/>
  <c r="G672" i="2"/>
  <c r="J671" i="2"/>
  <c r="H671" i="2"/>
  <c r="G671" i="2"/>
  <c r="J670" i="2"/>
  <c r="H670" i="2"/>
  <c r="G670" i="2"/>
  <c r="J669" i="2"/>
  <c r="H669" i="2"/>
  <c r="G669" i="2"/>
  <c r="J668" i="2"/>
  <c r="H668" i="2"/>
  <c r="G668" i="2"/>
  <c r="J667" i="2"/>
  <c r="H667" i="2"/>
  <c r="G667" i="2"/>
  <c r="J666" i="2"/>
  <c r="H666" i="2"/>
  <c r="G666" i="2"/>
  <c r="J665" i="2"/>
  <c r="H665" i="2"/>
  <c r="G665" i="2"/>
  <c r="J664" i="2"/>
  <c r="H664" i="2"/>
  <c r="G664" i="2"/>
  <c r="J663" i="2"/>
  <c r="H663" i="2"/>
  <c r="G663" i="2"/>
  <c r="J662" i="2"/>
  <c r="H662" i="2"/>
  <c r="G662" i="2"/>
  <c r="J661" i="2"/>
  <c r="H661" i="2"/>
  <c r="G661" i="2"/>
  <c r="J660" i="2"/>
  <c r="H660" i="2"/>
  <c r="G660" i="2"/>
  <c r="J659" i="2"/>
  <c r="H659" i="2"/>
  <c r="G659" i="2"/>
  <c r="J658" i="2"/>
  <c r="H658" i="2"/>
  <c r="G658" i="2"/>
  <c r="J657" i="2"/>
  <c r="H657" i="2"/>
  <c r="G657" i="2"/>
  <c r="J656" i="2"/>
  <c r="H656" i="2"/>
  <c r="G656" i="2"/>
  <c r="J655" i="2"/>
  <c r="H655" i="2"/>
  <c r="G655" i="2"/>
  <c r="J654" i="2"/>
  <c r="H654" i="2"/>
  <c r="G654" i="2"/>
  <c r="J653" i="2"/>
  <c r="H653" i="2"/>
  <c r="G653" i="2"/>
  <c r="J652" i="2"/>
  <c r="H652" i="2"/>
  <c r="G652" i="2"/>
  <c r="J651" i="2"/>
  <c r="H651" i="2"/>
  <c r="G651" i="2"/>
  <c r="J650" i="2"/>
  <c r="H650" i="2"/>
  <c r="G650" i="2"/>
  <c r="J649" i="2"/>
  <c r="H649" i="2"/>
  <c r="G649" i="2"/>
  <c r="J648" i="2"/>
  <c r="H648" i="2"/>
  <c r="G648" i="2"/>
  <c r="J647" i="2"/>
  <c r="H647" i="2"/>
  <c r="G647" i="2"/>
  <c r="J646" i="2"/>
  <c r="H646" i="2"/>
  <c r="G646" i="2"/>
  <c r="J645" i="2"/>
  <c r="H645" i="2"/>
  <c r="G645" i="2"/>
  <c r="J644" i="2"/>
  <c r="H644" i="2"/>
  <c r="G644" i="2"/>
  <c r="J643" i="2"/>
  <c r="H643" i="2"/>
  <c r="G643" i="2"/>
  <c r="J642" i="2"/>
  <c r="H642" i="2"/>
  <c r="G642" i="2"/>
  <c r="J641" i="2"/>
  <c r="H641" i="2"/>
  <c r="G641" i="2"/>
  <c r="J640" i="2"/>
  <c r="H640" i="2"/>
  <c r="G640" i="2"/>
  <c r="J639" i="2"/>
  <c r="H639" i="2"/>
  <c r="G639" i="2"/>
  <c r="J638" i="2"/>
  <c r="H638" i="2"/>
  <c r="G638" i="2"/>
  <c r="J637" i="2"/>
  <c r="H637" i="2"/>
  <c r="G637" i="2"/>
  <c r="J636" i="2"/>
  <c r="H636" i="2"/>
  <c r="G636" i="2"/>
  <c r="J635" i="2"/>
  <c r="H635" i="2"/>
  <c r="G635" i="2"/>
  <c r="J634" i="2"/>
  <c r="H634" i="2"/>
  <c r="G634" i="2"/>
  <c r="J633" i="2"/>
  <c r="H633" i="2"/>
  <c r="G633" i="2"/>
  <c r="J632" i="2"/>
  <c r="H632" i="2"/>
  <c r="G632" i="2"/>
  <c r="J631" i="2"/>
  <c r="H631" i="2"/>
  <c r="G631" i="2"/>
  <c r="J630" i="2"/>
  <c r="H630" i="2"/>
  <c r="G630" i="2"/>
  <c r="J629" i="2"/>
  <c r="H629" i="2"/>
  <c r="G629" i="2"/>
  <c r="J628" i="2"/>
  <c r="H628" i="2"/>
  <c r="G628" i="2"/>
  <c r="J627" i="2"/>
  <c r="H627" i="2"/>
  <c r="G627" i="2"/>
  <c r="J626" i="2"/>
  <c r="H626" i="2"/>
  <c r="G626" i="2"/>
  <c r="J625" i="2"/>
  <c r="H625" i="2"/>
  <c r="G625" i="2"/>
  <c r="J624" i="2"/>
  <c r="H624" i="2"/>
  <c r="G624" i="2"/>
  <c r="J623" i="2"/>
  <c r="H623" i="2"/>
  <c r="G623" i="2"/>
  <c r="J622" i="2"/>
  <c r="H622" i="2"/>
  <c r="G622" i="2"/>
  <c r="J621" i="2"/>
  <c r="H621" i="2"/>
  <c r="G621" i="2"/>
  <c r="J620" i="2"/>
  <c r="H620" i="2"/>
  <c r="G620" i="2"/>
  <c r="J619" i="2"/>
  <c r="H619" i="2"/>
  <c r="G619" i="2"/>
  <c r="J618" i="2"/>
  <c r="H618" i="2"/>
  <c r="G618" i="2"/>
  <c r="J617" i="2"/>
  <c r="H617" i="2"/>
  <c r="G617" i="2"/>
  <c r="J616" i="2"/>
  <c r="H616" i="2"/>
  <c r="G616" i="2"/>
  <c r="J615" i="2"/>
  <c r="H615" i="2"/>
  <c r="G615" i="2"/>
  <c r="J614" i="2"/>
  <c r="H614" i="2"/>
  <c r="G614" i="2"/>
  <c r="J613" i="2"/>
  <c r="H613" i="2"/>
  <c r="G613" i="2"/>
  <c r="J612" i="2"/>
  <c r="H612" i="2"/>
  <c r="G612" i="2"/>
  <c r="J611" i="2"/>
  <c r="H611" i="2"/>
  <c r="G611" i="2"/>
  <c r="J610" i="2"/>
  <c r="H610" i="2"/>
  <c r="G610" i="2"/>
  <c r="J609" i="2"/>
  <c r="H609" i="2"/>
  <c r="G609" i="2"/>
  <c r="J608" i="2"/>
  <c r="H608" i="2"/>
  <c r="G608" i="2"/>
  <c r="J607" i="2"/>
  <c r="H607" i="2"/>
  <c r="G607" i="2"/>
  <c r="J606" i="2"/>
  <c r="H606" i="2"/>
  <c r="G606" i="2"/>
  <c r="J605" i="2"/>
  <c r="H605" i="2"/>
  <c r="G605" i="2"/>
  <c r="J604" i="2"/>
  <c r="H604" i="2"/>
  <c r="G604" i="2"/>
  <c r="J603" i="2"/>
  <c r="H603" i="2"/>
  <c r="G603" i="2"/>
  <c r="J602" i="2"/>
  <c r="H602" i="2"/>
  <c r="G602" i="2"/>
  <c r="J601" i="2"/>
  <c r="H601" i="2"/>
  <c r="G601" i="2"/>
  <c r="J600" i="2"/>
  <c r="H600" i="2"/>
  <c r="G600" i="2"/>
  <c r="J599" i="2"/>
  <c r="H599" i="2"/>
  <c r="G599" i="2"/>
  <c r="J598" i="2"/>
  <c r="H598" i="2"/>
  <c r="G598" i="2"/>
  <c r="J597" i="2"/>
  <c r="H597" i="2"/>
  <c r="G597" i="2"/>
  <c r="J596" i="2"/>
  <c r="H596" i="2"/>
  <c r="G596" i="2"/>
  <c r="J595" i="2"/>
  <c r="H595" i="2"/>
  <c r="G595" i="2"/>
  <c r="J594" i="2"/>
  <c r="H594" i="2"/>
  <c r="G594" i="2"/>
  <c r="J593" i="2"/>
  <c r="H593" i="2"/>
  <c r="G593" i="2"/>
  <c r="J592" i="2"/>
  <c r="H592" i="2"/>
  <c r="G592" i="2"/>
  <c r="J591" i="2"/>
  <c r="H591" i="2"/>
  <c r="G591" i="2"/>
  <c r="J590" i="2"/>
  <c r="H590" i="2"/>
  <c r="G590" i="2"/>
  <c r="J589" i="2"/>
  <c r="H589" i="2"/>
  <c r="G589" i="2"/>
  <c r="J588" i="2"/>
  <c r="H588" i="2"/>
  <c r="G588" i="2"/>
  <c r="J587" i="2"/>
  <c r="H587" i="2"/>
  <c r="G587" i="2"/>
  <c r="J586" i="2"/>
  <c r="H586" i="2"/>
  <c r="G586" i="2"/>
  <c r="J585" i="2"/>
  <c r="H585" i="2"/>
  <c r="G585" i="2"/>
  <c r="J584" i="2"/>
  <c r="H584" i="2"/>
  <c r="G584" i="2"/>
  <c r="J583" i="2"/>
  <c r="H583" i="2"/>
  <c r="G583" i="2"/>
  <c r="J582" i="2"/>
  <c r="H582" i="2"/>
  <c r="G582" i="2"/>
  <c r="J581" i="2"/>
  <c r="H581" i="2"/>
  <c r="G581" i="2"/>
  <c r="J580" i="2"/>
  <c r="H580" i="2"/>
  <c r="G580" i="2"/>
  <c r="J579" i="2"/>
  <c r="H579" i="2"/>
  <c r="G579" i="2"/>
  <c r="J578" i="2"/>
  <c r="H578" i="2"/>
  <c r="G578" i="2"/>
  <c r="J577" i="2"/>
  <c r="H577" i="2"/>
  <c r="G577" i="2"/>
  <c r="J576" i="2"/>
  <c r="H576" i="2"/>
  <c r="G576" i="2"/>
  <c r="J575" i="2"/>
  <c r="H575" i="2"/>
  <c r="G575" i="2"/>
  <c r="J574" i="2"/>
  <c r="H574" i="2"/>
  <c r="G574" i="2"/>
  <c r="J573" i="2"/>
  <c r="H573" i="2"/>
  <c r="G573" i="2"/>
  <c r="J572" i="2"/>
  <c r="H572" i="2"/>
  <c r="G572" i="2"/>
  <c r="J571" i="2"/>
  <c r="H571" i="2"/>
  <c r="G571" i="2"/>
  <c r="J570" i="2"/>
  <c r="H570" i="2"/>
  <c r="G570" i="2"/>
  <c r="J569" i="2"/>
  <c r="H569" i="2"/>
  <c r="G569" i="2"/>
  <c r="J568" i="2"/>
  <c r="H568" i="2"/>
  <c r="G568" i="2"/>
  <c r="J567" i="2"/>
  <c r="H567" i="2"/>
  <c r="G567" i="2"/>
  <c r="J566" i="2"/>
  <c r="H566" i="2"/>
  <c r="G566" i="2"/>
  <c r="J565" i="2"/>
  <c r="H565" i="2"/>
  <c r="G565" i="2"/>
  <c r="J564" i="2"/>
  <c r="H564" i="2"/>
  <c r="G564" i="2"/>
  <c r="J563" i="2"/>
  <c r="H563" i="2"/>
  <c r="G563" i="2"/>
  <c r="J562" i="2"/>
  <c r="H562" i="2"/>
  <c r="G562" i="2"/>
  <c r="J561" i="2"/>
  <c r="H561" i="2"/>
  <c r="G561" i="2"/>
  <c r="J560" i="2"/>
  <c r="H560" i="2"/>
  <c r="G560" i="2"/>
  <c r="J559" i="2"/>
  <c r="H559" i="2"/>
  <c r="G559" i="2"/>
  <c r="J558" i="2"/>
  <c r="H558" i="2"/>
  <c r="G558" i="2"/>
  <c r="J557" i="2"/>
  <c r="H557" i="2"/>
  <c r="G557" i="2"/>
  <c r="J556" i="2"/>
  <c r="H556" i="2"/>
  <c r="G556" i="2"/>
  <c r="J555" i="2"/>
  <c r="H555" i="2"/>
  <c r="G555" i="2"/>
  <c r="J554" i="2"/>
  <c r="H554" i="2"/>
  <c r="G554" i="2"/>
  <c r="J553" i="2"/>
  <c r="H553" i="2"/>
  <c r="G553" i="2"/>
  <c r="J552" i="2"/>
  <c r="H552" i="2"/>
  <c r="G552" i="2"/>
  <c r="J551" i="2"/>
  <c r="H551" i="2"/>
  <c r="G551" i="2"/>
  <c r="J550" i="2"/>
  <c r="H550" i="2"/>
  <c r="G550" i="2"/>
  <c r="J549" i="2"/>
  <c r="H549" i="2"/>
  <c r="G549" i="2"/>
  <c r="J548" i="2"/>
  <c r="H548" i="2"/>
  <c r="G548" i="2"/>
  <c r="J547" i="2"/>
  <c r="H547" i="2"/>
  <c r="G547" i="2"/>
  <c r="J546" i="2"/>
  <c r="H546" i="2"/>
  <c r="G546" i="2"/>
  <c r="J545" i="2"/>
  <c r="H545" i="2"/>
  <c r="G545" i="2"/>
  <c r="J544" i="2"/>
  <c r="H544" i="2"/>
  <c r="G544" i="2"/>
  <c r="J543" i="2"/>
  <c r="H543" i="2"/>
  <c r="G543" i="2"/>
  <c r="J542" i="2"/>
  <c r="H542" i="2"/>
  <c r="G542" i="2"/>
  <c r="J541" i="2"/>
  <c r="H541" i="2"/>
  <c r="G541" i="2"/>
  <c r="J540" i="2"/>
  <c r="H540" i="2"/>
  <c r="G540" i="2"/>
  <c r="J539" i="2"/>
  <c r="H539" i="2"/>
  <c r="G539" i="2"/>
  <c r="J538" i="2"/>
  <c r="H538" i="2"/>
  <c r="G538" i="2"/>
  <c r="J537" i="2"/>
  <c r="H537" i="2"/>
  <c r="G537" i="2"/>
  <c r="J536" i="2"/>
  <c r="H536" i="2"/>
  <c r="G536" i="2"/>
  <c r="J535" i="2"/>
  <c r="H535" i="2"/>
  <c r="G535" i="2"/>
  <c r="J534" i="2"/>
  <c r="H534" i="2"/>
  <c r="G534" i="2"/>
  <c r="J533" i="2"/>
  <c r="H533" i="2"/>
  <c r="G533" i="2"/>
  <c r="J532" i="2"/>
  <c r="H532" i="2"/>
  <c r="G532" i="2"/>
  <c r="J531" i="2"/>
  <c r="H531" i="2"/>
  <c r="G531" i="2"/>
  <c r="J530" i="2"/>
  <c r="H530" i="2"/>
  <c r="G530" i="2"/>
  <c r="J529" i="2"/>
  <c r="H529" i="2"/>
  <c r="G529" i="2"/>
  <c r="J528" i="2"/>
  <c r="H528" i="2"/>
  <c r="G528" i="2"/>
  <c r="J527" i="2"/>
  <c r="H527" i="2"/>
  <c r="G527" i="2"/>
  <c r="J526" i="2"/>
  <c r="H526" i="2"/>
  <c r="G526" i="2"/>
  <c r="J525" i="2"/>
  <c r="H525" i="2"/>
  <c r="G525" i="2"/>
  <c r="J524" i="2"/>
  <c r="H524" i="2"/>
  <c r="G524" i="2"/>
  <c r="J523" i="2"/>
  <c r="H523" i="2"/>
  <c r="G523" i="2"/>
  <c r="J522" i="2"/>
  <c r="H522" i="2"/>
  <c r="G522" i="2"/>
  <c r="J521" i="2"/>
  <c r="H521" i="2"/>
  <c r="G521" i="2"/>
  <c r="J520" i="2"/>
  <c r="H520" i="2"/>
  <c r="G520" i="2"/>
  <c r="J519" i="2"/>
  <c r="H519" i="2"/>
  <c r="G519" i="2"/>
  <c r="J518" i="2"/>
  <c r="H518" i="2"/>
  <c r="G518" i="2"/>
  <c r="J517" i="2"/>
  <c r="H517" i="2"/>
  <c r="G517" i="2"/>
  <c r="J516" i="2"/>
  <c r="H516" i="2"/>
  <c r="G516" i="2"/>
  <c r="J515" i="2"/>
  <c r="H515" i="2"/>
  <c r="G515" i="2"/>
  <c r="J514" i="2"/>
  <c r="H514" i="2"/>
  <c r="G514" i="2"/>
  <c r="J513" i="2"/>
  <c r="H513" i="2"/>
  <c r="G513" i="2"/>
  <c r="J512" i="2"/>
  <c r="H512" i="2"/>
  <c r="G512" i="2"/>
  <c r="J511" i="2"/>
  <c r="H511" i="2"/>
  <c r="G511" i="2"/>
  <c r="J510" i="2"/>
  <c r="H510" i="2"/>
  <c r="G510" i="2"/>
  <c r="J509" i="2"/>
  <c r="H509" i="2"/>
  <c r="G509" i="2"/>
  <c r="J508" i="2"/>
  <c r="H508" i="2"/>
  <c r="G508" i="2"/>
  <c r="J507" i="2"/>
  <c r="H507" i="2"/>
  <c r="G507" i="2"/>
  <c r="J506" i="2"/>
  <c r="H506" i="2"/>
  <c r="G506" i="2"/>
  <c r="J505" i="2"/>
  <c r="H505" i="2"/>
  <c r="G505" i="2"/>
  <c r="J504" i="2"/>
  <c r="H504" i="2"/>
  <c r="G504" i="2"/>
  <c r="J503" i="2"/>
  <c r="H503" i="2"/>
  <c r="G503" i="2"/>
  <c r="J502" i="2"/>
  <c r="H502" i="2"/>
  <c r="G502" i="2"/>
  <c r="J501" i="2"/>
  <c r="H501" i="2"/>
  <c r="G501" i="2"/>
  <c r="J500" i="2"/>
  <c r="H500" i="2"/>
  <c r="G500" i="2"/>
  <c r="J499" i="2"/>
  <c r="H499" i="2"/>
  <c r="G499" i="2"/>
  <c r="J498" i="2"/>
  <c r="H498" i="2"/>
  <c r="G498" i="2"/>
  <c r="J497" i="2"/>
  <c r="H497" i="2"/>
  <c r="G497" i="2"/>
  <c r="J496" i="2"/>
  <c r="H496" i="2"/>
  <c r="G496" i="2"/>
  <c r="J495" i="2"/>
  <c r="H495" i="2"/>
  <c r="G495" i="2"/>
  <c r="J494" i="2"/>
  <c r="H494" i="2"/>
  <c r="G494" i="2"/>
  <c r="J493" i="2"/>
  <c r="H493" i="2"/>
  <c r="G493" i="2"/>
  <c r="J492" i="2"/>
  <c r="H492" i="2"/>
  <c r="G492" i="2"/>
  <c r="J491" i="2"/>
  <c r="H491" i="2"/>
  <c r="G491" i="2"/>
  <c r="J490" i="2"/>
  <c r="H490" i="2"/>
  <c r="G490" i="2"/>
  <c r="J489" i="2"/>
  <c r="H489" i="2"/>
  <c r="G489" i="2"/>
  <c r="J488" i="2"/>
  <c r="H488" i="2"/>
  <c r="G488" i="2"/>
  <c r="J487" i="2"/>
  <c r="H487" i="2"/>
  <c r="G487" i="2"/>
  <c r="J486" i="2"/>
  <c r="H486" i="2"/>
  <c r="G486" i="2"/>
  <c r="J485" i="2"/>
  <c r="H485" i="2"/>
  <c r="G485" i="2"/>
  <c r="J484" i="2"/>
  <c r="H484" i="2"/>
  <c r="G484" i="2"/>
  <c r="J483" i="2"/>
  <c r="H483" i="2"/>
  <c r="G483" i="2"/>
  <c r="J482" i="2"/>
  <c r="H482" i="2"/>
  <c r="G482" i="2"/>
  <c r="J481" i="2"/>
  <c r="H481" i="2"/>
  <c r="G481" i="2"/>
  <c r="J480" i="2"/>
  <c r="H480" i="2"/>
  <c r="G480" i="2"/>
  <c r="J479" i="2"/>
  <c r="H479" i="2"/>
  <c r="G479" i="2"/>
  <c r="J478" i="2"/>
  <c r="H478" i="2"/>
  <c r="G478" i="2"/>
  <c r="J477" i="2"/>
  <c r="H477" i="2"/>
  <c r="G477" i="2"/>
  <c r="J476" i="2"/>
  <c r="H476" i="2"/>
  <c r="G476" i="2"/>
  <c r="J475" i="2"/>
  <c r="H475" i="2"/>
  <c r="G475" i="2"/>
  <c r="J474" i="2"/>
  <c r="H474" i="2"/>
  <c r="G474" i="2"/>
  <c r="J473" i="2"/>
  <c r="H473" i="2"/>
  <c r="G473" i="2"/>
  <c r="J472" i="2"/>
  <c r="H472" i="2"/>
  <c r="G472" i="2"/>
  <c r="J471" i="2"/>
  <c r="H471" i="2"/>
  <c r="G471" i="2"/>
  <c r="J470" i="2"/>
  <c r="H470" i="2"/>
  <c r="G470" i="2"/>
  <c r="J469" i="2"/>
  <c r="H469" i="2"/>
  <c r="G469" i="2"/>
  <c r="J468" i="2"/>
  <c r="H468" i="2"/>
  <c r="G468" i="2"/>
  <c r="J467" i="2"/>
  <c r="H467" i="2"/>
  <c r="G467" i="2"/>
  <c r="J466" i="2"/>
  <c r="H466" i="2"/>
  <c r="G466" i="2"/>
  <c r="J465" i="2"/>
  <c r="H465" i="2"/>
  <c r="G465" i="2"/>
  <c r="J464" i="2"/>
  <c r="H464" i="2"/>
  <c r="G464" i="2"/>
  <c r="J463" i="2"/>
  <c r="H463" i="2"/>
  <c r="G463" i="2"/>
  <c r="J462" i="2"/>
  <c r="H462" i="2"/>
  <c r="G462" i="2"/>
  <c r="J461" i="2"/>
  <c r="H461" i="2"/>
  <c r="G461" i="2"/>
  <c r="J460" i="2"/>
  <c r="H460" i="2"/>
  <c r="G460" i="2"/>
  <c r="J459" i="2"/>
  <c r="H459" i="2"/>
  <c r="G459" i="2"/>
  <c r="J458" i="2"/>
  <c r="H458" i="2"/>
  <c r="G458" i="2"/>
  <c r="J457" i="2"/>
  <c r="H457" i="2"/>
  <c r="G457" i="2"/>
  <c r="J456" i="2"/>
  <c r="H456" i="2"/>
  <c r="G456" i="2"/>
  <c r="J455" i="2"/>
  <c r="H455" i="2"/>
  <c r="G455" i="2"/>
  <c r="J454" i="2"/>
  <c r="H454" i="2"/>
  <c r="G454" i="2"/>
  <c r="J453" i="2"/>
  <c r="H453" i="2"/>
  <c r="G453" i="2"/>
  <c r="J452" i="2"/>
  <c r="H452" i="2"/>
  <c r="G452" i="2"/>
  <c r="J451" i="2"/>
  <c r="H451" i="2"/>
  <c r="G451" i="2"/>
  <c r="J450" i="2"/>
  <c r="H450" i="2"/>
  <c r="G450" i="2"/>
  <c r="J449" i="2"/>
  <c r="H449" i="2"/>
  <c r="G449" i="2"/>
  <c r="J448" i="2"/>
  <c r="H448" i="2"/>
  <c r="G448" i="2"/>
  <c r="J447" i="2"/>
  <c r="H447" i="2"/>
  <c r="G447" i="2"/>
  <c r="J446" i="2"/>
  <c r="H446" i="2"/>
  <c r="G446" i="2"/>
  <c r="J445" i="2"/>
  <c r="H445" i="2"/>
  <c r="G445" i="2"/>
  <c r="J444" i="2"/>
  <c r="H444" i="2"/>
  <c r="G444" i="2"/>
  <c r="J443" i="2"/>
  <c r="H443" i="2"/>
  <c r="G443" i="2"/>
  <c r="J442" i="2"/>
  <c r="H442" i="2"/>
  <c r="G442" i="2"/>
  <c r="J441" i="2"/>
  <c r="H441" i="2"/>
  <c r="G441" i="2"/>
  <c r="J440" i="2"/>
  <c r="H440" i="2"/>
  <c r="G440" i="2"/>
  <c r="J439" i="2"/>
  <c r="H439" i="2"/>
  <c r="G439" i="2"/>
  <c r="J438" i="2"/>
  <c r="H438" i="2"/>
  <c r="G438" i="2"/>
  <c r="J437" i="2"/>
  <c r="H437" i="2"/>
  <c r="G437" i="2"/>
  <c r="J436" i="2"/>
  <c r="H436" i="2"/>
  <c r="G436" i="2"/>
  <c r="J435" i="2"/>
  <c r="H435" i="2"/>
  <c r="G435" i="2"/>
  <c r="J434" i="2"/>
  <c r="H434" i="2"/>
  <c r="G434" i="2"/>
  <c r="J433" i="2"/>
  <c r="H433" i="2"/>
  <c r="G433" i="2"/>
  <c r="J432" i="2"/>
  <c r="H432" i="2"/>
  <c r="G432" i="2"/>
  <c r="J431" i="2"/>
  <c r="H431" i="2"/>
  <c r="G431" i="2"/>
  <c r="J430" i="2"/>
  <c r="H430" i="2"/>
  <c r="G430" i="2"/>
  <c r="J429" i="2"/>
  <c r="H429" i="2"/>
  <c r="G429" i="2"/>
  <c r="J428" i="2"/>
  <c r="H428" i="2"/>
  <c r="G428" i="2"/>
  <c r="J427" i="2"/>
  <c r="H427" i="2"/>
  <c r="G427" i="2"/>
  <c r="J426" i="2"/>
  <c r="H426" i="2"/>
  <c r="G426" i="2"/>
  <c r="J425" i="2"/>
  <c r="H425" i="2"/>
  <c r="G425" i="2"/>
  <c r="J424" i="2"/>
  <c r="H424" i="2"/>
  <c r="G424" i="2"/>
  <c r="J423" i="2"/>
  <c r="H423" i="2"/>
  <c r="G423" i="2"/>
  <c r="J422" i="2"/>
  <c r="H422" i="2"/>
  <c r="G422" i="2"/>
  <c r="J421" i="2"/>
  <c r="H421" i="2"/>
  <c r="G421" i="2"/>
  <c r="J420" i="2"/>
  <c r="H420" i="2"/>
  <c r="G420" i="2"/>
  <c r="J419" i="2"/>
  <c r="H419" i="2"/>
  <c r="G419" i="2"/>
  <c r="J418" i="2"/>
  <c r="H418" i="2"/>
  <c r="G418" i="2"/>
  <c r="J417" i="2"/>
  <c r="H417" i="2"/>
  <c r="G417" i="2"/>
  <c r="J416" i="2"/>
  <c r="H416" i="2"/>
  <c r="G416" i="2"/>
  <c r="J415" i="2"/>
  <c r="H415" i="2"/>
  <c r="G415" i="2"/>
  <c r="J414" i="2"/>
  <c r="H414" i="2"/>
  <c r="G414" i="2"/>
  <c r="J413" i="2"/>
  <c r="H413" i="2"/>
  <c r="G413" i="2"/>
  <c r="J412" i="2"/>
  <c r="H412" i="2"/>
  <c r="G412" i="2"/>
  <c r="J411" i="2"/>
  <c r="H411" i="2"/>
  <c r="G411" i="2"/>
  <c r="J410" i="2"/>
  <c r="H410" i="2"/>
  <c r="G410" i="2"/>
  <c r="J409" i="2"/>
  <c r="H409" i="2"/>
  <c r="G409" i="2"/>
  <c r="J408" i="2"/>
  <c r="H408" i="2"/>
  <c r="G408" i="2"/>
  <c r="J407" i="2"/>
  <c r="H407" i="2"/>
  <c r="G407" i="2"/>
  <c r="J406" i="2"/>
  <c r="H406" i="2"/>
  <c r="G406" i="2"/>
  <c r="J405" i="2"/>
  <c r="H405" i="2"/>
  <c r="G405" i="2"/>
  <c r="J404" i="2"/>
  <c r="H404" i="2"/>
  <c r="G404" i="2"/>
  <c r="J403" i="2"/>
  <c r="H403" i="2"/>
  <c r="G403" i="2"/>
  <c r="J402" i="2"/>
  <c r="H402" i="2"/>
  <c r="G402" i="2"/>
  <c r="J401" i="2"/>
  <c r="H401" i="2"/>
  <c r="G401" i="2"/>
  <c r="J400" i="2"/>
  <c r="H400" i="2"/>
  <c r="G400" i="2"/>
  <c r="J399" i="2"/>
  <c r="H399" i="2"/>
  <c r="G399" i="2"/>
  <c r="J398" i="2"/>
  <c r="H398" i="2"/>
  <c r="G398" i="2"/>
  <c r="J397" i="2"/>
  <c r="H397" i="2"/>
  <c r="G397" i="2"/>
  <c r="J396" i="2"/>
  <c r="H396" i="2"/>
  <c r="G396" i="2"/>
  <c r="J395" i="2"/>
  <c r="H395" i="2"/>
  <c r="G395" i="2"/>
  <c r="J394" i="2"/>
  <c r="H394" i="2"/>
  <c r="G394" i="2"/>
  <c r="J393" i="2"/>
  <c r="H393" i="2"/>
  <c r="G393" i="2"/>
  <c r="J392" i="2"/>
  <c r="H392" i="2"/>
  <c r="G392" i="2"/>
  <c r="J391" i="2"/>
  <c r="H391" i="2"/>
  <c r="G391" i="2"/>
  <c r="J390" i="2"/>
  <c r="H390" i="2"/>
  <c r="G390" i="2"/>
  <c r="J389" i="2"/>
  <c r="H389" i="2"/>
  <c r="G389" i="2"/>
  <c r="J388" i="2"/>
  <c r="H388" i="2"/>
  <c r="G388" i="2"/>
  <c r="J387" i="2"/>
  <c r="H387" i="2"/>
  <c r="G387" i="2"/>
  <c r="J386" i="2"/>
  <c r="H386" i="2"/>
  <c r="G386" i="2"/>
  <c r="J385" i="2"/>
  <c r="H385" i="2"/>
  <c r="G385" i="2"/>
  <c r="J384" i="2"/>
  <c r="H384" i="2"/>
  <c r="G384" i="2"/>
  <c r="J383" i="2"/>
  <c r="H383" i="2"/>
  <c r="G383" i="2"/>
  <c r="J382" i="2"/>
  <c r="H382" i="2"/>
  <c r="G382" i="2"/>
  <c r="J381" i="2"/>
  <c r="H381" i="2"/>
  <c r="G381" i="2"/>
  <c r="J380" i="2"/>
  <c r="H380" i="2"/>
  <c r="G380" i="2"/>
  <c r="J379" i="2"/>
  <c r="H379" i="2"/>
  <c r="G379" i="2"/>
  <c r="J378" i="2"/>
  <c r="H378" i="2"/>
  <c r="G378" i="2"/>
  <c r="J377" i="2"/>
  <c r="H377" i="2"/>
  <c r="G377" i="2"/>
  <c r="J376" i="2"/>
  <c r="H376" i="2"/>
  <c r="G376" i="2"/>
  <c r="J375" i="2"/>
  <c r="H375" i="2"/>
  <c r="G375" i="2"/>
  <c r="J374" i="2"/>
  <c r="H374" i="2"/>
  <c r="G374" i="2"/>
  <c r="J373" i="2"/>
  <c r="H373" i="2"/>
  <c r="G373" i="2"/>
  <c r="J372" i="2"/>
  <c r="H372" i="2"/>
  <c r="G372" i="2"/>
  <c r="J371" i="2"/>
  <c r="H371" i="2"/>
  <c r="G371" i="2"/>
  <c r="J370" i="2"/>
  <c r="H370" i="2"/>
  <c r="G370" i="2"/>
  <c r="J369" i="2"/>
  <c r="H369" i="2"/>
  <c r="G369" i="2"/>
  <c r="J368" i="2"/>
  <c r="H368" i="2"/>
  <c r="G368" i="2"/>
  <c r="J367" i="2"/>
  <c r="H367" i="2"/>
  <c r="G367" i="2"/>
  <c r="J366" i="2"/>
  <c r="H366" i="2"/>
  <c r="G366" i="2"/>
  <c r="J365" i="2"/>
  <c r="H365" i="2"/>
  <c r="G365" i="2"/>
  <c r="J364" i="2"/>
  <c r="H364" i="2"/>
  <c r="G364" i="2"/>
  <c r="J363" i="2"/>
  <c r="H363" i="2"/>
  <c r="G363" i="2"/>
  <c r="J362" i="2"/>
  <c r="H362" i="2"/>
  <c r="G362" i="2"/>
  <c r="J361" i="2"/>
  <c r="H361" i="2"/>
  <c r="G361" i="2"/>
  <c r="J360" i="2"/>
  <c r="H360" i="2"/>
  <c r="G360" i="2"/>
  <c r="J359" i="2"/>
  <c r="H359" i="2"/>
  <c r="G359" i="2"/>
  <c r="J358" i="2"/>
  <c r="H358" i="2"/>
  <c r="G358" i="2"/>
  <c r="J357" i="2"/>
  <c r="H357" i="2"/>
  <c r="G357" i="2"/>
  <c r="J356" i="2"/>
  <c r="H356" i="2"/>
  <c r="G356" i="2"/>
  <c r="J355" i="2"/>
  <c r="H355" i="2"/>
  <c r="G355" i="2"/>
  <c r="J354" i="2"/>
  <c r="H354" i="2"/>
  <c r="G354" i="2"/>
  <c r="J353" i="2"/>
  <c r="H353" i="2"/>
  <c r="G353" i="2"/>
  <c r="J352" i="2"/>
  <c r="H352" i="2"/>
  <c r="G352" i="2"/>
  <c r="J351" i="2"/>
  <c r="H351" i="2"/>
  <c r="G351" i="2"/>
  <c r="J350" i="2"/>
  <c r="H350" i="2"/>
  <c r="G350" i="2"/>
  <c r="J349" i="2"/>
  <c r="H349" i="2"/>
  <c r="G349" i="2"/>
  <c r="J348" i="2"/>
  <c r="H348" i="2"/>
  <c r="G348" i="2"/>
  <c r="J347" i="2"/>
  <c r="H347" i="2"/>
  <c r="G347" i="2"/>
  <c r="J346" i="2"/>
  <c r="H346" i="2"/>
  <c r="G346" i="2"/>
  <c r="J345" i="2"/>
  <c r="H345" i="2"/>
  <c r="G345" i="2"/>
  <c r="J344" i="2"/>
  <c r="H344" i="2"/>
  <c r="G344" i="2"/>
  <c r="J343" i="2"/>
  <c r="H343" i="2"/>
  <c r="G343" i="2"/>
  <c r="J342" i="2"/>
  <c r="H342" i="2"/>
  <c r="G342" i="2"/>
  <c r="J341" i="2"/>
  <c r="H341" i="2"/>
  <c r="G341" i="2"/>
  <c r="J340" i="2"/>
  <c r="H340" i="2"/>
  <c r="G340" i="2"/>
  <c r="J339" i="2"/>
  <c r="H339" i="2"/>
  <c r="G339" i="2"/>
  <c r="J338" i="2"/>
  <c r="H338" i="2"/>
  <c r="G338" i="2"/>
  <c r="J337" i="2"/>
  <c r="H337" i="2"/>
  <c r="G337" i="2"/>
  <c r="J336" i="2"/>
  <c r="H336" i="2"/>
  <c r="G336" i="2"/>
  <c r="J335" i="2"/>
  <c r="H335" i="2"/>
  <c r="G335" i="2"/>
  <c r="J334" i="2"/>
  <c r="H334" i="2"/>
  <c r="G334" i="2"/>
  <c r="J333" i="2"/>
  <c r="H333" i="2"/>
  <c r="G333" i="2"/>
  <c r="J332" i="2"/>
  <c r="H332" i="2"/>
  <c r="G332" i="2"/>
  <c r="J331" i="2"/>
  <c r="H331" i="2"/>
  <c r="G331" i="2"/>
  <c r="J330" i="2"/>
  <c r="H330" i="2"/>
  <c r="G330" i="2"/>
  <c r="J329" i="2"/>
  <c r="H329" i="2"/>
  <c r="G329" i="2"/>
  <c r="J328" i="2"/>
  <c r="H328" i="2"/>
  <c r="G328" i="2"/>
  <c r="J327" i="2"/>
  <c r="H327" i="2"/>
  <c r="G327" i="2"/>
  <c r="J326" i="2"/>
  <c r="H326" i="2"/>
  <c r="G326" i="2"/>
  <c r="J325" i="2"/>
  <c r="H325" i="2"/>
  <c r="G325" i="2"/>
  <c r="J324" i="2"/>
  <c r="H324" i="2"/>
  <c r="G324" i="2"/>
  <c r="J323" i="2"/>
  <c r="H323" i="2"/>
  <c r="G323" i="2"/>
  <c r="J322" i="2"/>
  <c r="H322" i="2"/>
  <c r="G322" i="2"/>
  <c r="J321" i="2"/>
  <c r="H321" i="2"/>
  <c r="G321" i="2"/>
  <c r="J320" i="2"/>
  <c r="H320" i="2"/>
  <c r="G320" i="2"/>
  <c r="J319" i="2"/>
  <c r="H319" i="2"/>
  <c r="G319" i="2"/>
  <c r="J318" i="2"/>
  <c r="H318" i="2"/>
  <c r="G318" i="2"/>
  <c r="J317" i="2"/>
  <c r="H317" i="2"/>
  <c r="G317" i="2"/>
  <c r="J316" i="2"/>
  <c r="H316" i="2"/>
  <c r="G316" i="2"/>
  <c r="J315" i="2"/>
  <c r="H315" i="2"/>
  <c r="G315" i="2"/>
  <c r="J314" i="2"/>
  <c r="H314" i="2"/>
  <c r="G314" i="2"/>
  <c r="J313" i="2"/>
  <c r="H313" i="2"/>
  <c r="G313" i="2"/>
  <c r="J312" i="2"/>
  <c r="H312" i="2"/>
  <c r="G312" i="2"/>
  <c r="J311" i="2"/>
  <c r="H311" i="2"/>
  <c r="G311" i="2"/>
  <c r="J310" i="2"/>
  <c r="H310" i="2"/>
  <c r="G310" i="2"/>
  <c r="J309" i="2"/>
  <c r="H309" i="2"/>
  <c r="G309" i="2"/>
  <c r="J308" i="2"/>
  <c r="H308" i="2"/>
  <c r="G308" i="2"/>
  <c r="J307" i="2"/>
  <c r="H307" i="2"/>
  <c r="G307" i="2"/>
  <c r="J306" i="2"/>
  <c r="H306" i="2"/>
  <c r="G306" i="2"/>
  <c r="J305" i="2"/>
  <c r="H305" i="2"/>
  <c r="G305" i="2"/>
  <c r="J304" i="2"/>
  <c r="H304" i="2"/>
  <c r="G304" i="2"/>
  <c r="J303" i="2"/>
  <c r="H303" i="2"/>
  <c r="G303" i="2"/>
  <c r="J302" i="2"/>
  <c r="H302" i="2"/>
  <c r="G302" i="2"/>
  <c r="J301" i="2"/>
  <c r="H301" i="2"/>
  <c r="G301" i="2"/>
  <c r="J300" i="2"/>
  <c r="H300" i="2"/>
  <c r="G300" i="2"/>
  <c r="J299" i="2"/>
  <c r="H299" i="2"/>
  <c r="G299" i="2"/>
  <c r="J298" i="2"/>
  <c r="H298" i="2"/>
  <c r="G298" i="2"/>
  <c r="J297" i="2"/>
  <c r="H297" i="2"/>
  <c r="G297" i="2"/>
  <c r="J296" i="2"/>
  <c r="H296" i="2"/>
  <c r="G296" i="2"/>
  <c r="J295" i="2"/>
  <c r="H295" i="2"/>
  <c r="G295" i="2"/>
  <c r="J294" i="2"/>
  <c r="H294" i="2"/>
  <c r="G294" i="2"/>
  <c r="J293" i="2"/>
  <c r="H293" i="2"/>
  <c r="G293" i="2"/>
  <c r="J292" i="2"/>
  <c r="H292" i="2"/>
  <c r="G292" i="2"/>
  <c r="J291" i="2"/>
  <c r="H291" i="2"/>
  <c r="G291" i="2"/>
  <c r="J290" i="2"/>
  <c r="H290" i="2"/>
  <c r="G290" i="2"/>
  <c r="J289" i="2"/>
  <c r="H289" i="2"/>
  <c r="G289" i="2"/>
  <c r="J288" i="2"/>
  <c r="H288" i="2"/>
  <c r="G288" i="2"/>
  <c r="J287" i="2"/>
  <c r="H287" i="2"/>
  <c r="G287" i="2"/>
  <c r="J286" i="2"/>
  <c r="H286" i="2"/>
  <c r="G286" i="2"/>
  <c r="J285" i="2"/>
  <c r="H285" i="2"/>
  <c r="G285" i="2"/>
  <c r="J284" i="2"/>
  <c r="H284" i="2"/>
  <c r="G284" i="2"/>
  <c r="J283" i="2"/>
  <c r="H283" i="2"/>
  <c r="G283" i="2"/>
  <c r="J282" i="2"/>
  <c r="H282" i="2"/>
  <c r="G282" i="2"/>
  <c r="J281" i="2"/>
  <c r="H281" i="2"/>
  <c r="G281" i="2"/>
  <c r="J280" i="2"/>
  <c r="H280" i="2"/>
  <c r="G280" i="2"/>
  <c r="J279" i="2"/>
  <c r="H279" i="2"/>
  <c r="G279" i="2"/>
  <c r="J278" i="2"/>
  <c r="H278" i="2"/>
  <c r="G278" i="2"/>
  <c r="J277" i="2"/>
  <c r="H277" i="2"/>
  <c r="G277" i="2"/>
  <c r="J276" i="2"/>
  <c r="H276" i="2"/>
  <c r="G276" i="2"/>
  <c r="J275" i="2"/>
  <c r="H275" i="2"/>
  <c r="G275" i="2"/>
  <c r="J274" i="2"/>
  <c r="H274" i="2"/>
  <c r="G274" i="2"/>
  <c r="J273" i="2"/>
  <c r="H273" i="2"/>
  <c r="G273" i="2"/>
  <c r="J272" i="2"/>
  <c r="H272" i="2"/>
  <c r="G272" i="2"/>
  <c r="J271" i="2"/>
  <c r="H271" i="2"/>
  <c r="G271" i="2"/>
  <c r="J270" i="2"/>
  <c r="H270" i="2"/>
  <c r="G270" i="2"/>
  <c r="J269" i="2"/>
  <c r="H269" i="2"/>
  <c r="G269" i="2"/>
  <c r="J268" i="2"/>
  <c r="H268" i="2"/>
  <c r="G268" i="2"/>
  <c r="J267" i="2"/>
  <c r="H267" i="2"/>
  <c r="G267" i="2"/>
  <c r="J266" i="2"/>
  <c r="H266" i="2"/>
  <c r="G266" i="2"/>
  <c r="J265" i="2"/>
  <c r="H265" i="2"/>
  <c r="G265" i="2"/>
  <c r="J264" i="2"/>
  <c r="H264" i="2"/>
  <c r="G264" i="2"/>
  <c r="J263" i="2"/>
  <c r="H263" i="2"/>
  <c r="G263" i="2"/>
  <c r="J262" i="2"/>
  <c r="H262" i="2"/>
  <c r="G262" i="2"/>
  <c r="J261" i="2"/>
  <c r="H261" i="2"/>
  <c r="G261" i="2"/>
  <c r="J260" i="2"/>
  <c r="H260" i="2"/>
  <c r="G260" i="2"/>
  <c r="J259" i="2"/>
  <c r="H259" i="2"/>
  <c r="G259" i="2"/>
  <c r="J258" i="2"/>
  <c r="H258" i="2"/>
  <c r="G258" i="2"/>
  <c r="J257" i="2"/>
  <c r="H257" i="2"/>
  <c r="G257" i="2"/>
  <c r="J256" i="2"/>
  <c r="H256" i="2"/>
  <c r="G256" i="2"/>
  <c r="J255" i="2"/>
  <c r="H255" i="2"/>
  <c r="G255" i="2"/>
  <c r="J254" i="2"/>
  <c r="H254" i="2"/>
  <c r="G254" i="2"/>
  <c r="J253" i="2"/>
  <c r="H253" i="2"/>
  <c r="G253" i="2"/>
  <c r="J252" i="2"/>
  <c r="H252" i="2"/>
  <c r="G252" i="2"/>
  <c r="J251" i="2"/>
  <c r="H251" i="2"/>
  <c r="G251" i="2"/>
  <c r="J250" i="2"/>
  <c r="H250" i="2"/>
  <c r="G250" i="2"/>
  <c r="J249" i="2"/>
  <c r="H249" i="2"/>
  <c r="G249" i="2"/>
  <c r="J248" i="2"/>
  <c r="H248" i="2"/>
  <c r="G248" i="2"/>
  <c r="J247" i="2"/>
  <c r="H247" i="2"/>
  <c r="G247" i="2"/>
  <c r="J246" i="2"/>
  <c r="H246" i="2"/>
  <c r="G246" i="2"/>
  <c r="J245" i="2"/>
  <c r="H245" i="2"/>
  <c r="G245" i="2"/>
  <c r="J244" i="2"/>
  <c r="H244" i="2"/>
  <c r="G244" i="2"/>
  <c r="J243" i="2"/>
  <c r="H243" i="2"/>
  <c r="G243" i="2"/>
  <c r="J242" i="2"/>
  <c r="H242" i="2"/>
  <c r="G242" i="2"/>
  <c r="J241" i="2"/>
  <c r="H241" i="2"/>
  <c r="G241" i="2"/>
  <c r="J240" i="2"/>
  <c r="H240" i="2"/>
  <c r="G240" i="2"/>
  <c r="J239" i="2"/>
  <c r="H239" i="2"/>
  <c r="G239" i="2"/>
  <c r="J238" i="2"/>
  <c r="H238" i="2"/>
  <c r="G238" i="2"/>
  <c r="J237" i="2"/>
  <c r="H237" i="2"/>
  <c r="G237" i="2"/>
  <c r="J236" i="2"/>
  <c r="H236" i="2"/>
  <c r="G236" i="2"/>
  <c r="J235" i="2"/>
  <c r="H235" i="2"/>
  <c r="G235" i="2"/>
  <c r="J234" i="2"/>
  <c r="H234" i="2"/>
  <c r="G234" i="2"/>
  <c r="J233" i="2"/>
  <c r="H233" i="2"/>
  <c r="G233" i="2"/>
  <c r="J232" i="2"/>
  <c r="H232" i="2"/>
  <c r="G232" i="2"/>
  <c r="J231" i="2"/>
  <c r="H231" i="2"/>
  <c r="G231" i="2"/>
  <c r="J230" i="2"/>
  <c r="H230" i="2"/>
  <c r="G230" i="2"/>
  <c r="J229" i="2"/>
  <c r="H229" i="2"/>
  <c r="G229" i="2"/>
  <c r="J228" i="2"/>
  <c r="H228" i="2"/>
  <c r="G228" i="2"/>
  <c r="J227" i="2"/>
  <c r="H227" i="2"/>
  <c r="G227" i="2"/>
  <c r="J226" i="2"/>
  <c r="H226" i="2"/>
  <c r="G226" i="2"/>
  <c r="J225" i="2"/>
  <c r="H225" i="2"/>
  <c r="G225" i="2"/>
  <c r="J224" i="2"/>
  <c r="H224" i="2"/>
  <c r="G224" i="2"/>
  <c r="J223" i="2"/>
  <c r="H223" i="2"/>
  <c r="G223" i="2"/>
  <c r="J222" i="2"/>
  <c r="H222" i="2"/>
  <c r="G222" i="2"/>
  <c r="J221" i="2"/>
  <c r="H221" i="2"/>
  <c r="G221" i="2"/>
  <c r="J220" i="2"/>
  <c r="H220" i="2"/>
  <c r="G220" i="2"/>
  <c r="J219" i="2"/>
  <c r="H219" i="2"/>
  <c r="G219" i="2"/>
  <c r="J218" i="2"/>
  <c r="H218" i="2"/>
  <c r="G218" i="2"/>
  <c r="J217" i="2"/>
  <c r="H217" i="2"/>
  <c r="G217" i="2"/>
  <c r="J216" i="2"/>
  <c r="H216" i="2"/>
  <c r="G216" i="2"/>
  <c r="J215" i="2"/>
  <c r="H215" i="2"/>
  <c r="G215" i="2"/>
  <c r="J214" i="2"/>
  <c r="H214" i="2"/>
  <c r="G214" i="2"/>
  <c r="J213" i="2"/>
  <c r="H213" i="2"/>
  <c r="G213" i="2"/>
  <c r="J212" i="2"/>
  <c r="H212" i="2"/>
  <c r="G212" i="2"/>
  <c r="J211" i="2"/>
  <c r="H211" i="2"/>
  <c r="G211" i="2"/>
  <c r="J210" i="2"/>
  <c r="H210" i="2"/>
  <c r="G210" i="2"/>
  <c r="J209" i="2"/>
  <c r="H209" i="2"/>
  <c r="G209" i="2"/>
  <c r="J208" i="2"/>
  <c r="H208" i="2"/>
  <c r="G208" i="2"/>
  <c r="J207" i="2"/>
  <c r="H207" i="2"/>
  <c r="G207" i="2"/>
  <c r="J206" i="2"/>
  <c r="H206" i="2"/>
  <c r="G206" i="2"/>
  <c r="J205" i="2"/>
  <c r="H205" i="2"/>
  <c r="G205" i="2"/>
  <c r="J204" i="2"/>
  <c r="H204" i="2"/>
  <c r="G204" i="2"/>
  <c r="J203" i="2"/>
  <c r="H203" i="2"/>
  <c r="G203" i="2"/>
  <c r="J202" i="2"/>
  <c r="H202" i="2"/>
  <c r="G202" i="2"/>
  <c r="J201" i="2"/>
  <c r="H201" i="2"/>
  <c r="G201" i="2"/>
  <c r="J200" i="2"/>
  <c r="H200" i="2"/>
  <c r="G200" i="2"/>
  <c r="J199" i="2"/>
  <c r="H199" i="2"/>
  <c r="G199" i="2"/>
  <c r="J198" i="2"/>
  <c r="H198" i="2"/>
  <c r="G198" i="2"/>
  <c r="J197" i="2"/>
  <c r="H197" i="2"/>
  <c r="G197" i="2"/>
  <c r="J196" i="2"/>
  <c r="H196" i="2"/>
  <c r="G196" i="2"/>
  <c r="J195" i="2"/>
  <c r="H195" i="2"/>
  <c r="G195" i="2"/>
  <c r="J194" i="2"/>
  <c r="H194" i="2"/>
  <c r="G194" i="2"/>
  <c r="J193" i="2"/>
  <c r="H193" i="2"/>
  <c r="G193" i="2"/>
  <c r="J192" i="2"/>
  <c r="H192" i="2"/>
  <c r="G192" i="2"/>
  <c r="J191" i="2"/>
  <c r="H191" i="2"/>
  <c r="G191" i="2"/>
  <c r="J190" i="2"/>
  <c r="H190" i="2"/>
  <c r="G190" i="2"/>
  <c r="J189" i="2"/>
  <c r="H189" i="2"/>
  <c r="G189" i="2"/>
  <c r="J188" i="2"/>
  <c r="H188" i="2"/>
  <c r="G188" i="2"/>
  <c r="J187" i="2"/>
  <c r="H187" i="2"/>
  <c r="G187" i="2"/>
  <c r="J186" i="2"/>
  <c r="H186" i="2"/>
  <c r="G186" i="2"/>
  <c r="J185" i="2"/>
  <c r="H185" i="2"/>
  <c r="G185" i="2"/>
  <c r="J184" i="2"/>
  <c r="H184" i="2"/>
  <c r="G184" i="2"/>
  <c r="J183" i="2"/>
  <c r="H183" i="2"/>
  <c r="G183" i="2"/>
  <c r="J182" i="2"/>
  <c r="H182" i="2"/>
  <c r="G182" i="2"/>
  <c r="J181" i="2"/>
  <c r="H181" i="2"/>
  <c r="G181" i="2"/>
  <c r="J180" i="2"/>
  <c r="H180" i="2"/>
  <c r="G180" i="2"/>
  <c r="J179" i="2"/>
  <c r="H179" i="2"/>
  <c r="G179" i="2"/>
  <c r="J178" i="2"/>
  <c r="H178" i="2"/>
  <c r="G178" i="2"/>
  <c r="J177" i="2"/>
  <c r="H177" i="2"/>
  <c r="G177" i="2"/>
  <c r="J176" i="2"/>
  <c r="H176" i="2"/>
  <c r="G176" i="2"/>
  <c r="J175" i="2"/>
  <c r="H175" i="2"/>
  <c r="G175" i="2"/>
  <c r="J174" i="2"/>
  <c r="H174" i="2"/>
  <c r="G174" i="2"/>
  <c r="J173" i="2"/>
  <c r="H173" i="2"/>
  <c r="G173" i="2"/>
  <c r="J172" i="2"/>
  <c r="H172" i="2"/>
  <c r="G172" i="2"/>
  <c r="J171" i="2"/>
  <c r="H171" i="2"/>
  <c r="G171" i="2"/>
  <c r="J170" i="2"/>
  <c r="H170" i="2"/>
  <c r="G170" i="2"/>
  <c r="J169" i="2"/>
  <c r="H169" i="2"/>
  <c r="G169" i="2"/>
  <c r="J168" i="2"/>
  <c r="H168" i="2"/>
  <c r="G168" i="2"/>
  <c r="J167" i="2"/>
  <c r="H167" i="2"/>
  <c r="G167" i="2"/>
  <c r="J166" i="2"/>
  <c r="H166" i="2"/>
  <c r="G166" i="2"/>
  <c r="J165" i="2"/>
  <c r="H165" i="2"/>
  <c r="G165" i="2"/>
  <c r="J164" i="2"/>
  <c r="H164" i="2"/>
  <c r="G164" i="2"/>
  <c r="J163" i="2"/>
  <c r="H163" i="2"/>
  <c r="G163" i="2"/>
  <c r="J162" i="2"/>
  <c r="H162" i="2"/>
  <c r="G162" i="2"/>
  <c r="J161" i="2"/>
  <c r="H161" i="2"/>
  <c r="G161" i="2"/>
  <c r="J160" i="2"/>
  <c r="H160" i="2"/>
  <c r="G160" i="2"/>
  <c r="J159" i="2"/>
  <c r="H159" i="2"/>
  <c r="G159" i="2"/>
  <c r="J158" i="2"/>
  <c r="H158" i="2"/>
  <c r="G158" i="2"/>
  <c r="J157" i="2"/>
  <c r="H157" i="2"/>
  <c r="G157" i="2"/>
  <c r="J156" i="2"/>
  <c r="H156" i="2"/>
  <c r="G156" i="2"/>
  <c r="J155" i="2"/>
  <c r="H155" i="2"/>
  <c r="G155" i="2"/>
  <c r="J154" i="2"/>
  <c r="H154" i="2"/>
  <c r="G154" i="2"/>
  <c r="J153" i="2"/>
  <c r="H153" i="2"/>
  <c r="G153" i="2"/>
  <c r="J152" i="2"/>
  <c r="H152" i="2"/>
  <c r="G152" i="2"/>
  <c r="J151" i="2"/>
  <c r="H151" i="2"/>
  <c r="G151" i="2"/>
  <c r="J150" i="2"/>
  <c r="H150" i="2"/>
  <c r="G150" i="2"/>
  <c r="J149" i="2"/>
  <c r="H149" i="2"/>
  <c r="G149" i="2"/>
  <c r="J148" i="2"/>
  <c r="H148" i="2"/>
  <c r="G148" i="2"/>
  <c r="J147" i="2"/>
  <c r="H147" i="2"/>
  <c r="G147" i="2"/>
  <c r="J146" i="2"/>
  <c r="H146" i="2"/>
  <c r="G146" i="2"/>
  <c r="J145" i="2"/>
  <c r="H145" i="2"/>
  <c r="G145" i="2"/>
  <c r="J144" i="2"/>
  <c r="H144" i="2"/>
  <c r="G144" i="2"/>
  <c r="J143" i="2"/>
  <c r="H143" i="2"/>
  <c r="G143" i="2"/>
  <c r="J142" i="2"/>
  <c r="H142" i="2"/>
  <c r="G142" i="2"/>
  <c r="J141" i="2"/>
  <c r="H141" i="2"/>
  <c r="G141" i="2"/>
  <c r="J140" i="2"/>
  <c r="H140" i="2"/>
  <c r="G140" i="2"/>
  <c r="J139" i="2"/>
  <c r="H139" i="2"/>
  <c r="G139" i="2"/>
  <c r="J138" i="2"/>
  <c r="H138" i="2"/>
  <c r="G138" i="2"/>
  <c r="J137" i="2"/>
  <c r="H137" i="2"/>
  <c r="G137" i="2"/>
  <c r="J136" i="2"/>
  <c r="H136" i="2"/>
  <c r="G136" i="2"/>
  <c r="J135" i="2"/>
  <c r="H135" i="2"/>
  <c r="G135" i="2"/>
  <c r="J134" i="2"/>
  <c r="H134" i="2"/>
  <c r="G134" i="2"/>
  <c r="J133" i="2"/>
  <c r="H133" i="2"/>
  <c r="G133" i="2"/>
  <c r="J132" i="2"/>
  <c r="H132" i="2"/>
  <c r="G132" i="2"/>
  <c r="J131" i="2"/>
  <c r="H131" i="2"/>
  <c r="G131" i="2"/>
  <c r="J130" i="2"/>
  <c r="H130" i="2"/>
  <c r="G130" i="2"/>
  <c r="J129" i="2"/>
  <c r="H129" i="2"/>
  <c r="G129" i="2"/>
  <c r="J128" i="2"/>
  <c r="H128" i="2"/>
  <c r="G128" i="2"/>
  <c r="J127" i="2"/>
  <c r="H127" i="2"/>
  <c r="G127" i="2"/>
  <c r="J126" i="2"/>
  <c r="H126" i="2"/>
  <c r="G126" i="2"/>
  <c r="J125" i="2"/>
  <c r="H125" i="2"/>
  <c r="G125" i="2"/>
  <c r="J124" i="2"/>
  <c r="H124" i="2"/>
  <c r="G124" i="2"/>
  <c r="J123" i="2"/>
  <c r="H123" i="2"/>
  <c r="G123" i="2"/>
  <c r="J122" i="2"/>
  <c r="H122" i="2"/>
  <c r="G122" i="2"/>
  <c r="J121" i="2"/>
  <c r="H121" i="2"/>
  <c r="G121" i="2"/>
  <c r="J120" i="2"/>
  <c r="H120" i="2"/>
  <c r="G120" i="2"/>
  <c r="J119" i="2"/>
  <c r="H119" i="2"/>
  <c r="G119" i="2"/>
  <c r="J118" i="2"/>
  <c r="H118" i="2"/>
  <c r="G118" i="2"/>
  <c r="J117" i="2"/>
  <c r="H117" i="2"/>
  <c r="G117" i="2"/>
  <c r="J116" i="2"/>
  <c r="H116" i="2"/>
  <c r="G116" i="2"/>
  <c r="J115" i="2"/>
  <c r="H115" i="2"/>
  <c r="G115" i="2"/>
  <c r="J114" i="2"/>
  <c r="H114" i="2"/>
  <c r="G114" i="2"/>
  <c r="J113" i="2"/>
  <c r="H113" i="2"/>
  <c r="G113" i="2"/>
  <c r="J112" i="2"/>
  <c r="H112" i="2"/>
  <c r="G112" i="2"/>
  <c r="J111" i="2"/>
  <c r="H111" i="2"/>
  <c r="G111" i="2"/>
  <c r="J110" i="2"/>
  <c r="H110" i="2"/>
  <c r="G110" i="2"/>
  <c r="J109" i="2"/>
  <c r="H109" i="2"/>
  <c r="G109" i="2"/>
  <c r="J108" i="2"/>
  <c r="H108" i="2"/>
  <c r="G108" i="2"/>
  <c r="J107" i="2"/>
  <c r="H107" i="2"/>
  <c r="G107" i="2"/>
  <c r="J106" i="2"/>
  <c r="H106" i="2"/>
  <c r="G106" i="2"/>
  <c r="J105" i="2"/>
  <c r="H105" i="2"/>
  <c r="G105" i="2"/>
  <c r="J104" i="2"/>
  <c r="H104" i="2"/>
  <c r="G104" i="2"/>
  <c r="J103" i="2"/>
  <c r="H103" i="2"/>
  <c r="G103" i="2"/>
  <c r="J102" i="2"/>
  <c r="H102" i="2"/>
  <c r="G102" i="2"/>
  <c r="J101" i="2"/>
  <c r="H101" i="2"/>
  <c r="G101" i="2"/>
  <c r="J100" i="2"/>
  <c r="H100" i="2"/>
  <c r="G100" i="2"/>
  <c r="J99" i="2"/>
  <c r="H99" i="2"/>
  <c r="G99" i="2"/>
  <c r="J98" i="2"/>
  <c r="H98" i="2"/>
  <c r="G98" i="2"/>
  <c r="J97" i="2"/>
  <c r="H97" i="2"/>
  <c r="G97" i="2"/>
  <c r="J96" i="2"/>
  <c r="H96" i="2"/>
  <c r="G96" i="2"/>
  <c r="J95" i="2"/>
  <c r="H95" i="2"/>
  <c r="G95" i="2"/>
  <c r="J94" i="2"/>
  <c r="H94" i="2"/>
  <c r="G94" i="2"/>
  <c r="J93" i="2"/>
  <c r="H93" i="2"/>
  <c r="G93" i="2"/>
  <c r="J92" i="2"/>
  <c r="H92" i="2"/>
  <c r="G92" i="2"/>
  <c r="J91" i="2"/>
  <c r="H91" i="2"/>
  <c r="G91" i="2"/>
  <c r="J90" i="2"/>
  <c r="H90" i="2"/>
  <c r="G90" i="2"/>
  <c r="J89" i="2"/>
  <c r="H89" i="2"/>
  <c r="G89" i="2"/>
  <c r="J88" i="2"/>
  <c r="H88" i="2"/>
  <c r="G88" i="2"/>
  <c r="J87" i="2"/>
  <c r="H87" i="2"/>
  <c r="G87" i="2"/>
  <c r="J86" i="2"/>
  <c r="H86" i="2"/>
  <c r="G86" i="2"/>
  <c r="J85" i="2"/>
  <c r="H85" i="2"/>
  <c r="G85" i="2"/>
  <c r="J84" i="2"/>
  <c r="H84" i="2"/>
  <c r="G84" i="2"/>
  <c r="J83" i="2"/>
  <c r="H83" i="2"/>
  <c r="G83" i="2"/>
  <c r="J82" i="2"/>
  <c r="H82" i="2"/>
  <c r="G82" i="2"/>
  <c r="J81" i="2"/>
  <c r="H81" i="2"/>
  <c r="G81" i="2"/>
  <c r="J80" i="2"/>
  <c r="H80" i="2"/>
  <c r="G80" i="2"/>
  <c r="J79" i="2"/>
  <c r="H79" i="2"/>
  <c r="G79" i="2"/>
  <c r="J78" i="2"/>
  <c r="H78" i="2"/>
  <c r="G78" i="2"/>
  <c r="J77" i="2"/>
  <c r="H77" i="2"/>
  <c r="G77" i="2"/>
  <c r="J76" i="2"/>
  <c r="H76" i="2"/>
  <c r="G76" i="2"/>
  <c r="J75" i="2"/>
  <c r="H75" i="2"/>
  <c r="G75" i="2"/>
  <c r="J74" i="2"/>
  <c r="H74" i="2"/>
  <c r="G74" i="2"/>
  <c r="J73" i="2"/>
  <c r="H73" i="2"/>
  <c r="G73" i="2"/>
  <c r="J72" i="2"/>
  <c r="H72" i="2"/>
  <c r="G72" i="2"/>
  <c r="J71" i="2"/>
  <c r="H71" i="2"/>
  <c r="G71" i="2"/>
  <c r="J70" i="2"/>
  <c r="H70" i="2"/>
  <c r="G70" i="2"/>
  <c r="J69" i="2"/>
  <c r="H69" i="2"/>
  <c r="G69" i="2"/>
  <c r="J68" i="2"/>
  <c r="H68" i="2"/>
  <c r="G68" i="2"/>
  <c r="J67" i="2"/>
  <c r="H67" i="2"/>
  <c r="G67" i="2"/>
  <c r="J66" i="2"/>
  <c r="H66" i="2"/>
  <c r="G66" i="2"/>
  <c r="J65" i="2"/>
  <c r="H65" i="2"/>
  <c r="G65" i="2"/>
  <c r="J64" i="2"/>
  <c r="H64" i="2"/>
  <c r="G64" i="2"/>
  <c r="J63" i="2"/>
  <c r="H63" i="2"/>
  <c r="G63" i="2"/>
  <c r="J62" i="2"/>
  <c r="H62" i="2"/>
  <c r="G62" i="2"/>
  <c r="J61" i="2"/>
  <c r="H61" i="2"/>
  <c r="G61" i="2"/>
  <c r="J60" i="2"/>
  <c r="H60" i="2"/>
  <c r="G60" i="2"/>
  <c r="J59" i="2"/>
  <c r="H59" i="2"/>
  <c r="G59" i="2"/>
  <c r="J58" i="2"/>
  <c r="H58" i="2"/>
  <c r="G58" i="2"/>
  <c r="J57" i="2"/>
  <c r="H57" i="2"/>
  <c r="G57" i="2"/>
  <c r="J56" i="2"/>
  <c r="H56" i="2"/>
  <c r="G56" i="2"/>
  <c r="J55" i="2"/>
  <c r="H55" i="2"/>
  <c r="G55" i="2"/>
  <c r="J54" i="2"/>
  <c r="H54" i="2"/>
  <c r="G54" i="2"/>
  <c r="J53" i="2"/>
  <c r="H53" i="2"/>
  <c r="G53" i="2"/>
  <c r="J52" i="2"/>
  <c r="H52" i="2"/>
  <c r="G52" i="2"/>
  <c r="J51" i="2"/>
  <c r="H51" i="2"/>
  <c r="G51" i="2"/>
  <c r="J50" i="2"/>
  <c r="H50" i="2"/>
  <c r="G50" i="2"/>
  <c r="J49" i="2"/>
  <c r="H49" i="2"/>
  <c r="G49" i="2"/>
  <c r="J48" i="2"/>
  <c r="H48" i="2"/>
  <c r="G48" i="2"/>
  <c r="J47" i="2"/>
  <c r="H47" i="2"/>
  <c r="G47" i="2"/>
  <c r="J46" i="2"/>
  <c r="H46" i="2"/>
  <c r="G46" i="2"/>
  <c r="J45" i="2"/>
  <c r="H45" i="2"/>
  <c r="G45" i="2"/>
  <c r="J44" i="2"/>
  <c r="H44" i="2"/>
  <c r="G44" i="2"/>
  <c r="J43" i="2"/>
  <c r="H43" i="2"/>
  <c r="G43" i="2"/>
  <c r="J42" i="2"/>
  <c r="H42" i="2"/>
  <c r="G42" i="2"/>
  <c r="J41" i="2"/>
  <c r="H41" i="2"/>
  <c r="G41" i="2"/>
  <c r="J40" i="2"/>
  <c r="H40" i="2"/>
  <c r="G40" i="2"/>
  <c r="J39" i="2"/>
  <c r="H39" i="2"/>
  <c r="G39" i="2"/>
  <c r="J38" i="2"/>
  <c r="H38" i="2"/>
  <c r="G38" i="2"/>
  <c r="J37" i="2"/>
  <c r="H37" i="2"/>
  <c r="G37" i="2"/>
  <c r="J36" i="2"/>
  <c r="H36" i="2"/>
  <c r="G36" i="2"/>
  <c r="J35" i="2"/>
  <c r="H35" i="2"/>
  <c r="G35" i="2"/>
  <c r="J34" i="2"/>
  <c r="H34" i="2"/>
  <c r="G34" i="2"/>
  <c r="J33" i="2"/>
  <c r="H33" i="2"/>
  <c r="G33" i="2"/>
  <c r="J32" i="2"/>
  <c r="H32" i="2"/>
  <c r="G32" i="2"/>
  <c r="J31" i="2"/>
  <c r="H31" i="2"/>
  <c r="G31" i="2"/>
  <c r="J30" i="2"/>
  <c r="H30" i="2"/>
  <c r="G30" i="2"/>
  <c r="J29" i="2"/>
  <c r="H29" i="2"/>
  <c r="G29" i="2"/>
  <c r="J28" i="2"/>
  <c r="H28" i="2"/>
  <c r="G28" i="2"/>
  <c r="J27" i="2"/>
  <c r="H27" i="2"/>
  <c r="G27" i="2"/>
  <c r="J26" i="2"/>
  <c r="H26" i="2"/>
  <c r="G26" i="2"/>
  <c r="J25" i="2"/>
  <c r="H25" i="2"/>
  <c r="G25" i="2"/>
  <c r="J24" i="2"/>
  <c r="H24" i="2"/>
  <c r="G24" i="2"/>
  <c r="J23" i="2"/>
  <c r="H23" i="2"/>
  <c r="G23" i="2"/>
  <c r="J22" i="2"/>
  <c r="H22" i="2"/>
  <c r="G22" i="2"/>
  <c r="J21" i="2"/>
  <c r="H21" i="2"/>
  <c r="G21" i="2"/>
  <c r="J20" i="2"/>
  <c r="H20" i="2"/>
  <c r="G20" i="2"/>
  <c r="J19" i="2"/>
  <c r="H19" i="2"/>
  <c r="G19" i="2"/>
  <c r="J18" i="2"/>
  <c r="H18" i="2"/>
  <c r="G18" i="2"/>
  <c r="J17" i="2"/>
  <c r="H17" i="2"/>
  <c r="G17" i="2"/>
  <c r="J16" i="2"/>
  <c r="H16" i="2"/>
  <c r="G16" i="2"/>
  <c r="J15" i="2"/>
  <c r="H15" i="2"/>
  <c r="G15" i="2"/>
  <c r="J14" i="2"/>
  <c r="H14" i="2"/>
  <c r="G14" i="2"/>
  <c r="J13" i="2"/>
  <c r="H13" i="2"/>
  <c r="G13" i="2"/>
  <c r="J12" i="2"/>
  <c r="H12" i="2"/>
  <c r="G12" i="2"/>
  <c r="J11" i="2"/>
  <c r="H11" i="2"/>
  <c r="G11" i="2"/>
  <c r="J10" i="2"/>
  <c r="H10" i="2"/>
  <c r="G10" i="2"/>
  <c r="J9" i="2"/>
  <c r="H9" i="2"/>
  <c r="G9" i="2"/>
  <c r="J8" i="2"/>
  <c r="H8" i="2"/>
  <c r="G8" i="2"/>
  <c r="J7" i="2"/>
  <c r="H7" i="2"/>
  <c r="G7" i="2"/>
  <c r="J6" i="2"/>
  <c r="H6" i="2"/>
  <c r="G6" i="2"/>
  <c r="J5" i="2"/>
  <c r="H5" i="2"/>
  <c r="G5" i="2"/>
  <c r="J4" i="2"/>
  <c r="H4" i="2"/>
  <c r="G4" i="2"/>
  <c r="J3" i="2"/>
  <c r="H3" i="2"/>
  <c r="G3" i="2"/>
  <c r="J2" i="2"/>
  <c r="H2" i="2"/>
  <c r="G2" i="2"/>
  <c r="J1" i="2"/>
  <c r="H1" i="2"/>
  <c r="G1" i="2"/>
  <c r="Q2545" i="1"/>
  <c r="Q2489" i="1"/>
  <c r="Q2478" i="1"/>
  <c r="Q1943" i="1"/>
  <c r="Q1845" i="1"/>
  <c r="Q1715" i="1"/>
  <c r="Q1612" i="1"/>
  <c r="Q1589" i="1"/>
  <c r="Q1575" i="1"/>
  <c r="Q1561" i="1"/>
  <c r="Q1458" i="1"/>
  <c r="Q1444" i="1"/>
  <c r="Q1313" i="1"/>
  <c r="Q1201" i="1"/>
  <c r="Q1137" i="1"/>
  <c r="Q1094" i="1"/>
  <c r="Q1080" i="1"/>
  <c r="Q884" i="1"/>
  <c r="Q879" i="1"/>
  <c r="Q856" i="1"/>
  <c r="Q809" i="1"/>
  <c r="Q702" i="1"/>
  <c r="Q655" i="1"/>
  <c r="Q613" i="1"/>
  <c r="Q520" i="1"/>
  <c r="Q515" i="1"/>
  <c r="Q450" i="1"/>
  <c r="Q417" i="1"/>
  <c r="Q403" i="1"/>
  <c r="Q389" i="1"/>
  <c r="Q347" i="1"/>
  <c r="Q198" i="1"/>
  <c r="G3053" i="1"/>
  <c r="J3055" i="1"/>
  <c r="H3055" i="1"/>
  <c r="G3055" i="1"/>
  <c r="J3054" i="1"/>
  <c r="H3054" i="1"/>
  <c r="G3054" i="1"/>
  <c r="J3053" i="1"/>
  <c r="H3053" i="1"/>
  <c r="J3052" i="1"/>
  <c r="H3052" i="1"/>
  <c r="G3052" i="1"/>
  <c r="J3051" i="1"/>
  <c r="H3051" i="1"/>
  <c r="G3051" i="1"/>
  <c r="J3050" i="1"/>
  <c r="H3050" i="1"/>
  <c r="G3050" i="1"/>
  <c r="J3049" i="1"/>
  <c r="H3049" i="1"/>
  <c r="G3049" i="1"/>
  <c r="J3048" i="1"/>
  <c r="H3048" i="1"/>
  <c r="G3048" i="1"/>
  <c r="J3047" i="1"/>
  <c r="H3047" i="1"/>
  <c r="G3047" i="1"/>
  <c r="J3046" i="1"/>
  <c r="H3046" i="1"/>
  <c r="G3046" i="1"/>
  <c r="J3045" i="1"/>
  <c r="H3045" i="1"/>
  <c r="G3045" i="1"/>
  <c r="J3044" i="1"/>
  <c r="H3044" i="1"/>
  <c r="G3044" i="1"/>
  <c r="J3043" i="1"/>
  <c r="H3043" i="1"/>
  <c r="G3043" i="1"/>
  <c r="J3042" i="1"/>
  <c r="H3042" i="1"/>
  <c r="G3042" i="1"/>
  <c r="J3041" i="1"/>
  <c r="H3041" i="1"/>
  <c r="G3041" i="1"/>
  <c r="J3040" i="1"/>
  <c r="H3040" i="1"/>
  <c r="G3040" i="1"/>
  <c r="J3039" i="1"/>
  <c r="H3039" i="1"/>
  <c r="G3039" i="1"/>
  <c r="J3038" i="1"/>
  <c r="H3038" i="1"/>
  <c r="G3038" i="1"/>
  <c r="J3037" i="1"/>
  <c r="H3037" i="1"/>
  <c r="G3037" i="1"/>
  <c r="J3036" i="1"/>
  <c r="H3036" i="1"/>
  <c r="G3036" i="1"/>
  <c r="J3035" i="1"/>
  <c r="H3035" i="1"/>
  <c r="G3035" i="1"/>
  <c r="J3034" i="1"/>
  <c r="H3034" i="1"/>
  <c r="G3034" i="1"/>
  <c r="J3033" i="1"/>
  <c r="H3033" i="1"/>
  <c r="G3033" i="1"/>
  <c r="J3032" i="1"/>
  <c r="H3032" i="1"/>
  <c r="G3032" i="1"/>
  <c r="J3031" i="1"/>
  <c r="H3031" i="1"/>
  <c r="G3031" i="1"/>
  <c r="J3030" i="1"/>
  <c r="H3030" i="1"/>
  <c r="G3030" i="1"/>
  <c r="J3029" i="1"/>
  <c r="H3029" i="1"/>
  <c r="G3029" i="1"/>
  <c r="J3028" i="1"/>
  <c r="H3028" i="1"/>
  <c r="G3028" i="1"/>
  <c r="J3027" i="1"/>
  <c r="H3027" i="1"/>
  <c r="G3027" i="1"/>
  <c r="J3026" i="1"/>
  <c r="H3026" i="1"/>
  <c r="G3026" i="1"/>
  <c r="J3025" i="1"/>
  <c r="H3025" i="1"/>
  <c r="G3025" i="1"/>
  <c r="J3024" i="1"/>
  <c r="H3024" i="1"/>
  <c r="G3024" i="1"/>
  <c r="J3023" i="1"/>
  <c r="H3023" i="1"/>
  <c r="G3023" i="1"/>
  <c r="J3022" i="1"/>
  <c r="H3022" i="1"/>
  <c r="G3022" i="1"/>
  <c r="J3021" i="1"/>
  <c r="H3021" i="1"/>
  <c r="G3021" i="1"/>
  <c r="J3020" i="1"/>
  <c r="H3020" i="1"/>
  <c r="G3020" i="1"/>
  <c r="J3019" i="1"/>
  <c r="H3019" i="1"/>
  <c r="G3019" i="1"/>
  <c r="J3018" i="1"/>
  <c r="H3018" i="1"/>
  <c r="G3018" i="1"/>
  <c r="J3017" i="1"/>
  <c r="H3017" i="1"/>
  <c r="G3017" i="1"/>
  <c r="J3016" i="1"/>
  <c r="H3016" i="1"/>
  <c r="G3016" i="1"/>
  <c r="J3015" i="1"/>
  <c r="H3015" i="1"/>
  <c r="G3015" i="1"/>
  <c r="J3014" i="1"/>
  <c r="H3014" i="1"/>
  <c r="G3014" i="1"/>
  <c r="J3013" i="1"/>
  <c r="H3013" i="1"/>
  <c r="G3013" i="1"/>
  <c r="J3012" i="1"/>
  <c r="H3012" i="1"/>
  <c r="G3012" i="1"/>
  <c r="J3011" i="1"/>
  <c r="H3011" i="1"/>
  <c r="G3011" i="1"/>
  <c r="J3010" i="1"/>
  <c r="H3010" i="1"/>
  <c r="G3010" i="1"/>
  <c r="J3009" i="1"/>
  <c r="H3009" i="1"/>
  <c r="G3009" i="1"/>
  <c r="J3008" i="1"/>
  <c r="H3008" i="1"/>
  <c r="G3008" i="1"/>
  <c r="J3007" i="1"/>
  <c r="H3007" i="1"/>
  <c r="G3007" i="1"/>
  <c r="J3006" i="1"/>
  <c r="H3006" i="1"/>
  <c r="G3006" i="1"/>
  <c r="J3005" i="1"/>
  <c r="H3005" i="1"/>
  <c r="G3005" i="1"/>
  <c r="J3004" i="1"/>
  <c r="H3004" i="1"/>
  <c r="G3004" i="1"/>
  <c r="J3003" i="1"/>
  <c r="H3003" i="1"/>
  <c r="G3003" i="1"/>
  <c r="J3002" i="1"/>
  <c r="H3002" i="1"/>
  <c r="G3002" i="1"/>
  <c r="J3001" i="1"/>
  <c r="H3001" i="1"/>
  <c r="G3001" i="1"/>
  <c r="J3000" i="1"/>
  <c r="H3000" i="1"/>
  <c r="G3000" i="1"/>
  <c r="J2999" i="1"/>
  <c r="H2999" i="1"/>
  <c r="G2999" i="1"/>
  <c r="J2998" i="1"/>
  <c r="H2998" i="1"/>
  <c r="G2998" i="1"/>
  <c r="J2997" i="1"/>
  <c r="H2997" i="1"/>
  <c r="G2997" i="1"/>
  <c r="J2996" i="1"/>
  <c r="H2996" i="1"/>
  <c r="G2996" i="1"/>
  <c r="J2995" i="1"/>
  <c r="H2995" i="1"/>
  <c r="G2995" i="1"/>
  <c r="J2994" i="1"/>
  <c r="H2994" i="1"/>
  <c r="G2994" i="1"/>
  <c r="J2993" i="1"/>
  <c r="H2993" i="1"/>
  <c r="G2993" i="1"/>
  <c r="J2992" i="1"/>
  <c r="H2992" i="1"/>
  <c r="G2992" i="1"/>
  <c r="J2991" i="1"/>
  <c r="H2991" i="1"/>
  <c r="G2991" i="1"/>
  <c r="J2990" i="1"/>
  <c r="H2990" i="1"/>
  <c r="G2990" i="1"/>
  <c r="J2989" i="1"/>
  <c r="H2989" i="1"/>
  <c r="G2989" i="1"/>
  <c r="J2988" i="1"/>
  <c r="H2988" i="1"/>
  <c r="G2988" i="1"/>
  <c r="J2987" i="1"/>
  <c r="H2987" i="1"/>
  <c r="G2987" i="1"/>
  <c r="J2986" i="1"/>
  <c r="H2986" i="1"/>
  <c r="G2986" i="1"/>
  <c r="J2985" i="1"/>
  <c r="H2985" i="1"/>
  <c r="G2985" i="1"/>
  <c r="J2984" i="1"/>
  <c r="H2984" i="1"/>
  <c r="G2984" i="1"/>
  <c r="J2983" i="1"/>
  <c r="H2983" i="1"/>
  <c r="G2983" i="1"/>
  <c r="J2982" i="1"/>
  <c r="H2982" i="1"/>
  <c r="G2982" i="1"/>
  <c r="J2981" i="1"/>
  <c r="H2981" i="1"/>
  <c r="G2981" i="1"/>
  <c r="J2980" i="1"/>
  <c r="H2980" i="1"/>
  <c r="G2980" i="1"/>
  <c r="J2979" i="1"/>
  <c r="H2979" i="1"/>
  <c r="G2979" i="1"/>
  <c r="J2978" i="1"/>
  <c r="H2978" i="1"/>
  <c r="G2978" i="1"/>
  <c r="J2977" i="1"/>
  <c r="H2977" i="1"/>
  <c r="G2977" i="1"/>
  <c r="J2976" i="1"/>
  <c r="H2976" i="1"/>
  <c r="G2976" i="1"/>
  <c r="J2975" i="1"/>
  <c r="H2975" i="1"/>
  <c r="G2975" i="1"/>
  <c r="J2974" i="1"/>
  <c r="H2974" i="1"/>
  <c r="G2974" i="1"/>
  <c r="J2973" i="1"/>
  <c r="H2973" i="1"/>
  <c r="G2973" i="1"/>
  <c r="J2972" i="1"/>
  <c r="H2972" i="1"/>
  <c r="G2972" i="1"/>
  <c r="J2971" i="1"/>
  <c r="H2971" i="1"/>
  <c r="G2971" i="1"/>
  <c r="J2970" i="1"/>
  <c r="H2970" i="1"/>
  <c r="G2970" i="1"/>
  <c r="J2969" i="1"/>
  <c r="H2969" i="1"/>
  <c r="G2969" i="1"/>
  <c r="J2968" i="1"/>
  <c r="H2968" i="1"/>
  <c r="G2968" i="1"/>
  <c r="J2967" i="1"/>
  <c r="H2967" i="1"/>
  <c r="G2967" i="1"/>
  <c r="J2966" i="1"/>
  <c r="H2966" i="1"/>
  <c r="G2966" i="1"/>
  <c r="J2965" i="1"/>
  <c r="H2965" i="1"/>
  <c r="G2965" i="1"/>
  <c r="J2964" i="1"/>
  <c r="H2964" i="1"/>
  <c r="G2964" i="1"/>
  <c r="J2963" i="1"/>
  <c r="H2963" i="1"/>
  <c r="G2963" i="1"/>
  <c r="J2962" i="1"/>
  <c r="H2962" i="1"/>
  <c r="G2962" i="1"/>
  <c r="J2961" i="1"/>
  <c r="H2961" i="1"/>
  <c r="G2961" i="1"/>
  <c r="J2960" i="1"/>
  <c r="H2960" i="1"/>
  <c r="G2960" i="1"/>
  <c r="J2959" i="1"/>
  <c r="H2959" i="1"/>
  <c r="G2959" i="1"/>
  <c r="J2958" i="1"/>
  <c r="H2958" i="1"/>
  <c r="G2958" i="1"/>
  <c r="J2957" i="1"/>
  <c r="H2957" i="1"/>
  <c r="G2957" i="1"/>
  <c r="J2956" i="1"/>
  <c r="H2956" i="1"/>
  <c r="G2956" i="1"/>
  <c r="J2955" i="1"/>
  <c r="H2955" i="1"/>
  <c r="G2955" i="1"/>
  <c r="J2954" i="1"/>
  <c r="H2954" i="1"/>
  <c r="G2954" i="1"/>
  <c r="J2953" i="1"/>
  <c r="H2953" i="1"/>
  <c r="G2953" i="1"/>
  <c r="J2952" i="1"/>
  <c r="H2952" i="1"/>
  <c r="G2952" i="1"/>
  <c r="J2951" i="1"/>
  <c r="H2951" i="1"/>
  <c r="G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J2851" i="1"/>
  <c r="G2851" i="1"/>
  <c r="J2850" i="1"/>
  <c r="G2850" i="1"/>
  <c r="J2842" i="1"/>
  <c r="H2842" i="1"/>
  <c r="G2842" i="1"/>
  <c r="J2820" i="1"/>
  <c r="H2820" i="1"/>
  <c r="G2820" i="1"/>
  <c r="J2812" i="1"/>
  <c r="H2812" i="1"/>
  <c r="G2812" i="1"/>
  <c r="J2804" i="1"/>
  <c r="H2804" i="1"/>
  <c r="G2804" i="1"/>
  <c r="J2782" i="1"/>
  <c r="H2782" i="1"/>
  <c r="G2782" i="1"/>
  <c r="J2768" i="1"/>
  <c r="H2768" i="1"/>
  <c r="G2768" i="1"/>
  <c r="J2754" i="1"/>
  <c r="H2754" i="1"/>
  <c r="G2754" i="1"/>
  <c r="J2726" i="1"/>
  <c r="H2726" i="1"/>
  <c r="G2726" i="1"/>
  <c r="J2712" i="1"/>
  <c r="H2712" i="1"/>
  <c r="G2712" i="1"/>
  <c r="J2684" i="1"/>
  <c r="H2684" i="1"/>
  <c r="G2684" i="1"/>
  <c r="J2656" i="1"/>
  <c r="H2656" i="1"/>
  <c r="G2656" i="1"/>
  <c r="J2628" i="1"/>
  <c r="H2628" i="1"/>
  <c r="G2628" i="1"/>
  <c r="J2586" i="1"/>
  <c r="H2586" i="1"/>
  <c r="G2586" i="1"/>
  <c r="J2572" i="1"/>
  <c r="H2572" i="1"/>
  <c r="G2572" i="1"/>
  <c r="J2530" i="1"/>
  <c r="H2530" i="1"/>
  <c r="G2530" i="1"/>
  <c r="J2516" i="1"/>
  <c r="H2516" i="1"/>
  <c r="G2516" i="1"/>
  <c r="J2463" i="1"/>
  <c r="H2463" i="1"/>
  <c r="G2463" i="1"/>
  <c r="J2432" i="1"/>
  <c r="H2432" i="1"/>
  <c r="G2432" i="1"/>
  <c r="J2418" i="1"/>
  <c r="H2418" i="1"/>
  <c r="G2418" i="1"/>
  <c r="J2390" i="1"/>
  <c r="H2390" i="1"/>
  <c r="G2390" i="1"/>
  <c r="J2376" i="1"/>
  <c r="H2376" i="1"/>
  <c r="G2376" i="1"/>
  <c r="J2362" i="1"/>
  <c r="H2362" i="1"/>
  <c r="G2362" i="1"/>
  <c r="J2348" i="1"/>
  <c r="H2348" i="1"/>
  <c r="G2348" i="1"/>
  <c r="J2292" i="1"/>
  <c r="H2292" i="1"/>
  <c r="G2292" i="1"/>
  <c r="J2278" i="1"/>
  <c r="H2278" i="1"/>
  <c r="G2278" i="1"/>
  <c r="J2222" i="1"/>
  <c r="H2222" i="1"/>
  <c r="G2222" i="1"/>
  <c r="J2169" i="1"/>
  <c r="H2169" i="1"/>
  <c r="G2169" i="1"/>
  <c r="J2166" i="1"/>
  <c r="H2166" i="1"/>
  <c r="G2166" i="1"/>
  <c r="J2152" i="1"/>
  <c r="H2152" i="1"/>
  <c r="G2152" i="1"/>
  <c r="J2110" i="1"/>
  <c r="H2110" i="1"/>
  <c r="G2110" i="1"/>
  <c r="J2096" i="1"/>
  <c r="H2096" i="1"/>
  <c r="G2096" i="1"/>
  <c r="J2043" i="1"/>
  <c r="H2043" i="1"/>
  <c r="G2043" i="1"/>
  <c r="J1998" i="1"/>
  <c r="H1998" i="1"/>
  <c r="G1998" i="1"/>
  <c r="J1984" i="1"/>
  <c r="H1984" i="1"/>
  <c r="G1984" i="1"/>
  <c r="J1970" i="1"/>
  <c r="H1970" i="1"/>
  <c r="G1970" i="1"/>
  <c r="J1914" i="1"/>
  <c r="H1914" i="1"/>
  <c r="G1914" i="1"/>
  <c r="J1900" i="1"/>
  <c r="H1900" i="1"/>
  <c r="G1900" i="1"/>
  <c r="J1886" i="1"/>
  <c r="H1886" i="1"/>
  <c r="G1886" i="1"/>
  <c r="J1872" i="1"/>
  <c r="H1872" i="1"/>
  <c r="G1872" i="1"/>
  <c r="J1812" i="1"/>
  <c r="H1812" i="1"/>
  <c r="G1812" i="1"/>
  <c r="J1784" i="1"/>
  <c r="H1784" i="1"/>
  <c r="G1784" i="1"/>
  <c r="J1770" i="1"/>
  <c r="H1770" i="1"/>
  <c r="G1770" i="1"/>
  <c r="J1756" i="1"/>
  <c r="H1756" i="1"/>
  <c r="G1756" i="1"/>
  <c r="J1742" i="1"/>
  <c r="H1742" i="1"/>
  <c r="G1742" i="1"/>
  <c r="J1700" i="1"/>
  <c r="H1700" i="1"/>
  <c r="G1700" i="1"/>
  <c r="J1630" i="1"/>
  <c r="H1630" i="1"/>
  <c r="G1630" i="1"/>
  <c r="J1616" i="1"/>
  <c r="H1616" i="1"/>
  <c r="G1616" i="1"/>
  <c r="J1546" i="1"/>
  <c r="H1546" i="1"/>
  <c r="G1546" i="1"/>
  <c r="J1532" i="1"/>
  <c r="H1532" i="1"/>
  <c r="G1532" i="1"/>
  <c r="J1462" i="1"/>
  <c r="H1462" i="1"/>
  <c r="G1462" i="1"/>
  <c r="J1448" i="1"/>
  <c r="H1448" i="1"/>
  <c r="G1448" i="1"/>
  <c r="J1401" i="1"/>
  <c r="H1401" i="1"/>
  <c r="G1401" i="1"/>
  <c r="J1373" i="1"/>
  <c r="H1373" i="1"/>
  <c r="G1373" i="1"/>
  <c r="J1359" i="1"/>
  <c r="H1359" i="1"/>
  <c r="G1359" i="1"/>
  <c r="J1345" i="1"/>
  <c r="H1345" i="1"/>
  <c r="G1345" i="1"/>
  <c r="J1331" i="1"/>
  <c r="H1331" i="1"/>
  <c r="G1331" i="1"/>
  <c r="J1317" i="1"/>
  <c r="H1317" i="1"/>
  <c r="G1317" i="1"/>
  <c r="J1303" i="1"/>
  <c r="H1303" i="1"/>
  <c r="G1303" i="1"/>
  <c r="J1289" i="1"/>
  <c r="H1289" i="1"/>
  <c r="G1289" i="1"/>
  <c r="J1247" i="1"/>
  <c r="H1247" i="1"/>
  <c r="G1247" i="1"/>
  <c r="J1233" i="1"/>
  <c r="H1233" i="1"/>
  <c r="G1233" i="1"/>
  <c r="J1205" i="1"/>
  <c r="H1205" i="1"/>
  <c r="G1205" i="1"/>
  <c r="J1191" i="1"/>
  <c r="H1191" i="1"/>
  <c r="G1191" i="1"/>
  <c r="J1177" i="1"/>
  <c r="H1177" i="1"/>
  <c r="G1177" i="1"/>
  <c r="J1124" i="1"/>
  <c r="H1124" i="1"/>
  <c r="G1124" i="1"/>
  <c r="J1121" i="1"/>
  <c r="H1121" i="1"/>
  <c r="G1121" i="1"/>
  <c r="J1079" i="1"/>
  <c r="H1079" i="1"/>
  <c r="G1079" i="1"/>
  <c r="J1065" i="1"/>
  <c r="H1065" i="1"/>
  <c r="G1065" i="1"/>
  <c r="J1037" i="1"/>
  <c r="H1037" i="1"/>
  <c r="G1037" i="1"/>
  <c r="J1009" i="1"/>
  <c r="H1009" i="1"/>
  <c r="G1009" i="1"/>
  <c r="J995" i="1"/>
  <c r="H995" i="1"/>
  <c r="G995" i="1"/>
  <c r="J967" i="1"/>
  <c r="H967" i="1"/>
  <c r="G967" i="1"/>
  <c r="J925" i="1"/>
  <c r="H925" i="1"/>
  <c r="G925" i="1"/>
  <c r="J883" i="1"/>
  <c r="H883" i="1"/>
  <c r="G883" i="1"/>
  <c r="J855" i="1"/>
  <c r="H855" i="1"/>
  <c r="G855" i="1"/>
  <c r="J841" i="1"/>
  <c r="H841" i="1"/>
  <c r="G841" i="1"/>
  <c r="J827" i="1"/>
  <c r="H827" i="1"/>
  <c r="G827" i="1"/>
  <c r="J813" i="1"/>
  <c r="H813" i="1"/>
  <c r="G813" i="1"/>
  <c r="J799" i="1"/>
  <c r="H799" i="1"/>
  <c r="G799" i="1"/>
  <c r="J760" i="1"/>
  <c r="H760" i="1"/>
  <c r="G760" i="1"/>
  <c r="J729" i="1"/>
  <c r="H729" i="1"/>
  <c r="G729" i="1"/>
  <c r="J659" i="1"/>
  <c r="H659" i="1"/>
  <c r="G659" i="1"/>
  <c r="J645" i="1"/>
  <c r="H645" i="1"/>
  <c r="G645" i="1"/>
  <c r="J631" i="1"/>
  <c r="H631" i="1"/>
  <c r="G631" i="1"/>
  <c r="J617" i="1"/>
  <c r="H617" i="1"/>
  <c r="G617" i="1"/>
  <c r="J575" i="1"/>
  <c r="H575" i="1"/>
  <c r="G575" i="1"/>
  <c r="J519" i="1"/>
  <c r="H519" i="1"/>
  <c r="G519" i="1"/>
  <c r="J491" i="1"/>
  <c r="H491" i="1"/>
  <c r="G491" i="1"/>
  <c r="J477" i="1"/>
  <c r="H477" i="1"/>
  <c r="G477" i="1"/>
  <c r="J421" i="1"/>
  <c r="H421" i="1"/>
  <c r="G421" i="1"/>
  <c r="J407" i="1"/>
  <c r="H407" i="1"/>
  <c r="G407" i="1"/>
  <c r="J393" i="1"/>
  <c r="H393" i="1"/>
  <c r="G393" i="1"/>
  <c r="J379" i="1"/>
  <c r="H379" i="1"/>
  <c r="G379" i="1"/>
  <c r="J351" i="1"/>
  <c r="H351" i="1"/>
  <c r="G351" i="1"/>
  <c r="J267" i="1"/>
  <c r="H267" i="1"/>
  <c r="G267" i="1"/>
  <c r="J253" i="1"/>
  <c r="H253" i="1"/>
  <c r="G253" i="1"/>
  <c r="J239" i="1"/>
  <c r="H239" i="1"/>
  <c r="G239" i="1"/>
  <c r="J197" i="1"/>
  <c r="H197" i="1"/>
  <c r="G197" i="1"/>
  <c r="J169" i="1"/>
  <c r="H169" i="1"/>
  <c r="G169" i="1"/>
  <c r="J141" i="1"/>
  <c r="H141" i="1"/>
  <c r="G141" i="1"/>
  <c r="J127" i="1"/>
  <c r="H127" i="1"/>
  <c r="G127" i="1"/>
  <c r="J71" i="1"/>
  <c r="H71" i="1"/>
  <c r="G71" i="1"/>
  <c r="J57" i="1"/>
  <c r="H57" i="1"/>
  <c r="G57" i="1"/>
  <c r="J15" i="1"/>
  <c r="H15" i="1"/>
  <c r="G15" i="1"/>
  <c r="J2834" i="1"/>
  <c r="H2834" i="1"/>
  <c r="G2834" i="1"/>
  <c r="J2796" i="1"/>
  <c r="H2796" i="1"/>
  <c r="G2796" i="1"/>
  <c r="J2740" i="1"/>
  <c r="H2740" i="1"/>
  <c r="G2740" i="1"/>
  <c r="J2698" i="1"/>
  <c r="H2698" i="1"/>
  <c r="G2698" i="1"/>
  <c r="J2670" i="1"/>
  <c r="H2670" i="1"/>
  <c r="G2670" i="1"/>
  <c r="J2642" i="1"/>
  <c r="H2642" i="1"/>
  <c r="G2642" i="1"/>
  <c r="J2614" i="1"/>
  <c r="H2614" i="1"/>
  <c r="G2614" i="1"/>
  <c r="J2600" i="1"/>
  <c r="H2600" i="1"/>
  <c r="G2600" i="1"/>
  <c r="J2558" i="1"/>
  <c r="H2558" i="1"/>
  <c r="G2558" i="1"/>
  <c r="J2544" i="1"/>
  <c r="H2544" i="1"/>
  <c r="G2544" i="1"/>
  <c r="J2502" i="1"/>
  <c r="H2502" i="1"/>
  <c r="G2502" i="1"/>
  <c r="J2466" i="1"/>
  <c r="H2466" i="1"/>
  <c r="G2466" i="1"/>
  <c r="J2460" i="1"/>
  <c r="H2460" i="1"/>
  <c r="G2460" i="1"/>
  <c r="J2446" i="1"/>
  <c r="H2446" i="1"/>
  <c r="G2446" i="1"/>
  <c r="J2404" i="1"/>
  <c r="H2404" i="1"/>
  <c r="G2404" i="1"/>
  <c r="J2334" i="1"/>
  <c r="H2334" i="1"/>
  <c r="G2334" i="1"/>
  <c r="J2320" i="1"/>
  <c r="H2320" i="1"/>
  <c r="G2320" i="1"/>
  <c r="J2306" i="1"/>
  <c r="H2306" i="1"/>
  <c r="G2306" i="1"/>
  <c r="J2264" i="1"/>
  <c r="H2264" i="1"/>
  <c r="G2264" i="1"/>
  <c r="J2250" i="1"/>
  <c r="H2250" i="1"/>
  <c r="G2250" i="1"/>
  <c r="J2236" i="1"/>
  <c r="H2236" i="1"/>
  <c r="G2236" i="1"/>
  <c r="J2208" i="1"/>
  <c r="H2208" i="1"/>
  <c r="G2208" i="1"/>
  <c r="J2172" i="1"/>
  <c r="H2172" i="1"/>
  <c r="G2172" i="1"/>
  <c r="J2138" i="1"/>
  <c r="H2138" i="1"/>
  <c r="G2138" i="1"/>
  <c r="J2124" i="1"/>
  <c r="H2124" i="1"/>
  <c r="G2124" i="1"/>
  <c r="J2082" i="1"/>
  <c r="H2082" i="1"/>
  <c r="G2082" i="1"/>
  <c r="J2046" i="1"/>
  <c r="H2046" i="1"/>
  <c r="G2046" i="1"/>
  <c r="J2040" i="1"/>
  <c r="H2040" i="1"/>
  <c r="G2040" i="1"/>
  <c r="J2026" i="1"/>
  <c r="H2026" i="1"/>
  <c r="G2026" i="1"/>
  <c r="J2012" i="1"/>
  <c r="H2012" i="1"/>
  <c r="G2012" i="1"/>
  <c r="J1956" i="1"/>
  <c r="H1956" i="1"/>
  <c r="G1956" i="1"/>
  <c r="J1942" i="1"/>
  <c r="H1942" i="1"/>
  <c r="G1942" i="1"/>
  <c r="J1928" i="1"/>
  <c r="H1928" i="1"/>
  <c r="G1928" i="1"/>
  <c r="J1858" i="1"/>
  <c r="H1858" i="1"/>
  <c r="G1858" i="1"/>
  <c r="J1844" i="1"/>
  <c r="H1844" i="1"/>
  <c r="G1844" i="1"/>
  <c r="J1830" i="1"/>
  <c r="H1830" i="1"/>
  <c r="G1830" i="1"/>
  <c r="J1798" i="1"/>
  <c r="H1798" i="1"/>
  <c r="G1798" i="1"/>
  <c r="J1728" i="1"/>
  <c r="H1728" i="1"/>
  <c r="G1728" i="1"/>
  <c r="J1714" i="1"/>
  <c r="H1714" i="1"/>
  <c r="G1714" i="1"/>
  <c r="J1686" i="1"/>
  <c r="H1686" i="1"/>
  <c r="G1686" i="1"/>
  <c r="J1672" i="1"/>
  <c r="H1672" i="1"/>
  <c r="G1672" i="1"/>
  <c r="J1658" i="1"/>
  <c r="H1658" i="1"/>
  <c r="G1658" i="1"/>
  <c r="J1644" i="1"/>
  <c r="H1644" i="1"/>
  <c r="G1644" i="1"/>
  <c r="J1602" i="1"/>
  <c r="H1602" i="1"/>
  <c r="G1602" i="1"/>
  <c r="J1588" i="1"/>
  <c r="H1588" i="1"/>
  <c r="G1588" i="1"/>
  <c r="J1574" i="1"/>
  <c r="H1574" i="1"/>
  <c r="G1574" i="1"/>
  <c r="J1560" i="1"/>
  <c r="H1560" i="1"/>
  <c r="G1560" i="1"/>
  <c r="J1518" i="1"/>
  <c r="H1518" i="1"/>
  <c r="G1518" i="1"/>
  <c r="J1504" i="1"/>
  <c r="H1504" i="1"/>
  <c r="G1504" i="1"/>
  <c r="J1490" i="1"/>
  <c r="H1490" i="1"/>
  <c r="G1490" i="1"/>
  <c r="J1476" i="1"/>
  <c r="H1476" i="1"/>
  <c r="G1476" i="1"/>
  <c r="J1434" i="1"/>
  <c r="H1434" i="1"/>
  <c r="G1434" i="1"/>
  <c r="J1415" i="1"/>
  <c r="H1415" i="1"/>
  <c r="G1415" i="1"/>
  <c r="J1387" i="1"/>
  <c r="H1387" i="1"/>
  <c r="G1387" i="1"/>
  <c r="J1275" i="1"/>
  <c r="H1275" i="1"/>
  <c r="G1275" i="1"/>
  <c r="J1261" i="1"/>
  <c r="H1261" i="1"/>
  <c r="G1261" i="1"/>
  <c r="J1219" i="1"/>
  <c r="H1219" i="1"/>
  <c r="G1219" i="1"/>
  <c r="J1163" i="1"/>
  <c r="H1163" i="1"/>
  <c r="G1163" i="1"/>
  <c r="J1127" i="1"/>
  <c r="H1127" i="1"/>
  <c r="G1127" i="1"/>
  <c r="J1107" i="1"/>
  <c r="H1107" i="1"/>
  <c r="G1107" i="1"/>
  <c r="J1093" i="1"/>
  <c r="H1093" i="1"/>
  <c r="G1093" i="1"/>
  <c r="J1051" i="1"/>
  <c r="H1051" i="1"/>
  <c r="G1051" i="1"/>
  <c r="J1023" i="1"/>
  <c r="H1023" i="1"/>
  <c r="G1023" i="1"/>
  <c r="J981" i="1"/>
  <c r="H981" i="1"/>
  <c r="G981" i="1"/>
  <c r="J953" i="1"/>
  <c r="H953" i="1"/>
  <c r="G953" i="1"/>
  <c r="J939" i="1"/>
  <c r="H939" i="1"/>
  <c r="G939" i="1"/>
  <c r="J911" i="1"/>
  <c r="H911" i="1"/>
  <c r="G911" i="1"/>
  <c r="J897" i="1"/>
  <c r="H897" i="1"/>
  <c r="G897" i="1"/>
  <c r="J869" i="1"/>
  <c r="H869" i="1"/>
  <c r="G869" i="1"/>
  <c r="J763" i="1"/>
  <c r="H763" i="1"/>
  <c r="G763" i="1"/>
  <c r="J757" i="1"/>
  <c r="H757" i="1"/>
  <c r="G757" i="1"/>
  <c r="J743" i="1"/>
  <c r="H743" i="1"/>
  <c r="G743" i="1"/>
  <c r="J715" i="1"/>
  <c r="H715" i="1"/>
  <c r="G715" i="1"/>
  <c r="J701" i="1"/>
  <c r="H701" i="1"/>
  <c r="G701" i="1"/>
  <c r="J687" i="1"/>
  <c r="H687" i="1"/>
  <c r="G687" i="1"/>
  <c r="J673" i="1"/>
  <c r="H673" i="1"/>
  <c r="G673" i="1"/>
  <c r="J603" i="1"/>
  <c r="H603" i="1"/>
  <c r="G603" i="1"/>
  <c r="J589" i="1"/>
  <c r="H589" i="1"/>
  <c r="G589" i="1"/>
  <c r="J561" i="1"/>
  <c r="H561" i="1"/>
  <c r="G561" i="1"/>
  <c r="J547" i="1"/>
  <c r="H547" i="1"/>
  <c r="G547" i="1"/>
  <c r="J533" i="1"/>
  <c r="H533" i="1"/>
  <c r="G533" i="1"/>
  <c r="J505" i="1"/>
  <c r="H505" i="1"/>
  <c r="G505" i="1"/>
  <c r="J463" i="1"/>
  <c r="H463" i="1"/>
  <c r="G463" i="1"/>
  <c r="J449" i="1"/>
  <c r="H449" i="1"/>
  <c r="G449" i="1"/>
  <c r="J435" i="1"/>
  <c r="H435" i="1"/>
  <c r="G435" i="1"/>
  <c r="J365" i="1"/>
  <c r="H365" i="1"/>
  <c r="G365" i="1"/>
  <c r="J337" i="1"/>
  <c r="H337" i="1"/>
  <c r="G337" i="1"/>
  <c r="J323" i="1"/>
  <c r="H323" i="1"/>
  <c r="G323" i="1"/>
  <c r="J309" i="1"/>
  <c r="H309" i="1"/>
  <c r="G309" i="1"/>
  <c r="J295" i="1"/>
  <c r="H295" i="1"/>
  <c r="G295" i="1"/>
  <c r="J281" i="1"/>
  <c r="H281" i="1"/>
  <c r="G281" i="1"/>
  <c r="J225" i="1"/>
  <c r="H225" i="1"/>
  <c r="G225" i="1"/>
  <c r="J211" i="1"/>
  <c r="H211" i="1"/>
  <c r="G211" i="1"/>
  <c r="J183" i="1"/>
  <c r="H183" i="1"/>
  <c r="G183" i="1"/>
  <c r="J155" i="1"/>
  <c r="H155" i="1"/>
  <c r="G155" i="1"/>
  <c r="J113" i="1"/>
  <c r="H113" i="1"/>
  <c r="G113" i="1"/>
  <c r="J99" i="1"/>
  <c r="H99" i="1"/>
  <c r="G99" i="1"/>
  <c r="J85" i="1"/>
  <c r="H85" i="1"/>
  <c r="G85" i="1"/>
  <c r="J43" i="1"/>
  <c r="H43" i="1"/>
  <c r="G43" i="1"/>
  <c r="J29" i="1"/>
  <c r="H29" i="1"/>
  <c r="G29" i="1"/>
  <c r="J2849" i="1"/>
  <c r="H2849" i="1"/>
  <c r="G2849" i="1"/>
  <c r="J2841" i="1"/>
  <c r="H2841" i="1"/>
  <c r="G2841" i="1"/>
  <c r="J2819" i="1"/>
  <c r="H2819" i="1"/>
  <c r="G2819" i="1"/>
  <c r="J2811" i="1"/>
  <c r="H2811" i="1"/>
  <c r="G2811" i="1"/>
  <c r="J2803" i="1"/>
  <c r="H2803" i="1"/>
  <c r="G2803" i="1"/>
  <c r="J2781" i="1"/>
  <c r="H2781" i="1"/>
  <c r="G2781" i="1"/>
  <c r="J2767" i="1"/>
  <c r="H2767" i="1"/>
  <c r="G2767" i="1"/>
  <c r="J2753" i="1"/>
  <c r="H2753" i="1"/>
  <c r="G2753" i="1"/>
  <c r="J2725" i="1"/>
  <c r="H2725" i="1"/>
  <c r="G2725" i="1"/>
  <c r="J2711" i="1"/>
  <c r="H2711" i="1"/>
  <c r="G2711" i="1"/>
  <c r="J2683" i="1"/>
  <c r="H2683" i="1"/>
  <c r="G2683" i="1"/>
  <c r="J2655" i="1"/>
  <c r="H2655" i="1"/>
  <c r="G2655" i="1"/>
  <c r="J2627" i="1"/>
  <c r="H2627" i="1"/>
  <c r="G2627" i="1"/>
  <c r="J2585" i="1"/>
  <c r="H2585" i="1"/>
  <c r="G2585" i="1"/>
  <c r="J2571" i="1"/>
  <c r="H2571" i="1"/>
  <c r="G2571" i="1"/>
  <c r="J2529" i="1"/>
  <c r="H2529" i="1"/>
  <c r="G2529" i="1"/>
  <c r="J2515" i="1"/>
  <c r="H2515" i="1"/>
  <c r="G2515" i="1"/>
  <c r="J2462" i="1"/>
  <c r="H2462" i="1"/>
  <c r="G2462" i="1"/>
  <c r="J2431" i="1"/>
  <c r="H2431" i="1"/>
  <c r="G2431" i="1"/>
  <c r="J2417" i="1"/>
  <c r="H2417" i="1"/>
  <c r="G2417" i="1"/>
  <c r="J2389" i="1"/>
  <c r="H2389" i="1"/>
  <c r="G2389" i="1"/>
  <c r="J2375" i="1"/>
  <c r="H2375" i="1"/>
  <c r="G2375" i="1"/>
  <c r="J2361" i="1"/>
  <c r="H2361" i="1"/>
  <c r="G2361" i="1"/>
  <c r="J2347" i="1"/>
  <c r="H2347" i="1"/>
  <c r="G2347" i="1"/>
  <c r="J2291" i="1"/>
  <c r="H2291" i="1"/>
  <c r="G2291" i="1"/>
  <c r="J2277" i="1"/>
  <c r="H2277" i="1"/>
  <c r="G2277" i="1"/>
  <c r="J2221" i="1"/>
  <c r="H2221" i="1"/>
  <c r="G2221" i="1"/>
  <c r="J2168" i="1"/>
  <c r="H2168" i="1"/>
  <c r="G2168" i="1"/>
  <c r="J2165" i="1"/>
  <c r="H2165" i="1"/>
  <c r="G2165" i="1"/>
  <c r="J2151" i="1"/>
  <c r="H2151" i="1"/>
  <c r="G2151" i="1"/>
  <c r="J2109" i="1"/>
  <c r="H2109" i="1"/>
  <c r="G2109" i="1"/>
  <c r="J2095" i="1"/>
  <c r="H2095" i="1"/>
  <c r="G2095" i="1"/>
  <c r="J2042" i="1"/>
  <c r="H2042" i="1"/>
  <c r="G2042" i="1"/>
  <c r="J1997" i="1"/>
  <c r="H1997" i="1"/>
  <c r="G1997" i="1"/>
  <c r="J1983" i="1"/>
  <c r="H1983" i="1"/>
  <c r="G1983" i="1"/>
  <c r="J1969" i="1"/>
  <c r="H1969" i="1"/>
  <c r="G1969" i="1"/>
  <c r="J1913" i="1"/>
  <c r="H1913" i="1"/>
  <c r="G1913" i="1"/>
  <c r="J1899" i="1"/>
  <c r="H1899" i="1"/>
  <c r="G1899" i="1"/>
  <c r="J1885" i="1"/>
  <c r="H1885" i="1"/>
  <c r="G1885" i="1"/>
  <c r="J1871" i="1"/>
  <c r="H1871" i="1"/>
  <c r="G1871" i="1"/>
  <c r="J1811" i="1"/>
  <c r="H1811" i="1"/>
  <c r="G1811" i="1"/>
  <c r="J1783" i="1"/>
  <c r="H1783" i="1"/>
  <c r="G1783" i="1"/>
  <c r="J1769" i="1"/>
  <c r="H1769" i="1"/>
  <c r="G1769" i="1"/>
  <c r="J1755" i="1"/>
  <c r="H1755" i="1"/>
  <c r="G1755" i="1"/>
  <c r="J1741" i="1"/>
  <c r="H1741" i="1"/>
  <c r="G1741" i="1"/>
  <c r="J1699" i="1"/>
  <c r="H1699" i="1"/>
  <c r="G1699" i="1"/>
  <c r="J1629" i="1"/>
  <c r="H1629" i="1"/>
  <c r="G1629" i="1"/>
  <c r="J1615" i="1"/>
  <c r="H1615" i="1"/>
  <c r="G1615" i="1"/>
  <c r="J1545" i="1"/>
  <c r="H1545" i="1"/>
  <c r="G1545" i="1"/>
  <c r="J1531" i="1"/>
  <c r="H1531" i="1"/>
  <c r="G1531" i="1"/>
  <c r="J1461" i="1"/>
  <c r="H1461" i="1"/>
  <c r="G1461" i="1"/>
  <c r="J1447" i="1"/>
  <c r="H1447" i="1"/>
  <c r="G1447" i="1"/>
  <c r="J1400" i="1"/>
  <c r="H1400" i="1"/>
  <c r="G1400" i="1"/>
  <c r="J1372" i="1"/>
  <c r="H1372" i="1"/>
  <c r="G1372" i="1"/>
  <c r="J1358" i="1"/>
  <c r="H1358" i="1"/>
  <c r="G1358" i="1"/>
  <c r="J1344" i="1"/>
  <c r="H1344" i="1"/>
  <c r="G1344" i="1"/>
  <c r="J1330" i="1"/>
  <c r="H1330" i="1"/>
  <c r="G1330" i="1"/>
  <c r="J1316" i="1"/>
  <c r="H1316" i="1"/>
  <c r="G1316" i="1"/>
  <c r="J1302" i="1"/>
  <c r="H1302" i="1"/>
  <c r="G1302" i="1"/>
  <c r="J1288" i="1"/>
  <c r="H1288" i="1"/>
  <c r="G1288" i="1"/>
  <c r="J1246" i="1"/>
  <c r="H1246" i="1"/>
  <c r="G1246" i="1"/>
  <c r="J1232" i="1"/>
  <c r="H1232" i="1"/>
  <c r="G1232" i="1"/>
  <c r="J1204" i="1"/>
  <c r="H1204" i="1"/>
  <c r="G1204" i="1"/>
  <c r="J1190" i="1"/>
  <c r="H1190" i="1"/>
  <c r="G1190" i="1"/>
  <c r="J1176" i="1"/>
  <c r="H1176" i="1"/>
  <c r="G1176" i="1"/>
  <c r="J1123" i="1"/>
  <c r="H1123" i="1"/>
  <c r="G1123" i="1"/>
  <c r="J1120" i="1"/>
  <c r="H1120" i="1"/>
  <c r="G1120" i="1"/>
  <c r="J1078" i="1"/>
  <c r="H1078" i="1"/>
  <c r="G1078" i="1"/>
  <c r="J1064" i="1"/>
  <c r="H1064" i="1"/>
  <c r="G1064" i="1"/>
  <c r="J1036" i="1"/>
  <c r="H1036" i="1"/>
  <c r="G1036" i="1"/>
  <c r="J1008" i="1"/>
  <c r="H1008" i="1"/>
  <c r="G1008" i="1"/>
  <c r="J994" i="1"/>
  <c r="H994" i="1"/>
  <c r="G994" i="1"/>
  <c r="J966" i="1"/>
  <c r="H966" i="1"/>
  <c r="G966" i="1"/>
  <c r="J924" i="1"/>
  <c r="H924" i="1"/>
  <c r="G924" i="1"/>
  <c r="J882" i="1"/>
  <c r="H882" i="1"/>
  <c r="G882" i="1"/>
  <c r="J854" i="1"/>
  <c r="H854" i="1"/>
  <c r="G854" i="1"/>
  <c r="J840" i="1"/>
  <c r="H840" i="1"/>
  <c r="G840" i="1"/>
  <c r="J826" i="1"/>
  <c r="H826" i="1"/>
  <c r="G826" i="1"/>
  <c r="J812" i="1"/>
  <c r="H812" i="1"/>
  <c r="G812" i="1"/>
  <c r="J798" i="1"/>
  <c r="H798" i="1"/>
  <c r="G798" i="1"/>
  <c r="J759" i="1"/>
  <c r="H759" i="1"/>
  <c r="G759" i="1"/>
  <c r="J728" i="1"/>
  <c r="H728" i="1"/>
  <c r="G728" i="1"/>
  <c r="J658" i="1"/>
  <c r="H658" i="1"/>
  <c r="G658" i="1"/>
  <c r="J644" i="1"/>
  <c r="H644" i="1"/>
  <c r="G644" i="1"/>
  <c r="J630" i="1"/>
  <c r="H630" i="1"/>
  <c r="G630" i="1"/>
  <c r="J616" i="1"/>
  <c r="H616" i="1"/>
  <c r="G616" i="1"/>
  <c r="J574" i="1"/>
  <c r="H574" i="1"/>
  <c r="G574" i="1"/>
  <c r="J518" i="1"/>
  <c r="H518" i="1"/>
  <c r="G518" i="1"/>
  <c r="J490" i="1"/>
  <c r="H490" i="1"/>
  <c r="G490" i="1"/>
  <c r="J476" i="1"/>
  <c r="H476" i="1"/>
  <c r="G476" i="1"/>
  <c r="J420" i="1"/>
  <c r="H420" i="1"/>
  <c r="G420" i="1"/>
  <c r="J406" i="1"/>
  <c r="H406" i="1"/>
  <c r="G406" i="1"/>
  <c r="J392" i="1"/>
  <c r="H392" i="1"/>
  <c r="G392" i="1"/>
  <c r="J378" i="1"/>
  <c r="H378" i="1"/>
  <c r="G378" i="1"/>
  <c r="J350" i="1"/>
  <c r="H350" i="1"/>
  <c r="G350" i="1"/>
  <c r="J266" i="1"/>
  <c r="H266" i="1"/>
  <c r="G266" i="1"/>
  <c r="J252" i="1"/>
  <c r="H252" i="1"/>
  <c r="G252" i="1"/>
  <c r="J238" i="1"/>
  <c r="H238" i="1"/>
  <c r="G238" i="1"/>
  <c r="J196" i="1"/>
  <c r="H196" i="1"/>
  <c r="G196" i="1"/>
  <c r="J168" i="1"/>
  <c r="H168" i="1"/>
  <c r="G168" i="1"/>
  <c r="J140" i="1"/>
  <c r="H140" i="1"/>
  <c r="G140" i="1"/>
  <c r="J126" i="1"/>
  <c r="H126" i="1"/>
  <c r="G126" i="1"/>
  <c r="J70" i="1"/>
  <c r="H70" i="1"/>
  <c r="G70" i="1"/>
  <c r="J56" i="1"/>
  <c r="H56" i="1"/>
  <c r="G56" i="1"/>
  <c r="J14" i="1"/>
  <c r="H14" i="1"/>
  <c r="G14" i="1"/>
  <c r="I2833" i="1"/>
  <c r="I2795" i="1"/>
  <c r="I2739" i="1"/>
  <c r="I2697" i="1"/>
  <c r="I2669" i="1"/>
  <c r="I2641" i="1"/>
  <c r="I2613" i="1"/>
  <c r="I2599" i="1"/>
  <c r="I2557" i="1"/>
  <c r="I2543" i="1"/>
  <c r="I2501" i="1"/>
  <c r="I2465" i="1"/>
  <c r="I2459" i="1"/>
  <c r="I2445" i="1"/>
  <c r="I2403" i="1"/>
  <c r="I2333" i="1"/>
  <c r="I2319" i="1"/>
  <c r="I2305" i="1"/>
  <c r="I2263" i="1"/>
  <c r="I2249" i="1"/>
  <c r="I2235" i="1"/>
  <c r="I2207" i="1"/>
  <c r="I2171" i="1"/>
  <c r="I2137" i="1"/>
  <c r="I2123" i="1"/>
  <c r="I2081" i="1"/>
  <c r="I2045" i="1"/>
  <c r="I2039" i="1"/>
  <c r="I2025" i="1"/>
  <c r="I2011" i="1"/>
  <c r="I1955" i="1"/>
  <c r="I1941" i="1"/>
  <c r="I1927" i="1"/>
  <c r="I1857" i="1"/>
  <c r="I1843" i="1"/>
  <c r="I1829" i="1"/>
  <c r="I1797" i="1"/>
  <c r="I1727" i="1"/>
  <c r="I1713" i="1"/>
  <c r="I1685" i="1"/>
  <c r="I1671" i="1"/>
  <c r="I1657" i="1"/>
  <c r="I1643" i="1"/>
  <c r="I1601" i="1"/>
  <c r="I1587" i="1"/>
  <c r="I1573" i="1"/>
  <c r="I1559" i="1"/>
  <c r="I1517" i="1"/>
  <c r="I1503" i="1"/>
  <c r="I1489" i="1"/>
  <c r="I1475" i="1"/>
  <c r="I1433" i="1"/>
  <c r="I1414" i="1"/>
  <c r="I1386" i="1"/>
  <c r="I1274" i="1"/>
  <c r="I1260" i="1"/>
  <c r="I1218" i="1"/>
  <c r="I1162" i="1"/>
  <c r="I1126" i="1"/>
  <c r="I1106" i="1"/>
  <c r="I1092" i="1"/>
  <c r="I1050" i="1"/>
  <c r="I1022" i="1"/>
  <c r="I980" i="1"/>
  <c r="I952" i="1"/>
  <c r="I938" i="1"/>
  <c r="I910" i="1"/>
  <c r="I896" i="1"/>
  <c r="I868" i="1"/>
  <c r="I762" i="1"/>
  <c r="I756" i="1"/>
  <c r="I742" i="1"/>
  <c r="I714" i="1"/>
  <c r="I700" i="1"/>
  <c r="I686" i="1"/>
  <c r="I672" i="1"/>
  <c r="I602" i="1"/>
  <c r="I588" i="1"/>
  <c r="I560" i="1"/>
  <c r="I546" i="1"/>
  <c r="I532" i="1"/>
  <c r="I504" i="1"/>
  <c r="I462" i="1"/>
  <c r="I448" i="1"/>
  <c r="I434" i="1"/>
  <c r="I364" i="1"/>
  <c r="I336" i="1"/>
  <c r="I322" i="1"/>
  <c r="I308" i="1"/>
  <c r="I294" i="1"/>
  <c r="I280" i="1"/>
  <c r="I224" i="1"/>
  <c r="I210" i="1"/>
  <c r="I182" i="1"/>
  <c r="I154" i="1"/>
  <c r="I112" i="1"/>
  <c r="I98" i="1"/>
  <c r="I84" i="1"/>
  <c r="I42" i="1"/>
  <c r="I28" i="1"/>
  <c r="I2848" i="1"/>
  <c r="I2840" i="1"/>
  <c r="I2818" i="1"/>
  <c r="I2794" i="1"/>
  <c r="J2833" i="1"/>
  <c r="H2833" i="1"/>
  <c r="G2833" i="1"/>
  <c r="J2795" i="1"/>
  <c r="H2795" i="1"/>
  <c r="G2795" i="1"/>
  <c r="J2739" i="1"/>
  <c r="H2739" i="1"/>
  <c r="G2739" i="1"/>
  <c r="J2697" i="1"/>
  <c r="H2697" i="1"/>
  <c r="G2697" i="1"/>
  <c r="J2669" i="1"/>
  <c r="H2669" i="1"/>
  <c r="G2669" i="1"/>
  <c r="J2641" i="1"/>
  <c r="H2641" i="1"/>
  <c r="G2641" i="1"/>
  <c r="J2613" i="1"/>
  <c r="H2613" i="1"/>
  <c r="G2613" i="1"/>
  <c r="J2599" i="1"/>
  <c r="H2599" i="1"/>
  <c r="G2599" i="1"/>
  <c r="J2557" i="1"/>
  <c r="H2557" i="1"/>
  <c r="G2557" i="1"/>
  <c r="J2543" i="1"/>
  <c r="H2543" i="1"/>
  <c r="G2543" i="1"/>
  <c r="J2501" i="1"/>
  <c r="H2501" i="1"/>
  <c r="G2501" i="1"/>
  <c r="J2465" i="1"/>
  <c r="H2465" i="1"/>
  <c r="G2465" i="1"/>
  <c r="J2459" i="1"/>
  <c r="H2459" i="1"/>
  <c r="G2459" i="1"/>
  <c r="J2445" i="1"/>
  <c r="H2445" i="1"/>
  <c r="G2445" i="1"/>
  <c r="J2403" i="1"/>
  <c r="H2403" i="1"/>
  <c r="G2403" i="1"/>
  <c r="J2333" i="1"/>
  <c r="H2333" i="1"/>
  <c r="G2333" i="1"/>
  <c r="J2319" i="1"/>
  <c r="H2319" i="1"/>
  <c r="G2319" i="1"/>
  <c r="J2305" i="1"/>
  <c r="H2305" i="1"/>
  <c r="G2305" i="1"/>
  <c r="J2263" i="1"/>
  <c r="H2263" i="1"/>
  <c r="G2263" i="1"/>
  <c r="J2249" i="1"/>
  <c r="H2249" i="1"/>
  <c r="G2249" i="1"/>
  <c r="J2235" i="1"/>
  <c r="H2235" i="1"/>
  <c r="G2235" i="1"/>
  <c r="J2207" i="1"/>
  <c r="H2207" i="1"/>
  <c r="G2207" i="1"/>
  <c r="J2171" i="1"/>
  <c r="H2171" i="1"/>
  <c r="G2171" i="1"/>
  <c r="J2137" i="1"/>
  <c r="H2137" i="1"/>
  <c r="G2137" i="1"/>
  <c r="J2123" i="1"/>
  <c r="H2123" i="1"/>
  <c r="G2123" i="1"/>
  <c r="J2081" i="1"/>
  <c r="H2081" i="1"/>
  <c r="G2081" i="1"/>
  <c r="J2045" i="1"/>
  <c r="H2045" i="1"/>
  <c r="G2045" i="1"/>
  <c r="J2039" i="1"/>
  <c r="H2039" i="1"/>
  <c r="G2039" i="1"/>
  <c r="J2025" i="1"/>
  <c r="H2025" i="1"/>
  <c r="G2025" i="1"/>
  <c r="J2011" i="1"/>
  <c r="H2011" i="1"/>
  <c r="G2011" i="1"/>
  <c r="J1955" i="1"/>
  <c r="H1955" i="1"/>
  <c r="G1955" i="1"/>
  <c r="J1941" i="1"/>
  <c r="H1941" i="1"/>
  <c r="G1941" i="1"/>
  <c r="J1927" i="1"/>
  <c r="H1927" i="1"/>
  <c r="G1927" i="1"/>
  <c r="J1857" i="1"/>
  <c r="H1857" i="1"/>
  <c r="G1857" i="1"/>
  <c r="J1843" i="1"/>
  <c r="H1843" i="1"/>
  <c r="G1843" i="1"/>
  <c r="J1829" i="1"/>
  <c r="H1829" i="1"/>
  <c r="G1829" i="1"/>
  <c r="J1797" i="1"/>
  <c r="H1797" i="1"/>
  <c r="G1797" i="1"/>
  <c r="J1727" i="1"/>
  <c r="H1727" i="1"/>
  <c r="G1727" i="1"/>
  <c r="J1713" i="1"/>
  <c r="H1713" i="1"/>
  <c r="G1713" i="1"/>
  <c r="J1685" i="1"/>
  <c r="H1685" i="1"/>
  <c r="G1685" i="1"/>
  <c r="J1671" i="1"/>
  <c r="H1671" i="1"/>
  <c r="G1671" i="1"/>
  <c r="J1657" i="1"/>
  <c r="H1657" i="1"/>
  <c r="G1657" i="1"/>
  <c r="J1643" i="1"/>
  <c r="H1643" i="1"/>
  <c r="G1643" i="1"/>
  <c r="J1601" i="1"/>
  <c r="H1601" i="1"/>
  <c r="G1601" i="1"/>
  <c r="J1587" i="1"/>
  <c r="H1587" i="1"/>
  <c r="G1587" i="1"/>
  <c r="J1573" i="1"/>
  <c r="H1573" i="1"/>
  <c r="G1573" i="1"/>
  <c r="J1559" i="1"/>
  <c r="H1559" i="1"/>
  <c r="G1559" i="1"/>
  <c r="J1517" i="1"/>
  <c r="H1517" i="1"/>
  <c r="G1517" i="1"/>
  <c r="J1503" i="1"/>
  <c r="H1503" i="1"/>
  <c r="G1503" i="1"/>
  <c r="J1489" i="1"/>
  <c r="H1489" i="1"/>
  <c r="G1489" i="1"/>
  <c r="J1475" i="1"/>
  <c r="H1475" i="1"/>
  <c r="G1475" i="1"/>
  <c r="J1433" i="1"/>
  <c r="H1433" i="1"/>
  <c r="G1433" i="1"/>
  <c r="J1414" i="1"/>
  <c r="H1414" i="1"/>
  <c r="G1414" i="1"/>
  <c r="J1386" i="1"/>
  <c r="H1386" i="1"/>
  <c r="G1386" i="1"/>
  <c r="J1274" i="1"/>
  <c r="H1274" i="1"/>
  <c r="G1274" i="1"/>
  <c r="J1260" i="1"/>
  <c r="H1260" i="1"/>
  <c r="G1260" i="1"/>
  <c r="J1218" i="1"/>
  <c r="H1218" i="1"/>
  <c r="G1218" i="1"/>
  <c r="J1162" i="1"/>
  <c r="H1162" i="1"/>
  <c r="G1162" i="1"/>
  <c r="J1126" i="1"/>
  <c r="H1126" i="1"/>
  <c r="G1126" i="1"/>
  <c r="J1106" i="1"/>
  <c r="H1106" i="1"/>
  <c r="G1106" i="1"/>
  <c r="J1092" i="1"/>
  <c r="H1092" i="1"/>
  <c r="G1092" i="1"/>
  <c r="J1050" i="1"/>
  <c r="H1050" i="1"/>
  <c r="G1050" i="1"/>
  <c r="J1022" i="1"/>
  <c r="H1022" i="1"/>
  <c r="G1022" i="1"/>
  <c r="J980" i="1"/>
  <c r="H980" i="1"/>
  <c r="G980" i="1"/>
  <c r="J952" i="1"/>
  <c r="H952" i="1"/>
  <c r="G952" i="1"/>
  <c r="J938" i="1"/>
  <c r="H938" i="1"/>
  <c r="G938" i="1"/>
  <c r="J910" i="1"/>
  <c r="H910" i="1"/>
  <c r="G910" i="1"/>
  <c r="J896" i="1"/>
  <c r="H896" i="1"/>
  <c r="G896" i="1"/>
  <c r="J868" i="1"/>
  <c r="H868" i="1"/>
  <c r="G868" i="1"/>
  <c r="J762" i="1"/>
  <c r="H762" i="1"/>
  <c r="G762" i="1"/>
  <c r="J756" i="1"/>
  <c r="H756" i="1"/>
  <c r="G756" i="1"/>
  <c r="J742" i="1"/>
  <c r="H742" i="1"/>
  <c r="G742" i="1"/>
  <c r="J714" i="1"/>
  <c r="H714" i="1"/>
  <c r="G714" i="1"/>
  <c r="J700" i="1"/>
  <c r="H700" i="1"/>
  <c r="G700" i="1"/>
  <c r="J686" i="1"/>
  <c r="H686" i="1"/>
  <c r="G686" i="1"/>
  <c r="J672" i="1"/>
  <c r="H672" i="1"/>
  <c r="G672" i="1"/>
  <c r="J602" i="1"/>
  <c r="H602" i="1"/>
  <c r="G602" i="1"/>
  <c r="J588" i="1"/>
  <c r="H588" i="1"/>
  <c r="G588" i="1"/>
  <c r="J560" i="1"/>
  <c r="H560" i="1"/>
  <c r="G560" i="1"/>
  <c r="J546" i="1"/>
  <c r="H546" i="1"/>
  <c r="G546" i="1"/>
  <c r="J532" i="1"/>
  <c r="H532" i="1"/>
  <c r="G532" i="1"/>
  <c r="J504" i="1"/>
  <c r="H504" i="1"/>
  <c r="G504" i="1"/>
  <c r="J462" i="1"/>
  <c r="H462" i="1"/>
  <c r="G462" i="1"/>
  <c r="J448" i="1"/>
  <c r="H448" i="1"/>
  <c r="G448" i="1"/>
  <c r="J434" i="1"/>
  <c r="H434" i="1"/>
  <c r="G434" i="1"/>
  <c r="J364" i="1"/>
  <c r="H364" i="1"/>
  <c r="G364" i="1"/>
  <c r="J336" i="1"/>
  <c r="H336" i="1"/>
  <c r="G336" i="1"/>
  <c r="J322" i="1"/>
  <c r="H322" i="1"/>
  <c r="G322" i="1"/>
  <c r="J308" i="1"/>
  <c r="H308" i="1"/>
  <c r="G308" i="1"/>
  <c r="J294" i="1"/>
  <c r="H294" i="1"/>
  <c r="G294" i="1"/>
  <c r="J280" i="1"/>
  <c r="H280" i="1"/>
  <c r="G280" i="1"/>
  <c r="J224" i="1"/>
  <c r="H224" i="1"/>
  <c r="G224" i="1"/>
  <c r="J210" i="1"/>
  <c r="H210" i="1"/>
  <c r="G210" i="1"/>
  <c r="J182" i="1"/>
  <c r="H182" i="1"/>
  <c r="G182" i="1"/>
  <c r="J154" i="1"/>
  <c r="H154" i="1"/>
  <c r="G154" i="1"/>
  <c r="J112" i="1"/>
  <c r="H112" i="1"/>
  <c r="G112" i="1"/>
  <c r="J98" i="1"/>
  <c r="H98" i="1"/>
  <c r="G98" i="1"/>
  <c r="J84" i="1"/>
  <c r="H84" i="1"/>
  <c r="G84" i="1"/>
  <c r="J42" i="1"/>
  <c r="H42" i="1"/>
  <c r="G42" i="1"/>
  <c r="J28" i="1"/>
  <c r="H28" i="1"/>
  <c r="G28" i="1"/>
  <c r="J2848" i="1"/>
  <c r="H2848" i="1"/>
  <c r="G2848" i="1"/>
  <c r="J2840" i="1"/>
  <c r="H2840" i="1"/>
  <c r="G2840" i="1"/>
  <c r="J2818" i="1"/>
  <c r="H2818" i="1"/>
  <c r="G2818" i="1"/>
  <c r="J2810" i="1"/>
  <c r="H2810" i="1"/>
  <c r="G2810" i="1"/>
  <c r="J2802" i="1"/>
  <c r="H2802" i="1"/>
  <c r="G2802" i="1"/>
  <c r="J2780" i="1"/>
  <c r="H2780" i="1"/>
  <c r="G2780" i="1"/>
  <c r="J2766" i="1"/>
  <c r="H2766" i="1"/>
  <c r="G2766" i="1"/>
  <c r="J2752" i="1"/>
  <c r="H2752" i="1"/>
  <c r="G2752" i="1"/>
  <c r="J2724" i="1"/>
  <c r="H2724" i="1"/>
  <c r="G2724" i="1"/>
  <c r="J2710" i="1"/>
  <c r="H2710" i="1"/>
  <c r="G2710" i="1"/>
  <c r="J2682" i="1"/>
  <c r="H2682" i="1"/>
  <c r="G2682" i="1"/>
  <c r="J2654" i="1"/>
  <c r="H2654" i="1"/>
  <c r="G2654" i="1"/>
  <c r="J2626" i="1"/>
  <c r="H2626" i="1"/>
  <c r="G2626" i="1"/>
  <c r="J2584" i="1"/>
  <c r="H2584" i="1"/>
  <c r="G2584" i="1"/>
  <c r="J2570" i="1"/>
  <c r="H2570" i="1"/>
  <c r="G2570" i="1"/>
  <c r="J2528" i="1"/>
  <c r="H2528" i="1"/>
  <c r="G2528" i="1"/>
  <c r="J2514" i="1"/>
  <c r="H2514" i="1"/>
  <c r="G2514" i="1"/>
  <c r="J2461" i="1"/>
  <c r="H2461" i="1"/>
  <c r="G2461" i="1"/>
  <c r="J2430" i="1"/>
  <c r="H2430" i="1"/>
  <c r="G2430" i="1"/>
  <c r="J2416" i="1"/>
  <c r="H2416" i="1"/>
  <c r="G2416" i="1"/>
  <c r="J2388" i="1"/>
  <c r="H2388" i="1"/>
  <c r="G2388" i="1"/>
  <c r="J2374" i="1"/>
  <c r="H2374" i="1"/>
  <c r="G2374" i="1"/>
  <c r="J2360" i="1"/>
  <c r="H2360" i="1"/>
  <c r="G2360" i="1"/>
  <c r="J2346" i="1"/>
  <c r="H2346" i="1"/>
  <c r="G2346" i="1"/>
  <c r="J2290" i="1"/>
  <c r="H2290" i="1"/>
  <c r="G2290" i="1"/>
  <c r="J2276" i="1"/>
  <c r="H2276" i="1"/>
  <c r="G2276" i="1"/>
  <c r="J2220" i="1"/>
  <c r="H2220" i="1"/>
  <c r="G2220" i="1"/>
  <c r="J2167" i="1"/>
  <c r="H2167" i="1"/>
  <c r="G2167" i="1"/>
  <c r="J2164" i="1"/>
  <c r="H2164" i="1"/>
  <c r="G2164" i="1"/>
  <c r="J2150" i="1"/>
  <c r="H2150" i="1"/>
  <c r="G2150" i="1"/>
  <c r="J2108" i="1"/>
  <c r="H2108" i="1"/>
  <c r="G2108" i="1"/>
  <c r="J2094" i="1"/>
  <c r="H2094" i="1"/>
  <c r="G2094" i="1"/>
  <c r="J2041" i="1"/>
  <c r="H2041" i="1"/>
  <c r="G2041" i="1"/>
  <c r="J1996" i="1"/>
  <c r="H1996" i="1"/>
  <c r="G1996" i="1"/>
  <c r="J1982" i="1"/>
  <c r="H1982" i="1"/>
  <c r="G1982" i="1"/>
  <c r="J1968" i="1"/>
  <c r="H1968" i="1"/>
  <c r="G1968" i="1"/>
  <c r="J1912" i="1"/>
  <c r="H1912" i="1"/>
  <c r="G1912" i="1"/>
  <c r="J1898" i="1"/>
  <c r="H1898" i="1"/>
  <c r="G1898" i="1"/>
  <c r="J1884" i="1"/>
  <c r="H1884" i="1"/>
  <c r="G1884" i="1"/>
  <c r="J1870" i="1"/>
  <c r="H1870" i="1"/>
  <c r="G1870" i="1"/>
  <c r="J1810" i="1"/>
  <c r="H1810" i="1"/>
  <c r="G1810" i="1"/>
  <c r="J1782" i="1"/>
  <c r="H1782" i="1"/>
  <c r="G1782" i="1"/>
  <c r="J1768" i="1"/>
  <c r="H1768" i="1"/>
  <c r="G1768" i="1"/>
  <c r="J1754" i="1"/>
  <c r="H1754" i="1"/>
  <c r="G1754" i="1"/>
  <c r="J1740" i="1"/>
  <c r="H1740" i="1"/>
  <c r="G1740" i="1"/>
  <c r="J1698" i="1"/>
  <c r="H1698" i="1"/>
  <c r="G1698" i="1"/>
  <c r="J1628" i="1"/>
  <c r="H1628" i="1"/>
  <c r="G1628" i="1"/>
  <c r="J1614" i="1"/>
  <c r="H1614" i="1"/>
  <c r="G1614" i="1"/>
  <c r="J1544" i="1"/>
  <c r="H1544" i="1"/>
  <c r="G1544" i="1"/>
  <c r="J1530" i="1"/>
  <c r="H1530" i="1"/>
  <c r="G1530" i="1"/>
  <c r="J1460" i="1"/>
  <c r="H1460" i="1"/>
  <c r="G1460" i="1"/>
  <c r="J1446" i="1"/>
  <c r="H1446" i="1"/>
  <c r="G1446" i="1"/>
  <c r="J1399" i="1"/>
  <c r="H1399" i="1"/>
  <c r="G1399" i="1"/>
  <c r="J1371" i="1"/>
  <c r="H1371" i="1"/>
  <c r="G1371" i="1"/>
  <c r="J1357" i="1"/>
  <c r="H1357" i="1"/>
  <c r="G1357" i="1"/>
  <c r="J1343" i="1"/>
  <c r="H1343" i="1"/>
  <c r="G1343" i="1"/>
  <c r="J1329" i="1"/>
  <c r="H1329" i="1"/>
  <c r="G1329" i="1"/>
  <c r="J1315" i="1"/>
  <c r="H1315" i="1"/>
  <c r="G1315" i="1"/>
  <c r="J1301" i="1"/>
  <c r="H1301" i="1"/>
  <c r="G1301" i="1"/>
  <c r="J1287" i="1"/>
  <c r="H1287" i="1"/>
  <c r="G1287" i="1"/>
  <c r="J1245" i="1"/>
  <c r="H1245" i="1"/>
  <c r="G1245" i="1"/>
  <c r="J1231" i="1"/>
  <c r="H1231" i="1"/>
  <c r="G1231" i="1"/>
  <c r="J1203" i="1"/>
  <c r="H1203" i="1"/>
  <c r="G1203" i="1"/>
  <c r="J1189" i="1"/>
  <c r="H1189" i="1"/>
  <c r="G1189" i="1"/>
  <c r="J1175" i="1"/>
  <c r="H1175" i="1"/>
  <c r="G1175" i="1"/>
  <c r="J1122" i="1"/>
  <c r="H1122" i="1"/>
  <c r="G1122" i="1"/>
  <c r="J1119" i="1"/>
  <c r="H1119" i="1"/>
  <c r="G1119" i="1"/>
  <c r="J1077" i="1"/>
  <c r="H1077" i="1"/>
  <c r="G1077" i="1"/>
  <c r="J1063" i="1"/>
  <c r="H1063" i="1"/>
  <c r="G1063" i="1"/>
  <c r="J1035" i="1"/>
  <c r="H1035" i="1"/>
  <c r="G1035" i="1"/>
  <c r="J1007" i="1"/>
  <c r="H1007" i="1"/>
  <c r="G1007" i="1"/>
  <c r="J993" i="1"/>
  <c r="H993" i="1"/>
  <c r="G993" i="1"/>
  <c r="J965" i="1"/>
  <c r="H965" i="1"/>
  <c r="G965" i="1"/>
  <c r="J923" i="1"/>
  <c r="H923" i="1"/>
  <c r="G923" i="1"/>
  <c r="J881" i="1"/>
  <c r="H881" i="1"/>
  <c r="G881" i="1"/>
  <c r="J853" i="1"/>
  <c r="H853" i="1"/>
  <c r="G853" i="1"/>
  <c r="J839" i="1"/>
  <c r="H839" i="1"/>
  <c r="G839" i="1"/>
  <c r="J825" i="1"/>
  <c r="H825" i="1"/>
  <c r="G825" i="1"/>
  <c r="J811" i="1"/>
  <c r="H811" i="1"/>
  <c r="G811" i="1"/>
  <c r="J797" i="1"/>
  <c r="H797" i="1"/>
  <c r="G797" i="1"/>
  <c r="J758" i="1"/>
  <c r="H758" i="1"/>
  <c r="G758" i="1"/>
  <c r="J727" i="1"/>
  <c r="H727" i="1"/>
  <c r="G727" i="1"/>
  <c r="J657" i="1"/>
  <c r="H657" i="1"/>
  <c r="G657" i="1"/>
  <c r="J643" i="1"/>
  <c r="H643" i="1"/>
  <c r="G643" i="1"/>
  <c r="J629" i="1"/>
  <c r="H629" i="1"/>
  <c r="G629" i="1"/>
  <c r="J615" i="1"/>
  <c r="H615" i="1"/>
  <c r="G615" i="1"/>
  <c r="J573" i="1"/>
  <c r="H573" i="1"/>
  <c r="G573" i="1"/>
  <c r="J517" i="1"/>
  <c r="H517" i="1"/>
  <c r="G517" i="1"/>
  <c r="J489" i="1"/>
  <c r="I489" i="1"/>
  <c r="H489" i="1"/>
  <c r="G489" i="1"/>
  <c r="J475" i="1"/>
  <c r="I475" i="1"/>
  <c r="H475" i="1"/>
  <c r="G475" i="1"/>
  <c r="J419" i="1"/>
  <c r="I419" i="1"/>
  <c r="H419" i="1"/>
  <c r="G419" i="1"/>
  <c r="J405" i="1"/>
  <c r="I405" i="1"/>
  <c r="H405" i="1"/>
  <c r="G405" i="1"/>
  <c r="J391" i="1"/>
  <c r="I391" i="1"/>
  <c r="H391" i="1"/>
  <c r="G391" i="1"/>
  <c r="J377" i="1"/>
  <c r="I377" i="1"/>
  <c r="H377" i="1"/>
  <c r="G377" i="1"/>
  <c r="J349" i="1"/>
  <c r="I349" i="1"/>
  <c r="H349" i="1"/>
  <c r="G349" i="1"/>
  <c r="J265" i="1"/>
  <c r="I265" i="1"/>
  <c r="H265" i="1"/>
  <c r="G265" i="1"/>
  <c r="J251" i="1"/>
  <c r="I251" i="1"/>
  <c r="H251" i="1"/>
  <c r="G251" i="1"/>
  <c r="J237" i="1"/>
  <c r="I237" i="1"/>
  <c r="H237" i="1"/>
  <c r="G237" i="1"/>
  <c r="J195" i="1"/>
  <c r="I195" i="1"/>
  <c r="H195" i="1"/>
  <c r="G195" i="1"/>
  <c r="J167" i="1"/>
  <c r="I167" i="1"/>
  <c r="H167" i="1"/>
  <c r="G167" i="1"/>
  <c r="J139" i="1"/>
  <c r="I139" i="1"/>
  <c r="H139" i="1"/>
  <c r="G139" i="1"/>
  <c r="J125" i="1"/>
  <c r="I125" i="1"/>
  <c r="H125" i="1"/>
  <c r="G125" i="1"/>
  <c r="J69" i="1"/>
  <c r="I69" i="1"/>
  <c r="H69" i="1"/>
  <c r="G69" i="1"/>
  <c r="J55" i="1"/>
  <c r="I55" i="1"/>
  <c r="H55" i="1"/>
  <c r="G55" i="1"/>
  <c r="J13" i="1"/>
  <c r="I13" i="1"/>
  <c r="H13" i="1"/>
  <c r="G13" i="1"/>
  <c r="I2024" i="1"/>
  <c r="J2832" i="1"/>
  <c r="I2832" i="1"/>
  <c r="H2832" i="1"/>
  <c r="G2832" i="1"/>
  <c r="J2794" i="1"/>
  <c r="H2794" i="1"/>
  <c r="G2794" i="1"/>
  <c r="J2738" i="1"/>
  <c r="I2738" i="1"/>
  <c r="H2738" i="1"/>
  <c r="G2738" i="1"/>
  <c r="J2696" i="1"/>
  <c r="I2696" i="1"/>
  <c r="H2696" i="1"/>
  <c r="G2696" i="1"/>
  <c r="J2668" i="1"/>
  <c r="I2668" i="1"/>
  <c r="H2668" i="1"/>
  <c r="G2668" i="1"/>
  <c r="J2640" i="1"/>
  <c r="I2640" i="1"/>
  <c r="H2640" i="1"/>
  <c r="G2640" i="1"/>
  <c r="J2612" i="1"/>
  <c r="I2612" i="1"/>
  <c r="H2612" i="1"/>
  <c r="G2612" i="1"/>
  <c r="J2598" i="1"/>
  <c r="I2598" i="1"/>
  <c r="H2598" i="1"/>
  <c r="G2598" i="1"/>
  <c r="J2556" i="1"/>
  <c r="I2556" i="1"/>
  <c r="H2556" i="1"/>
  <c r="G2556" i="1"/>
  <c r="J2542" i="1"/>
  <c r="I2542" i="1"/>
  <c r="H2542" i="1"/>
  <c r="G2542" i="1"/>
  <c r="J2500" i="1"/>
  <c r="I2500" i="1"/>
  <c r="H2500" i="1"/>
  <c r="G2500" i="1"/>
  <c r="J2464" i="1"/>
  <c r="I2464" i="1"/>
  <c r="H2464" i="1"/>
  <c r="G2464" i="1"/>
  <c r="J2458" i="1"/>
  <c r="I2458" i="1"/>
  <c r="H2458" i="1"/>
  <c r="G2458" i="1"/>
  <c r="J2444" i="1"/>
  <c r="I2444" i="1"/>
  <c r="H2444" i="1"/>
  <c r="G2444" i="1"/>
  <c r="J2402" i="1"/>
  <c r="I2402" i="1"/>
  <c r="H2402" i="1"/>
  <c r="G2402" i="1"/>
  <c r="J2332" i="1"/>
  <c r="I2332" i="1"/>
  <c r="H2332" i="1"/>
  <c r="G2332" i="1"/>
  <c r="J2318" i="1"/>
  <c r="I2318" i="1"/>
  <c r="H2318" i="1"/>
  <c r="G2318" i="1"/>
  <c r="J2304" i="1"/>
  <c r="I2304" i="1"/>
  <c r="H2304" i="1"/>
  <c r="G2304" i="1"/>
  <c r="J2262" i="1"/>
  <c r="I2262" i="1"/>
  <c r="H2262" i="1"/>
  <c r="G2262" i="1"/>
  <c r="J2248" i="1"/>
  <c r="I2248" i="1"/>
  <c r="H2248" i="1"/>
  <c r="G2248" i="1"/>
  <c r="J2234" i="1"/>
  <c r="I2234" i="1"/>
  <c r="H2234" i="1"/>
  <c r="G2234" i="1"/>
  <c r="J2206" i="1"/>
  <c r="I2206" i="1"/>
  <c r="H2206" i="1"/>
  <c r="G2206" i="1"/>
  <c r="J2170" i="1"/>
  <c r="I2170" i="1"/>
  <c r="H2170" i="1"/>
  <c r="G2170" i="1"/>
  <c r="J2136" i="1"/>
  <c r="I2136" i="1"/>
  <c r="H2136" i="1"/>
  <c r="G2136" i="1"/>
  <c r="J2122" i="1"/>
  <c r="I2122" i="1"/>
  <c r="H2122" i="1"/>
  <c r="G2122" i="1"/>
  <c r="J2080" i="1"/>
  <c r="I2080" i="1"/>
  <c r="H2080" i="1"/>
  <c r="G2080" i="1"/>
  <c r="J2044" i="1"/>
  <c r="I2044" i="1"/>
  <c r="H2044" i="1"/>
  <c r="G2044" i="1"/>
  <c r="J2038" i="1"/>
  <c r="I2038" i="1"/>
  <c r="H2038" i="1"/>
  <c r="G2038" i="1"/>
  <c r="J2024" i="1"/>
  <c r="H2024" i="1"/>
  <c r="G2024" i="1"/>
  <c r="J2010" i="1"/>
  <c r="I2010" i="1"/>
  <c r="H2010" i="1"/>
  <c r="G2010" i="1"/>
  <c r="J1954" i="1"/>
  <c r="I1954" i="1"/>
  <c r="H1954" i="1"/>
  <c r="G1954" i="1"/>
  <c r="J1940" i="1"/>
  <c r="I1940" i="1"/>
  <c r="H1940" i="1"/>
  <c r="G1940" i="1"/>
  <c r="J1926" i="1"/>
  <c r="I1926" i="1"/>
  <c r="H1926" i="1"/>
  <c r="G1926" i="1"/>
  <c r="J1856" i="1"/>
  <c r="I1856" i="1"/>
  <c r="H1856" i="1"/>
  <c r="G1856" i="1"/>
  <c r="J1842" i="1"/>
  <c r="I1842" i="1"/>
  <c r="H1842" i="1"/>
  <c r="G1842" i="1"/>
  <c r="J1828" i="1"/>
  <c r="I1828" i="1"/>
  <c r="H1828" i="1"/>
  <c r="G1828" i="1"/>
  <c r="J1796" i="1"/>
  <c r="I1796" i="1"/>
  <c r="H1796" i="1"/>
  <c r="G1796" i="1"/>
  <c r="J1726" i="1"/>
  <c r="I1726" i="1"/>
  <c r="H1726" i="1"/>
  <c r="G1726" i="1"/>
  <c r="J1712" i="1"/>
  <c r="I1712" i="1"/>
  <c r="H1712" i="1"/>
  <c r="G1712" i="1"/>
  <c r="J1684" i="1"/>
  <c r="I1684" i="1"/>
  <c r="H1684" i="1"/>
  <c r="G1684" i="1"/>
  <c r="J1670" i="1"/>
  <c r="I1670" i="1"/>
  <c r="H1670" i="1"/>
  <c r="G1670" i="1"/>
  <c r="J1656" i="1"/>
  <c r="I1656" i="1"/>
  <c r="H1656" i="1"/>
  <c r="G1656" i="1"/>
  <c r="J1642" i="1"/>
  <c r="I1642" i="1"/>
  <c r="H1642" i="1"/>
  <c r="G1642" i="1"/>
  <c r="J1600" i="1"/>
  <c r="I1600" i="1"/>
  <c r="H1600" i="1"/>
  <c r="G1600" i="1"/>
  <c r="J1586" i="1"/>
  <c r="I1586" i="1"/>
  <c r="H1586" i="1"/>
  <c r="G1586" i="1"/>
  <c r="J1572" i="1"/>
  <c r="I1572" i="1"/>
  <c r="H1572" i="1"/>
  <c r="G1572" i="1"/>
  <c r="J1558" i="1"/>
  <c r="I1558" i="1"/>
  <c r="H1558" i="1"/>
  <c r="G1558" i="1"/>
  <c r="J1516" i="1"/>
  <c r="I1516" i="1"/>
  <c r="H1516" i="1"/>
  <c r="G1516" i="1"/>
  <c r="J1502" i="1"/>
  <c r="I1502" i="1"/>
  <c r="H1502" i="1"/>
  <c r="G1502" i="1"/>
  <c r="J1488" i="1"/>
  <c r="I1488" i="1"/>
  <c r="H1488" i="1"/>
  <c r="G1488" i="1"/>
  <c r="J1474" i="1"/>
  <c r="I1474" i="1"/>
  <c r="H1474" i="1"/>
  <c r="G1474" i="1"/>
  <c r="J1432" i="1"/>
  <c r="I1432" i="1"/>
  <c r="H1432" i="1"/>
  <c r="G1432" i="1"/>
  <c r="J1413" i="1"/>
  <c r="I1413" i="1"/>
  <c r="H1413" i="1"/>
  <c r="G1413" i="1"/>
  <c r="J1385" i="1"/>
  <c r="I1385" i="1"/>
  <c r="H1385" i="1"/>
  <c r="G1385" i="1"/>
  <c r="J1273" i="1"/>
  <c r="I1273" i="1"/>
  <c r="H1273" i="1"/>
  <c r="G1273" i="1"/>
  <c r="J1259" i="1"/>
  <c r="I1259" i="1"/>
  <c r="H1259" i="1"/>
  <c r="G1259" i="1"/>
  <c r="J1217" i="1"/>
  <c r="I1217" i="1"/>
  <c r="H1217" i="1"/>
  <c r="G1217" i="1"/>
  <c r="J1161" i="1"/>
  <c r="I1161" i="1"/>
  <c r="H1161" i="1"/>
  <c r="G1161" i="1"/>
  <c r="J1125" i="1"/>
  <c r="I1125" i="1"/>
  <c r="H1125" i="1"/>
  <c r="G1125" i="1"/>
  <c r="J1105" i="1"/>
  <c r="I1105" i="1"/>
  <c r="H1105" i="1"/>
  <c r="G1105" i="1"/>
  <c r="J1091" i="1"/>
  <c r="I1091" i="1"/>
  <c r="H1091" i="1"/>
  <c r="G1091" i="1"/>
  <c r="J1049" i="1"/>
  <c r="I1049" i="1"/>
  <c r="H1049" i="1"/>
  <c r="G1049" i="1"/>
  <c r="J1021" i="1"/>
  <c r="I1021" i="1"/>
  <c r="H1021" i="1"/>
  <c r="G1021" i="1"/>
  <c r="J979" i="1"/>
  <c r="I979" i="1"/>
  <c r="H979" i="1"/>
  <c r="G979" i="1"/>
  <c r="J951" i="1"/>
  <c r="I951" i="1"/>
  <c r="H951" i="1"/>
  <c r="G951" i="1"/>
  <c r="J937" i="1"/>
  <c r="I937" i="1"/>
  <c r="H937" i="1"/>
  <c r="G937" i="1"/>
  <c r="J909" i="1"/>
  <c r="I909" i="1"/>
  <c r="H909" i="1"/>
  <c r="G909" i="1"/>
  <c r="J895" i="1"/>
  <c r="I895" i="1"/>
  <c r="H895" i="1"/>
  <c r="G895" i="1"/>
  <c r="J867" i="1"/>
  <c r="I867" i="1"/>
  <c r="H867" i="1"/>
  <c r="G867" i="1"/>
  <c r="J761" i="1"/>
  <c r="I761" i="1"/>
  <c r="H761" i="1"/>
  <c r="G761" i="1"/>
  <c r="J755" i="1"/>
  <c r="I755" i="1"/>
  <c r="H755" i="1"/>
  <c r="G755" i="1"/>
  <c r="J741" i="1"/>
  <c r="I741" i="1"/>
  <c r="H741" i="1"/>
  <c r="G741" i="1"/>
  <c r="J713" i="1"/>
  <c r="I713" i="1"/>
  <c r="H713" i="1"/>
  <c r="G713" i="1"/>
  <c r="J699" i="1"/>
  <c r="I699" i="1"/>
  <c r="H699" i="1"/>
  <c r="G699" i="1"/>
  <c r="J685" i="1"/>
  <c r="I685" i="1"/>
  <c r="H685" i="1"/>
  <c r="G685" i="1"/>
  <c r="J671" i="1"/>
  <c r="I671" i="1"/>
  <c r="H671" i="1"/>
  <c r="G671" i="1"/>
  <c r="J601" i="1"/>
  <c r="I601" i="1"/>
  <c r="H601" i="1"/>
  <c r="G601" i="1"/>
  <c r="J587" i="1"/>
  <c r="I587" i="1"/>
  <c r="H587" i="1"/>
  <c r="G587" i="1"/>
  <c r="J559" i="1"/>
  <c r="I559" i="1"/>
  <c r="H559" i="1"/>
  <c r="G559" i="1"/>
  <c r="J545" i="1"/>
  <c r="I545" i="1"/>
  <c r="H545" i="1"/>
  <c r="G545" i="1"/>
  <c r="J531" i="1"/>
  <c r="I531" i="1"/>
  <c r="H531" i="1"/>
  <c r="G531" i="1"/>
  <c r="J503" i="1"/>
  <c r="I503" i="1"/>
  <c r="H503" i="1"/>
  <c r="G503" i="1"/>
  <c r="J461" i="1"/>
  <c r="I461" i="1"/>
  <c r="H461" i="1"/>
  <c r="G461" i="1"/>
  <c r="J447" i="1"/>
  <c r="I447" i="1"/>
  <c r="H447" i="1"/>
  <c r="G447" i="1"/>
  <c r="J433" i="1"/>
  <c r="I433" i="1"/>
  <c r="H433" i="1"/>
  <c r="G433" i="1"/>
  <c r="J363" i="1"/>
  <c r="I363" i="1"/>
  <c r="H363" i="1"/>
  <c r="G363" i="1"/>
  <c r="J335" i="1"/>
  <c r="I335" i="1"/>
  <c r="H335" i="1"/>
  <c r="G335" i="1"/>
  <c r="J321" i="1"/>
  <c r="I321" i="1"/>
  <c r="H321" i="1"/>
  <c r="G321" i="1"/>
  <c r="J307" i="1"/>
  <c r="I307" i="1"/>
  <c r="H307" i="1"/>
  <c r="G307" i="1"/>
  <c r="J293" i="1"/>
  <c r="I293" i="1"/>
  <c r="H293" i="1"/>
  <c r="G293" i="1"/>
  <c r="J279" i="1"/>
  <c r="I279" i="1"/>
  <c r="H279" i="1"/>
  <c r="G279" i="1"/>
  <c r="J223" i="1"/>
  <c r="I223" i="1"/>
  <c r="H223" i="1"/>
  <c r="G223" i="1"/>
  <c r="J209" i="1"/>
  <c r="I209" i="1"/>
  <c r="H209" i="1"/>
  <c r="G209" i="1"/>
  <c r="J181" i="1"/>
  <c r="I181" i="1"/>
  <c r="H181" i="1"/>
  <c r="G181" i="1"/>
  <c r="J153" i="1"/>
  <c r="I153" i="1"/>
  <c r="H153" i="1"/>
  <c r="G153" i="1"/>
  <c r="J111" i="1"/>
  <c r="I111" i="1"/>
  <c r="H111" i="1"/>
  <c r="G111" i="1"/>
  <c r="J97" i="1"/>
  <c r="I97" i="1"/>
  <c r="H97" i="1"/>
  <c r="G97" i="1"/>
  <c r="J83" i="1"/>
  <c r="I83" i="1"/>
  <c r="H83" i="1"/>
  <c r="G83" i="1"/>
  <c r="J41" i="1"/>
  <c r="I41" i="1"/>
  <c r="H41" i="1"/>
  <c r="G41" i="1"/>
  <c r="J27" i="1"/>
  <c r="I27" i="1"/>
  <c r="H27" i="1"/>
  <c r="G27" i="1"/>
  <c r="I576" i="1"/>
  <c r="Q576" i="1" s="1"/>
  <c r="J576" i="1"/>
  <c r="J2779" i="1"/>
  <c r="I2779" i="1" s="1"/>
  <c r="Q2779" i="1" s="1"/>
  <c r="J2765" i="1"/>
  <c r="I2765" i="1" s="1"/>
  <c r="Q2765" i="1" s="1"/>
  <c r="J2751" i="1"/>
  <c r="I2751" i="1" s="1"/>
  <c r="Q2751" i="1" s="1"/>
  <c r="J2723" i="1"/>
  <c r="I2723" i="1" s="1"/>
  <c r="Q2723" i="1" s="1"/>
  <c r="J2709" i="1"/>
  <c r="I2709" i="1" s="1"/>
  <c r="Q2709" i="1" s="1"/>
  <c r="J2681" i="1"/>
  <c r="I2681" i="1" s="1"/>
  <c r="Q2681" i="1" s="1"/>
  <c r="J2653" i="1"/>
  <c r="I2653" i="1" s="1"/>
  <c r="Q2653" i="1" s="1"/>
  <c r="J2625" i="1"/>
  <c r="I2625" i="1" s="1"/>
  <c r="Q2625" i="1" s="1"/>
  <c r="J2583" i="1"/>
  <c r="I2583" i="1" s="1"/>
  <c r="Q2583" i="1" s="1"/>
  <c r="J2569" i="1"/>
  <c r="I2569" i="1" s="1"/>
  <c r="Q2569" i="1" s="1"/>
  <c r="J2527" i="1"/>
  <c r="I2527" i="1" s="1"/>
  <c r="Q2527" i="1" s="1"/>
  <c r="J2513" i="1"/>
  <c r="I2513" i="1" s="1"/>
  <c r="Q2513" i="1" s="1"/>
  <c r="J2477" i="1"/>
  <c r="I2477" i="1" s="1"/>
  <c r="Q2477" i="1" s="1"/>
  <c r="J2429" i="1"/>
  <c r="I2429" i="1" s="1"/>
  <c r="Q2429" i="1" s="1"/>
  <c r="J2415" i="1"/>
  <c r="I2415" i="1" s="1"/>
  <c r="Q2415" i="1" s="1"/>
  <c r="J2387" i="1"/>
  <c r="I2387" i="1" s="1"/>
  <c r="Q2387" i="1" s="1"/>
  <c r="J2373" i="1"/>
  <c r="I2373" i="1" s="1"/>
  <c r="Q2373" i="1" s="1"/>
  <c r="J2359" i="1"/>
  <c r="I2359" i="1" s="1"/>
  <c r="Q2359" i="1" s="1"/>
  <c r="J2345" i="1"/>
  <c r="I2345" i="1" s="1"/>
  <c r="Q2345" i="1" s="1"/>
  <c r="J2289" i="1"/>
  <c r="I2289" i="1" s="1"/>
  <c r="Q2289" i="1" s="1"/>
  <c r="J2275" i="1"/>
  <c r="I2275" i="1" s="1"/>
  <c r="Q2275" i="1" s="1"/>
  <c r="J2219" i="1"/>
  <c r="I2219" i="1" s="1"/>
  <c r="Q2219" i="1" s="1"/>
  <c r="J2183" i="1"/>
  <c r="I2183" i="1" s="1"/>
  <c r="Q2183" i="1" s="1"/>
  <c r="J2163" i="1"/>
  <c r="I2163" i="1" s="1"/>
  <c r="Q2163" i="1" s="1"/>
  <c r="J2149" i="1"/>
  <c r="I2149" i="1" s="1"/>
  <c r="Q2149" i="1" s="1"/>
  <c r="J2107" i="1"/>
  <c r="I2107" i="1" s="1"/>
  <c r="Q2107" i="1" s="1"/>
  <c r="J2093" i="1"/>
  <c r="I2093" i="1" s="1"/>
  <c r="Q2093" i="1" s="1"/>
  <c r="J2057" i="1"/>
  <c r="I2057" i="1" s="1"/>
  <c r="Q2057" i="1" s="1"/>
  <c r="J1995" i="1"/>
  <c r="I1995" i="1" s="1"/>
  <c r="Q1995" i="1" s="1"/>
  <c r="J1981" i="1"/>
  <c r="I1981" i="1" s="1"/>
  <c r="Q1981" i="1" s="1"/>
  <c r="J1967" i="1"/>
  <c r="I1967" i="1" s="1"/>
  <c r="Q1967" i="1" s="1"/>
  <c r="J1911" i="1"/>
  <c r="I1911" i="1" s="1"/>
  <c r="Q1911" i="1" s="1"/>
  <c r="J1897" i="1"/>
  <c r="I1897" i="1" s="1"/>
  <c r="Q1897" i="1" s="1"/>
  <c r="J1883" i="1"/>
  <c r="I1883" i="1" s="1"/>
  <c r="Q1883" i="1" s="1"/>
  <c r="J1869" i="1"/>
  <c r="I1869" i="1" s="1"/>
  <c r="Q1869" i="1" s="1"/>
  <c r="J1809" i="1"/>
  <c r="I1809" i="1" s="1"/>
  <c r="Q1809" i="1" s="1"/>
  <c r="J1781" i="1"/>
  <c r="I1781" i="1" s="1"/>
  <c r="Q1781" i="1" s="1"/>
  <c r="J1767" i="1"/>
  <c r="I1767" i="1" s="1"/>
  <c r="Q1767" i="1" s="1"/>
  <c r="J1753" i="1"/>
  <c r="I1753" i="1" s="1"/>
  <c r="Q1753" i="1" s="1"/>
  <c r="J1739" i="1"/>
  <c r="I1739" i="1" s="1"/>
  <c r="Q1739" i="1" s="1"/>
  <c r="J1697" i="1"/>
  <c r="I1697" i="1" s="1"/>
  <c r="Q1697" i="1" s="1"/>
  <c r="J1627" i="1"/>
  <c r="I1627" i="1" s="1"/>
  <c r="Q1627" i="1" s="1"/>
  <c r="J1613" i="1"/>
  <c r="I1613" i="1" s="1"/>
  <c r="Q1613" i="1" s="1"/>
  <c r="J1543" i="1"/>
  <c r="I1543" i="1" s="1"/>
  <c r="Q1543" i="1" s="1"/>
  <c r="J1529" i="1"/>
  <c r="I1529" i="1" s="1"/>
  <c r="Q1529" i="1" s="1"/>
  <c r="J1459" i="1"/>
  <c r="I1459" i="1" s="1"/>
  <c r="Q1459" i="1" s="1"/>
  <c r="J1445" i="1"/>
  <c r="I1445" i="1" s="1"/>
  <c r="Q1445" i="1" s="1"/>
  <c r="J1398" i="1"/>
  <c r="I1398" i="1" s="1"/>
  <c r="Q1398" i="1" s="1"/>
  <c r="J1370" i="1"/>
  <c r="I1370" i="1" s="1"/>
  <c r="Q1370" i="1" s="1"/>
  <c r="J1356" i="1"/>
  <c r="I1356" i="1" s="1"/>
  <c r="Q1356" i="1" s="1"/>
  <c r="J1342" i="1"/>
  <c r="I1342" i="1" s="1"/>
  <c r="Q1342" i="1" s="1"/>
  <c r="J1328" i="1"/>
  <c r="I1328" i="1" s="1"/>
  <c r="Q1328" i="1" s="1"/>
  <c r="J1314" i="1"/>
  <c r="I1314" i="1" s="1"/>
  <c r="Q1314" i="1" s="1"/>
  <c r="J1300" i="1"/>
  <c r="I1300" i="1" s="1"/>
  <c r="Q1300" i="1" s="1"/>
  <c r="J1286" i="1"/>
  <c r="I1286" i="1" s="1"/>
  <c r="Q1286" i="1" s="1"/>
  <c r="J1244" i="1"/>
  <c r="I1244" i="1" s="1"/>
  <c r="Q1244" i="1" s="1"/>
  <c r="J1230" i="1"/>
  <c r="I1230" i="1" s="1"/>
  <c r="Q1230" i="1" s="1"/>
  <c r="J1202" i="1"/>
  <c r="I1202" i="1" s="1"/>
  <c r="Q1202" i="1" s="1"/>
  <c r="J1188" i="1"/>
  <c r="I1188" i="1" s="1"/>
  <c r="Q1188" i="1" s="1"/>
  <c r="J1174" i="1"/>
  <c r="I1174" i="1" s="1"/>
  <c r="Q1174" i="1" s="1"/>
  <c r="J1138" i="1"/>
  <c r="I1138" i="1" s="1"/>
  <c r="Q1138" i="1" s="1"/>
  <c r="J1118" i="1"/>
  <c r="I1118" i="1" s="1"/>
  <c r="Q1118" i="1" s="1"/>
  <c r="J1076" i="1"/>
  <c r="I1076" i="1" s="1"/>
  <c r="Q1076" i="1" s="1"/>
  <c r="J1062" i="1"/>
  <c r="I1062" i="1" s="1"/>
  <c r="Q1062" i="1" s="1"/>
  <c r="J1034" i="1"/>
  <c r="I1034" i="1" s="1"/>
  <c r="Q1034" i="1" s="1"/>
  <c r="J1006" i="1"/>
  <c r="I1006" i="1" s="1"/>
  <c r="Q1006" i="1" s="1"/>
  <c r="J992" i="1"/>
  <c r="I992" i="1" s="1"/>
  <c r="Q992" i="1" s="1"/>
  <c r="J964" i="1"/>
  <c r="I964" i="1" s="1"/>
  <c r="Q964" i="1" s="1"/>
  <c r="J922" i="1"/>
  <c r="I922" i="1" s="1"/>
  <c r="Q922" i="1" s="1"/>
  <c r="J880" i="1"/>
  <c r="I880" i="1" s="1"/>
  <c r="Q880" i="1" s="1"/>
  <c r="J852" i="1"/>
  <c r="I852" i="1" s="1"/>
  <c r="Q852" i="1" s="1"/>
  <c r="J838" i="1"/>
  <c r="I838" i="1" s="1"/>
  <c r="Q838" i="1" s="1"/>
  <c r="J824" i="1"/>
  <c r="I824" i="1" s="1"/>
  <c r="Q824" i="1" s="1"/>
  <c r="J810" i="1"/>
  <c r="I810" i="1" s="1"/>
  <c r="Q810" i="1" s="1"/>
  <c r="J796" i="1"/>
  <c r="I796" i="1" s="1"/>
  <c r="Q796" i="1" s="1"/>
  <c r="J774" i="1"/>
  <c r="I774" i="1" s="1"/>
  <c r="Q774" i="1" s="1"/>
  <c r="J726" i="1"/>
  <c r="I726" i="1" s="1"/>
  <c r="Q726" i="1" s="1"/>
  <c r="J656" i="1"/>
  <c r="I656" i="1" s="1"/>
  <c r="Q656" i="1" s="1"/>
  <c r="J642" i="1"/>
  <c r="I642" i="1" s="1"/>
  <c r="Q642" i="1" s="1"/>
  <c r="J628" i="1"/>
  <c r="I628" i="1" s="1"/>
  <c r="Q628" i="1" s="1"/>
  <c r="J614" i="1"/>
  <c r="I614" i="1" s="1"/>
  <c r="Q614" i="1" s="1"/>
  <c r="J572" i="1"/>
  <c r="I572" i="1" s="1"/>
  <c r="Q572" i="1" s="1"/>
  <c r="J516" i="1"/>
  <c r="I516" i="1" s="1"/>
  <c r="Q516" i="1" s="1"/>
  <c r="J488" i="1"/>
  <c r="I488" i="1" s="1"/>
  <c r="Q488" i="1" s="1"/>
  <c r="J474" i="1"/>
  <c r="I474" i="1" s="1"/>
  <c r="Q474" i="1" s="1"/>
  <c r="J418" i="1"/>
  <c r="I418" i="1" s="1"/>
  <c r="Q418" i="1" s="1"/>
  <c r="J404" i="1"/>
  <c r="I404" i="1" s="1"/>
  <c r="Q404" i="1" s="1"/>
  <c r="J390" i="1"/>
  <c r="I390" i="1" s="1"/>
  <c r="Q390" i="1" s="1"/>
  <c r="J376" i="1"/>
  <c r="I376" i="1" s="1"/>
  <c r="Q376" i="1" s="1"/>
  <c r="J348" i="1"/>
  <c r="I348" i="1" s="1"/>
  <c r="Q348" i="1" s="1"/>
  <c r="J264" i="1"/>
  <c r="I264" i="1" s="1"/>
  <c r="Q264" i="1" s="1"/>
  <c r="J250" i="1"/>
  <c r="I250" i="1" s="1"/>
  <c r="Q250" i="1" s="1"/>
  <c r="J236" i="1"/>
  <c r="I236" i="1" s="1"/>
  <c r="Q236" i="1" s="1"/>
  <c r="J194" i="1"/>
  <c r="I194" i="1" s="1"/>
  <c r="Q194" i="1" s="1"/>
  <c r="J166" i="1"/>
  <c r="I166" i="1" s="1"/>
  <c r="Q166" i="1" s="1"/>
  <c r="J138" i="1"/>
  <c r="I138" i="1" s="1"/>
  <c r="Q138" i="1" s="1"/>
  <c r="J124" i="1"/>
  <c r="I124" i="1" s="1"/>
  <c r="Q124" i="1" s="1"/>
  <c r="J68" i="1"/>
  <c r="I68" i="1" s="1"/>
  <c r="Q68" i="1" s="1"/>
  <c r="J54" i="1"/>
  <c r="I54" i="1" s="1"/>
  <c r="Q54" i="1" s="1"/>
  <c r="J12" i="1"/>
  <c r="I12" i="1" s="1"/>
  <c r="Q12" i="1" s="1"/>
  <c r="J2831" i="1"/>
  <c r="I2831" i="1" s="1"/>
  <c r="Q2831" i="1" s="1"/>
  <c r="J2793" i="1"/>
  <c r="I2793" i="1" s="1"/>
  <c r="Q2793" i="1" s="1"/>
  <c r="J2737" i="1"/>
  <c r="I2737" i="1" s="1"/>
  <c r="Q2737" i="1" s="1"/>
  <c r="J2695" i="1"/>
  <c r="I2695" i="1" s="1"/>
  <c r="Q2695" i="1" s="1"/>
  <c r="J2667" i="1"/>
  <c r="I2667" i="1" s="1"/>
  <c r="Q2667" i="1" s="1"/>
  <c r="J2639" i="1"/>
  <c r="I2639" i="1" s="1"/>
  <c r="Q2639" i="1" s="1"/>
  <c r="J2611" i="1"/>
  <c r="I2611" i="1" s="1"/>
  <c r="Q2611" i="1" s="1"/>
  <c r="J2597" i="1"/>
  <c r="I2597" i="1" s="1"/>
  <c r="Q2597" i="1" s="1"/>
  <c r="J2555" i="1"/>
  <c r="I2555" i="1" s="1"/>
  <c r="Q2555" i="1" s="1"/>
  <c r="J2541" i="1"/>
  <c r="I2541" i="1" s="1"/>
  <c r="Q2541" i="1" s="1"/>
  <c r="J2499" i="1"/>
  <c r="I2499" i="1" s="1"/>
  <c r="Q2499" i="1" s="1"/>
  <c r="J2488" i="1"/>
  <c r="I2488" i="1" s="1"/>
  <c r="Q2488" i="1" s="1"/>
  <c r="J2457" i="1"/>
  <c r="I2457" i="1" s="1"/>
  <c r="Q2457" i="1" s="1"/>
  <c r="J2443" i="1"/>
  <c r="I2443" i="1" s="1"/>
  <c r="Q2443" i="1" s="1"/>
  <c r="J2401" i="1"/>
  <c r="I2401" i="1" s="1"/>
  <c r="Q2401" i="1" s="1"/>
  <c r="J2331" i="1"/>
  <c r="I2331" i="1" s="1"/>
  <c r="Q2331" i="1" s="1"/>
  <c r="J2317" i="1"/>
  <c r="I2317" i="1" s="1"/>
  <c r="Q2317" i="1" s="1"/>
  <c r="J2303" i="1"/>
  <c r="I2303" i="1" s="1"/>
  <c r="Q2303" i="1" s="1"/>
  <c r="J2261" i="1"/>
  <c r="I2261" i="1" s="1"/>
  <c r="Q2261" i="1" s="1"/>
  <c r="J2247" i="1"/>
  <c r="I2247" i="1" s="1"/>
  <c r="Q2247" i="1" s="1"/>
  <c r="J2233" i="1"/>
  <c r="I2233" i="1" s="1"/>
  <c r="Q2233" i="1" s="1"/>
  <c r="J2205" i="1"/>
  <c r="I2205" i="1" s="1"/>
  <c r="Q2205" i="1" s="1"/>
  <c r="J2194" i="1"/>
  <c r="I2194" i="1" s="1"/>
  <c r="Q2194" i="1" s="1"/>
  <c r="J2135" i="1"/>
  <c r="I2135" i="1" s="1"/>
  <c r="Q2135" i="1" s="1"/>
  <c r="J2121" i="1"/>
  <c r="I2121" i="1" s="1"/>
  <c r="Q2121" i="1" s="1"/>
  <c r="J2079" i="1"/>
  <c r="I2079" i="1" s="1"/>
  <c r="Q2079" i="1" s="1"/>
  <c r="J2068" i="1"/>
  <c r="I2068" i="1" s="1"/>
  <c r="Q2068" i="1" s="1"/>
  <c r="J2037" i="1"/>
  <c r="I2037" i="1" s="1"/>
  <c r="Q2037" i="1" s="1"/>
  <c r="J2023" i="1"/>
  <c r="I2023" i="1" s="1"/>
  <c r="Q2023" i="1" s="1"/>
  <c r="J2009" i="1"/>
  <c r="I2009" i="1" s="1"/>
  <c r="Q2009" i="1" s="1"/>
  <c r="J1953" i="1"/>
  <c r="I1953" i="1" s="1"/>
  <c r="Q1953" i="1" s="1"/>
  <c r="J1939" i="1"/>
  <c r="I1939" i="1" s="1"/>
  <c r="Q1939" i="1" s="1"/>
  <c r="J1925" i="1"/>
  <c r="I1925" i="1" s="1"/>
  <c r="Q1925" i="1" s="1"/>
  <c r="J1855" i="1"/>
  <c r="I1855" i="1" s="1"/>
  <c r="Q1855" i="1" s="1"/>
  <c r="J1841" i="1"/>
  <c r="I1841" i="1" s="1"/>
  <c r="Q1841" i="1" s="1"/>
  <c r="J1827" i="1"/>
  <c r="I1827" i="1" s="1"/>
  <c r="Q1827" i="1" s="1"/>
  <c r="J1795" i="1"/>
  <c r="I1795" i="1" s="1"/>
  <c r="Q1795" i="1" s="1"/>
  <c r="J1725" i="1"/>
  <c r="I1725" i="1" s="1"/>
  <c r="Q1725" i="1" s="1"/>
  <c r="J1711" i="1"/>
  <c r="I1711" i="1" s="1"/>
  <c r="Q1711" i="1" s="1"/>
  <c r="J1683" i="1"/>
  <c r="I1683" i="1" s="1"/>
  <c r="Q1683" i="1" s="1"/>
  <c r="J1669" i="1"/>
  <c r="I1669" i="1" s="1"/>
  <c r="Q1669" i="1" s="1"/>
  <c r="J1655" i="1"/>
  <c r="I1655" i="1" s="1"/>
  <c r="Q1655" i="1" s="1"/>
  <c r="J1641" i="1"/>
  <c r="I1641" i="1" s="1"/>
  <c r="Q1641" i="1" s="1"/>
  <c r="J1599" i="1"/>
  <c r="I1599" i="1" s="1"/>
  <c r="Q1599" i="1" s="1"/>
  <c r="J1585" i="1"/>
  <c r="I1585" i="1" s="1"/>
  <c r="Q1585" i="1" s="1"/>
  <c r="J1571" i="1"/>
  <c r="I1571" i="1" s="1"/>
  <c r="Q1571" i="1" s="1"/>
  <c r="J1557" i="1"/>
  <c r="I1557" i="1" s="1"/>
  <c r="Q1557" i="1" s="1"/>
  <c r="J1515" i="1"/>
  <c r="I1515" i="1" s="1"/>
  <c r="Q1515" i="1" s="1"/>
  <c r="J1501" i="1"/>
  <c r="I1501" i="1" s="1"/>
  <c r="Q1501" i="1" s="1"/>
  <c r="J1487" i="1"/>
  <c r="I1487" i="1" s="1"/>
  <c r="Q1487" i="1" s="1"/>
  <c r="J1473" i="1"/>
  <c r="I1473" i="1" s="1"/>
  <c r="Q1473" i="1" s="1"/>
  <c r="J1431" i="1"/>
  <c r="I1431" i="1" s="1"/>
  <c r="Q1431" i="1" s="1"/>
  <c r="J1412" i="1"/>
  <c r="I1412" i="1" s="1"/>
  <c r="Q1412" i="1" s="1"/>
  <c r="J1384" i="1"/>
  <c r="I1384" i="1" s="1"/>
  <c r="Q1384" i="1" s="1"/>
  <c r="J1272" i="1"/>
  <c r="I1272" i="1" s="1"/>
  <c r="Q1272" i="1" s="1"/>
  <c r="J1258" i="1"/>
  <c r="I1258" i="1" s="1"/>
  <c r="Q1258" i="1" s="1"/>
  <c r="J1216" i="1"/>
  <c r="I1216" i="1" s="1"/>
  <c r="Q1216" i="1" s="1"/>
  <c r="J1160" i="1"/>
  <c r="I1160" i="1" s="1"/>
  <c r="Q1160" i="1" s="1"/>
  <c r="J1149" i="1"/>
  <c r="I1149" i="1" s="1"/>
  <c r="Q1149" i="1" s="1"/>
  <c r="J1104" i="1"/>
  <c r="I1104" i="1" s="1"/>
  <c r="Q1104" i="1" s="1"/>
  <c r="J1090" i="1"/>
  <c r="I1090" i="1" s="1"/>
  <c r="Q1090" i="1" s="1"/>
  <c r="J1048" i="1"/>
  <c r="I1048" i="1" s="1"/>
  <c r="Q1048" i="1" s="1"/>
  <c r="J1020" i="1"/>
  <c r="I1020" i="1" s="1"/>
  <c r="Q1020" i="1" s="1"/>
  <c r="J978" i="1"/>
  <c r="I978" i="1" s="1"/>
  <c r="Q978" i="1" s="1"/>
  <c r="J950" i="1"/>
  <c r="I950" i="1" s="1"/>
  <c r="Q950" i="1" s="1"/>
  <c r="J936" i="1"/>
  <c r="I936" i="1" s="1"/>
  <c r="Q936" i="1" s="1"/>
  <c r="J908" i="1"/>
  <c r="I908" i="1" s="1"/>
  <c r="Q908" i="1" s="1"/>
  <c r="J894" i="1"/>
  <c r="I894" i="1" s="1"/>
  <c r="Q894" i="1" s="1"/>
  <c r="J866" i="1"/>
  <c r="I866" i="1" s="1"/>
  <c r="Q866" i="1" s="1"/>
  <c r="J785" i="1"/>
  <c r="I785" i="1" s="1"/>
  <c r="Q785" i="1" s="1"/>
  <c r="J754" i="1"/>
  <c r="I754" i="1" s="1"/>
  <c r="Q754" i="1" s="1"/>
  <c r="J740" i="1"/>
  <c r="I740" i="1" s="1"/>
  <c r="Q740" i="1" s="1"/>
  <c r="J712" i="1"/>
  <c r="I712" i="1" s="1"/>
  <c r="Q712" i="1" s="1"/>
  <c r="J698" i="1"/>
  <c r="I698" i="1" s="1"/>
  <c r="Q698" i="1" s="1"/>
  <c r="J684" i="1"/>
  <c r="I684" i="1" s="1"/>
  <c r="Q684" i="1" s="1"/>
  <c r="J670" i="1"/>
  <c r="I670" i="1" s="1"/>
  <c r="Q670" i="1" s="1"/>
  <c r="J600" i="1"/>
  <c r="I600" i="1" s="1"/>
  <c r="Q600" i="1" s="1"/>
  <c r="J586" i="1"/>
  <c r="I586" i="1" s="1"/>
  <c r="Q586" i="1" s="1"/>
  <c r="J558" i="1"/>
  <c r="I558" i="1" s="1"/>
  <c r="Q558" i="1" s="1"/>
  <c r="J544" i="1"/>
  <c r="I544" i="1" s="1"/>
  <c r="Q544" i="1" s="1"/>
  <c r="J530" i="1"/>
  <c r="I530" i="1" s="1"/>
  <c r="Q530" i="1" s="1"/>
  <c r="J502" i="1"/>
  <c r="I502" i="1" s="1"/>
  <c r="Q502" i="1" s="1"/>
  <c r="J460" i="1"/>
  <c r="I460" i="1" s="1"/>
  <c r="Q460" i="1" s="1"/>
  <c r="J446" i="1"/>
  <c r="I446" i="1" s="1"/>
  <c r="Q446" i="1" s="1"/>
  <c r="J432" i="1"/>
  <c r="I432" i="1" s="1"/>
  <c r="Q432" i="1" s="1"/>
  <c r="J362" i="1"/>
  <c r="I362" i="1" s="1"/>
  <c r="Q362" i="1" s="1"/>
  <c r="J334" i="1"/>
  <c r="I334" i="1" s="1"/>
  <c r="Q334" i="1" s="1"/>
  <c r="J320" i="1"/>
  <c r="I320" i="1" s="1"/>
  <c r="Q320" i="1" s="1"/>
  <c r="J306" i="1"/>
  <c r="I306" i="1" s="1"/>
  <c r="Q306" i="1" s="1"/>
  <c r="J292" i="1"/>
  <c r="I292" i="1" s="1"/>
  <c r="Q292" i="1" s="1"/>
  <c r="J278" i="1"/>
  <c r="I278" i="1" s="1"/>
  <c r="Q278" i="1" s="1"/>
  <c r="J222" i="1"/>
  <c r="I222" i="1" s="1"/>
  <c r="Q222" i="1" s="1"/>
  <c r="J208" i="1"/>
  <c r="I208" i="1" s="1"/>
  <c r="Q208" i="1" s="1"/>
  <c r="J180" i="1"/>
  <c r="I180" i="1" s="1"/>
  <c r="Q180" i="1" s="1"/>
  <c r="J152" i="1"/>
  <c r="I152" i="1" s="1"/>
  <c r="Q152" i="1" s="1"/>
  <c r="J110" i="1"/>
  <c r="I110" i="1" s="1"/>
  <c r="Q110" i="1" s="1"/>
  <c r="J96" i="1"/>
  <c r="I96" i="1" s="1"/>
  <c r="Q96" i="1" s="1"/>
  <c r="J82" i="1"/>
  <c r="I82" i="1" s="1"/>
  <c r="Q82" i="1" s="1"/>
  <c r="J40" i="1"/>
  <c r="I40" i="1" s="1"/>
  <c r="Q40" i="1" s="1"/>
  <c r="J26" i="1"/>
  <c r="I26" i="1" s="1"/>
  <c r="Q26" i="1" s="1"/>
  <c r="J2778" i="1"/>
  <c r="I2778" i="1"/>
  <c r="Q2778" i="1" s="1"/>
  <c r="J2764" i="1"/>
  <c r="I2764" i="1"/>
  <c r="Q2764" i="1" s="1"/>
  <c r="J2750" i="1"/>
  <c r="I2750" i="1"/>
  <c r="Q2750" i="1" s="1"/>
  <c r="J2722" i="1"/>
  <c r="I2722" i="1"/>
  <c r="Q2722" i="1" s="1"/>
  <c r="J2708" i="1"/>
  <c r="I2708" i="1"/>
  <c r="Q2708" i="1" s="1"/>
  <c r="J2680" i="1"/>
  <c r="I2680" i="1"/>
  <c r="Q2680" i="1" s="1"/>
  <c r="J2652" i="1"/>
  <c r="I2652" i="1"/>
  <c r="Q2652" i="1" s="1"/>
  <c r="J2624" i="1"/>
  <c r="I2624" i="1"/>
  <c r="Q2624" i="1" s="1"/>
  <c r="J2582" i="1"/>
  <c r="I2582" i="1"/>
  <c r="Q2582" i="1" s="1"/>
  <c r="J2568" i="1"/>
  <c r="I2568" i="1"/>
  <c r="Q2568" i="1" s="1"/>
  <c r="J2526" i="1"/>
  <c r="I2526" i="1"/>
  <c r="Q2526" i="1" s="1"/>
  <c r="J2512" i="1"/>
  <c r="I2512" i="1"/>
  <c r="Q2512" i="1" s="1"/>
  <c r="J2476" i="1"/>
  <c r="I2476" i="1"/>
  <c r="Q2476" i="1" s="1"/>
  <c r="J2428" i="1"/>
  <c r="I2428" i="1"/>
  <c r="Q2428" i="1" s="1"/>
  <c r="J2414" i="1"/>
  <c r="I2414" i="1"/>
  <c r="Q2414" i="1" s="1"/>
  <c r="J2386" i="1"/>
  <c r="I2386" i="1"/>
  <c r="Q2386" i="1" s="1"/>
  <c r="J2372" i="1"/>
  <c r="I2372" i="1"/>
  <c r="Q2372" i="1" s="1"/>
  <c r="J2358" i="1"/>
  <c r="I2358" i="1"/>
  <c r="Q2358" i="1" s="1"/>
  <c r="J2344" i="1"/>
  <c r="I2344" i="1"/>
  <c r="Q2344" i="1" s="1"/>
  <c r="J2288" i="1"/>
  <c r="I2288" i="1"/>
  <c r="Q2288" i="1" s="1"/>
  <c r="J2274" i="1"/>
  <c r="I2274" i="1"/>
  <c r="Q2274" i="1" s="1"/>
  <c r="J2218" i="1"/>
  <c r="I2218" i="1"/>
  <c r="Q2218" i="1" s="1"/>
  <c r="J2182" i="1"/>
  <c r="I2182" i="1"/>
  <c r="Q2182" i="1" s="1"/>
  <c r="J2162" i="1"/>
  <c r="I2162" i="1"/>
  <c r="Q2162" i="1" s="1"/>
  <c r="J2148" i="1"/>
  <c r="I2148" i="1"/>
  <c r="Q2148" i="1" s="1"/>
  <c r="J2106" i="1"/>
  <c r="I2106" i="1"/>
  <c r="Q2106" i="1" s="1"/>
  <c r="J2092" i="1"/>
  <c r="I2092" i="1"/>
  <c r="Q2092" i="1" s="1"/>
  <c r="J2056" i="1"/>
  <c r="I2056" i="1"/>
  <c r="Q2056" i="1" s="1"/>
  <c r="J1994" i="1"/>
  <c r="I1994" i="1"/>
  <c r="Q1994" i="1" s="1"/>
  <c r="J1980" i="1"/>
  <c r="I1980" i="1"/>
  <c r="Q1980" i="1" s="1"/>
  <c r="J1966" i="1"/>
  <c r="I1966" i="1"/>
  <c r="Q1966" i="1" s="1"/>
  <c r="J1910" i="1"/>
  <c r="I1910" i="1"/>
  <c r="Q1910" i="1" s="1"/>
  <c r="J1896" i="1"/>
  <c r="I1896" i="1"/>
  <c r="Q1896" i="1" s="1"/>
  <c r="J1882" i="1"/>
  <c r="I1882" i="1"/>
  <c r="Q1882" i="1" s="1"/>
  <c r="J1868" i="1"/>
  <c r="I1868" i="1"/>
  <c r="Q1868" i="1" s="1"/>
  <c r="J1808" i="1"/>
  <c r="I1808" i="1"/>
  <c r="Q1808" i="1" s="1"/>
  <c r="J1780" i="1"/>
  <c r="I1780" i="1"/>
  <c r="Q1780" i="1" s="1"/>
  <c r="J1766" i="1"/>
  <c r="I1766" i="1"/>
  <c r="Q1766" i="1" s="1"/>
  <c r="J1752" i="1"/>
  <c r="I1752" i="1"/>
  <c r="Q1752" i="1" s="1"/>
  <c r="J1738" i="1"/>
  <c r="I1738" i="1"/>
  <c r="Q1738" i="1" s="1"/>
  <c r="J1696" i="1"/>
  <c r="I1696" i="1"/>
  <c r="Q1696" i="1" s="1"/>
  <c r="J1626" i="1"/>
  <c r="I1626" i="1"/>
  <c r="Q1626" i="1" s="1"/>
  <c r="J1542" i="1"/>
  <c r="I1542" i="1"/>
  <c r="Q1542" i="1" s="1"/>
  <c r="J1528" i="1"/>
  <c r="I1528" i="1"/>
  <c r="Q1528" i="1" s="1"/>
  <c r="J1397" i="1"/>
  <c r="I1397" i="1"/>
  <c r="Q1397" i="1" s="1"/>
  <c r="J1369" i="1"/>
  <c r="I1369" i="1"/>
  <c r="Q1369" i="1" s="1"/>
  <c r="J1355" i="1"/>
  <c r="I1355" i="1"/>
  <c r="Q1355" i="1" s="1"/>
  <c r="J1341" i="1"/>
  <c r="I1341" i="1"/>
  <c r="Q1341" i="1" s="1"/>
  <c r="J1327" i="1"/>
  <c r="I1327" i="1"/>
  <c r="Q1327" i="1" s="1"/>
  <c r="J1299" i="1"/>
  <c r="I1299" i="1"/>
  <c r="Q1299" i="1" s="1"/>
  <c r="J1285" i="1"/>
  <c r="I1285" i="1"/>
  <c r="Q1285" i="1" s="1"/>
  <c r="J1243" i="1"/>
  <c r="I1243" i="1"/>
  <c r="Q1243" i="1" s="1"/>
  <c r="J1229" i="1"/>
  <c r="I1229" i="1"/>
  <c r="Q1229" i="1" s="1"/>
  <c r="J1187" i="1"/>
  <c r="I1187" i="1"/>
  <c r="Q1187" i="1" s="1"/>
  <c r="J1173" i="1"/>
  <c r="I1173" i="1"/>
  <c r="Q1173" i="1" s="1"/>
  <c r="J1117" i="1"/>
  <c r="I1117" i="1"/>
  <c r="Q1117" i="1" s="1"/>
  <c r="J1075" i="1"/>
  <c r="I1075" i="1"/>
  <c r="Q1075" i="1" s="1"/>
  <c r="J1061" i="1"/>
  <c r="I1061" i="1"/>
  <c r="Q1061" i="1" s="1"/>
  <c r="J1033" i="1"/>
  <c r="I1033" i="1"/>
  <c r="Q1033" i="1" s="1"/>
  <c r="J1005" i="1"/>
  <c r="I1005" i="1"/>
  <c r="Q1005" i="1" s="1"/>
  <c r="J991" i="1"/>
  <c r="I991" i="1"/>
  <c r="Q991" i="1" s="1"/>
  <c r="J963" i="1"/>
  <c r="I963" i="1"/>
  <c r="Q963" i="1" s="1"/>
  <c r="J921" i="1"/>
  <c r="I921" i="1"/>
  <c r="Q921" i="1" s="1"/>
  <c r="J851" i="1"/>
  <c r="I851" i="1"/>
  <c r="Q851" i="1" s="1"/>
  <c r="J837" i="1"/>
  <c r="I837" i="1"/>
  <c r="Q837" i="1" s="1"/>
  <c r="J823" i="1"/>
  <c r="I823" i="1"/>
  <c r="Q823" i="1" s="1"/>
  <c r="J795" i="1"/>
  <c r="I795" i="1"/>
  <c r="Q795" i="1" s="1"/>
  <c r="J773" i="1"/>
  <c r="I773" i="1"/>
  <c r="Q773" i="1" s="1"/>
  <c r="J725" i="1"/>
  <c r="I725" i="1"/>
  <c r="Q725" i="1" s="1"/>
  <c r="J641" i="1"/>
  <c r="I641" i="1"/>
  <c r="Q641" i="1" s="1"/>
  <c r="J627" i="1"/>
  <c r="I627" i="1"/>
  <c r="Q627" i="1" s="1"/>
  <c r="J571" i="1"/>
  <c r="I571" i="1"/>
  <c r="Q571" i="1" s="1"/>
  <c r="J487" i="1"/>
  <c r="I487" i="1"/>
  <c r="Q487" i="1" s="1"/>
  <c r="J473" i="1"/>
  <c r="I473" i="1"/>
  <c r="Q473" i="1" s="1"/>
  <c r="J375" i="1"/>
  <c r="I375" i="1"/>
  <c r="Q375" i="1" s="1"/>
  <c r="J263" i="1"/>
  <c r="I263" i="1"/>
  <c r="Q263" i="1" s="1"/>
  <c r="J249" i="1"/>
  <c r="I249" i="1"/>
  <c r="Q249" i="1" s="1"/>
  <c r="J235" i="1"/>
  <c r="I235" i="1"/>
  <c r="Q235" i="1" s="1"/>
  <c r="J193" i="1"/>
  <c r="I193" i="1"/>
  <c r="Q193" i="1" s="1"/>
  <c r="J165" i="1"/>
  <c r="I165" i="1"/>
  <c r="Q165" i="1" s="1"/>
  <c r="J137" i="1"/>
  <c r="I137" i="1"/>
  <c r="Q137" i="1" s="1"/>
  <c r="J123" i="1"/>
  <c r="I123" i="1"/>
  <c r="Q123" i="1" s="1"/>
  <c r="J67" i="1"/>
  <c r="I67" i="1"/>
  <c r="Q67" i="1" s="1"/>
  <c r="J53" i="1"/>
  <c r="I53" i="1"/>
  <c r="Q53" i="1" s="1"/>
  <c r="J11" i="1"/>
  <c r="I11" i="1"/>
  <c r="Q11" i="1" s="1"/>
  <c r="J2821" i="1"/>
  <c r="I2821" i="1"/>
  <c r="Q2821" i="1" s="1"/>
  <c r="J2783" i="1"/>
  <c r="I2783" i="1"/>
  <c r="Q2783" i="1" s="1"/>
  <c r="J2727" i="1"/>
  <c r="I2727" i="1"/>
  <c r="Q2727" i="1" s="1"/>
  <c r="J2685" i="1"/>
  <c r="I2685" i="1"/>
  <c r="Q2685" i="1" s="1"/>
  <c r="J2657" i="1"/>
  <c r="I2657" i="1"/>
  <c r="Q2657" i="1" s="1"/>
  <c r="J2629" i="1"/>
  <c r="I2629" i="1"/>
  <c r="Q2629" i="1" s="1"/>
  <c r="J2601" i="1"/>
  <c r="I2601" i="1"/>
  <c r="Q2601" i="1" s="1"/>
  <c r="J2587" i="1"/>
  <c r="I2587" i="1"/>
  <c r="Q2587" i="1" s="1"/>
  <c r="J2531" i="1"/>
  <c r="I2531" i="1"/>
  <c r="Q2531" i="1" s="1"/>
  <c r="J2447" i="1"/>
  <c r="I2447" i="1"/>
  <c r="Q2447" i="1" s="1"/>
  <c r="J2433" i="1"/>
  <c r="I2433" i="1"/>
  <c r="Q2433" i="1" s="1"/>
  <c r="J2391" i="1"/>
  <c r="I2391" i="1"/>
  <c r="Q2391" i="1" s="1"/>
  <c r="J2321" i="1"/>
  <c r="I2321" i="1"/>
  <c r="Q2321" i="1" s="1"/>
  <c r="J2307" i="1"/>
  <c r="I2307" i="1"/>
  <c r="Q2307" i="1" s="1"/>
  <c r="J2293" i="1"/>
  <c r="I2293" i="1"/>
  <c r="Q2293" i="1" s="1"/>
  <c r="J2251" i="1"/>
  <c r="I2251" i="1"/>
  <c r="Q2251" i="1" s="1"/>
  <c r="J2237" i="1"/>
  <c r="I2237" i="1"/>
  <c r="Q2237" i="1" s="1"/>
  <c r="J2223" i="1"/>
  <c r="I2223" i="1"/>
  <c r="Q2223" i="1" s="1"/>
  <c r="J2195" i="1"/>
  <c r="I2195" i="1"/>
  <c r="Q2195" i="1" s="1"/>
  <c r="J2184" i="1"/>
  <c r="I2184" i="1"/>
  <c r="Q2184" i="1" s="1"/>
  <c r="J2125" i="1"/>
  <c r="I2125" i="1"/>
  <c r="Q2125" i="1" s="1"/>
  <c r="J2111" i="1"/>
  <c r="I2111" i="1"/>
  <c r="Q2111" i="1" s="1"/>
  <c r="J2069" i="1"/>
  <c r="I2069" i="1"/>
  <c r="Q2069" i="1" s="1"/>
  <c r="J2058" i="1"/>
  <c r="I2058" i="1"/>
  <c r="Q2058" i="1" s="1"/>
  <c r="J2027" i="1"/>
  <c r="I2027" i="1"/>
  <c r="Q2027" i="1" s="1"/>
  <c r="J2013" i="1"/>
  <c r="I2013" i="1"/>
  <c r="Q2013" i="1" s="1"/>
  <c r="J1999" i="1"/>
  <c r="I1999" i="1"/>
  <c r="Q1999" i="1" s="1"/>
  <c r="J1929" i="1"/>
  <c r="I1929" i="1"/>
  <c r="Q1929" i="1" s="1"/>
  <c r="J1915" i="1"/>
  <c r="I1915" i="1"/>
  <c r="Q1915" i="1" s="1"/>
  <c r="J1831" i="1"/>
  <c r="I1831" i="1"/>
  <c r="Q1831" i="1" s="1"/>
  <c r="J1817" i="1"/>
  <c r="I1817" i="1"/>
  <c r="Q1817" i="1" s="1"/>
  <c r="J1785" i="1"/>
  <c r="I1785" i="1"/>
  <c r="Q1785" i="1" s="1"/>
  <c r="J1701" i="1"/>
  <c r="I1701" i="1"/>
  <c r="Q1701" i="1" s="1"/>
  <c r="J1673" i="1"/>
  <c r="I1673" i="1"/>
  <c r="Q1673" i="1" s="1"/>
  <c r="J1659" i="1"/>
  <c r="I1659" i="1"/>
  <c r="Q1659" i="1" s="1"/>
  <c r="J1645" i="1"/>
  <c r="I1645" i="1"/>
  <c r="Q1645" i="1" s="1"/>
  <c r="J1631" i="1"/>
  <c r="I1631" i="1"/>
  <c r="Q1631" i="1" s="1"/>
  <c r="J1547" i="1"/>
  <c r="I1547" i="1"/>
  <c r="Q1547" i="1" s="1"/>
  <c r="J1505" i="1"/>
  <c r="I1505" i="1"/>
  <c r="Q1505" i="1" s="1"/>
  <c r="J1491" i="1"/>
  <c r="I1491" i="1"/>
  <c r="Q1491" i="1" s="1"/>
  <c r="J1477" i="1"/>
  <c r="I1477" i="1"/>
  <c r="Q1477" i="1" s="1"/>
  <c r="J1463" i="1"/>
  <c r="I1463" i="1"/>
  <c r="Q1463" i="1" s="1"/>
  <c r="J1421" i="1"/>
  <c r="I1421" i="1"/>
  <c r="Q1421" i="1" s="1"/>
  <c r="J1402" i="1"/>
  <c r="I1402" i="1"/>
  <c r="Q1402" i="1" s="1"/>
  <c r="J1374" i="1"/>
  <c r="I1374" i="1"/>
  <c r="Q1374" i="1" s="1"/>
  <c r="J1262" i="1"/>
  <c r="I1262" i="1"/>
  <c r="Q1262" i="1" s="1"/>
  <c r="J1248" i="1"/>
  <c r="I1248" i="1"/>
  <c r="Q1248" i="1" s="1"/>
  <c r="J1206" i="1"/>
  <c r="I1206" i="1"/>
  <c r="Q1206" i="1" s="1"/>
  <c r="J1150" i="1"/>
  <c r="I1150" i="1"/>
  <c r="Q1150" i="1" s="1"/>
  <c r="J1139" i="1"/>
  <c r="I1139" i="1"/>
  <c r="Q1139" i="1" s="1"/>
  <c r="J1038" i="1"/>
  <c r="I1038" i="1"/>
  <c r="Q1038" i="1" s="1"/>
  <c r="J1010" i="1"/>
  <c r="I1010" i="1"/>
  <c r="Q1010" i="1" s="1"/>
  <c r="J968" i="1"/>
  <c r="I968" i="1"/>
  <c r="Q968" i="1" s="1"/>
  <c r="J940" i="1"/>
  <c r="I940" i="1"/>
  <c r="Q940" i="1" s="1"/>
  <c r="J926" i="1"/>
  <c r="I926" i="1"/>
  <c r="Q926" i="1" s="1"/>
  <c r="J898" i="1"/>
  <c r="I898" i="1"/>
  <c r="Q898" i="1" s="1"/>
  <c r="J775" i="1"/>
  <c r="I775" i="1"/>
  <c r="Q775" i="1" s="1"/>
  <c r="J744" i="1"/>
  <c r="I744" i="1"/>
  <c r="Q744" i="1" s="1"/>
  <c r="J730" i="1"/>
  <c r="I730" i="1"/>
  <c r="Q730" i="1" s="1"/>
  <c r="J688" i="1"/>
  <c r="I688" i="1"/>
  <c r="Q688" i="1" s="1"/>
  <c r="J674" i="1"/>
  <c r="I674" i="1"/>
  <c r="Q674" i="1" s="1"/>
  <c r="J660" i="1"/>
  <c r="I660" i="1"/>
  <c r="Q660" i="1" s="1"/>
  <c r="J590" i="1"/>
  <c r="I590" i="1"/>
  <c r="Q590" i="1" s="1"/>
  <c r="J548" i="1"/>
  <c r="I548" i="1"/>
  <c r="Q548" i="1" s="1"/>
  <c r="J534" i="1"/>
  <c r="I534" i="1"/>
  <c r="Q534" i="1" s="1"/>
  <c r="J492" i="1"/>
  <c r="I492" i="1"/>
  <c r="Q492" i="1" s="1"/>
  <c r="J436" i="1"/>
  <c r="I436" i="1"/>
  <c r="Q436" i="1" s="1"/>
  <c r="J422" i="1"/>
  <c r="I422" i="1"/>
  <c r="Q422" i="1" s="1"/>
  <c r="J352" i="1"/>
  <c r="I352" i="1"/>
  <c r="Q352" i="1" s="1"/>
  <c r="J324" i="1"/>
  <c r="I324" i="1"/>
  <c r="Q324" i="1" s="1"/>
  <c r="J310" i="1"/>
  <c r="I310" i="1"/>
  <c r="Q310" i="1" s="1"/>
  <c r="J296" i="1"/>
  <c r="I296" i="1"/>
  <c r="Q296" i="1" s="1"/>
  <c r="J282" i="1"/>
  <c r="I282" i="1"/>
  <c r="Q282" i="1" s="1"/>
  <c r="J268" i="1"/>
  <c r="I268" i="1"/>
  <c r="Q268" i="1" s="1"/>
  <c r="J212" i="1"/>
  <c r="I212" i="1"/>
  <c r="Q212" i="1" s="1"/>
  <c r="J170" i="1"/>
  <c r="I170" i="1"/>
  <c r="Q170" i="1" s="1"/>
  <c r="J142" i="1"/>
  <c r="I142" i="1"/>
  <c r="Q142" i="1" s="1"/>
  <c r="J100" i="1"/>
  <c r="I100" i="1"/>
  <c r="Q100" i="1" s="1"/>
  <c r="J86" i="1"/>
  <c r="I86" i="1"/>
  <c r="Q86" i="1" s="1"/>
  <c r="J72" i="1"/>
  <c r="I72" i="1"/>
  <c r="Q72" i="1" s="1"/>
  <c r="J30" i="1"/>
  <c r="I30" i="1"/>
  <c r="Q30" i="1" s="1"/>
  <c r="J16" i="1"/>
  <c r="I16" i="1"/>
  <c r="Q16" i="1" s="1"/>
  <c r="I2772" i="1" l="1"/>
  <c r="Q2772" i="1" s="1"/>
  <c r="I2758" i="1"/>
  <c r="Q2758" i="1" s="1"/>
  <c r="I2744" i="1"/>
  <c r="Q2744" i="1" s="1"/>
  <c r="I2716" i="1"/>
  <c r="Q2716" i="1" s="1"/>
  <c r="I2702" i="1"/>
  <c r="Q2702" i="1" s="1"/>
  <c r="I2674" i="1"/>
  <c r="Q2674" i="1" s="1"/>
  <c r="I2646" i="1"/>
  <c r="Q2646" i="1" s="1"/>
  <c r="I2618" i="1"/>
  <c r="Q2618" i="1" s="1"/>
  <c r="I2576" i="1"/>
  <c r="Q2576" i="1" s="1"/>
  <c r="I2562" i="1"/>
  <c r="Q2562" i="1" s="1"/>
  <c r="I2520" i="1"/>
  <c r="Q2520" i="1" s="1"/>
  <c r="I2506" i="1"/>
  <c r="Q2506" i="1" s="1"/>
  <c r="I2470" i="1"/>
  <c r="Q2470" i="1" s="1"/>
  <c r="I2422" i="1"/>
  <c r="Q2422" i="1" s="1"/>
  <c r="I2408" i="1"/>
  <c r="Q2408" i="1" s="1"/>
  <c r="I2380" i="1"/>
  <c r="Q2380" i="1" s="1"/>
  <c r="I2366" i="1"/>
  <c r="Q2366" i="1" s="1"/>
  <c r="I2352" i="1"/>
  <c r="Q2352" i="1" s="1"/>
  <c r="I2338" i="1"/>
  <c r="Q2338" i="1" s="1"/>
  <c r="I2282" i="1"/>
  <c r="Q2282" i="1" s="1"/>
  <c r="I2268" i="1"/>
  <c r="Q2268" i="1" s="1"/>
  <c r="I2212" i="1"/>
  <c r="Q2212" i="1" s="1"/>
  <c r="I2176" i="1"/>
  <c r="Q2176" i="1" s="1"/>
  <c r="I2156" i="1"/>
  <c r="Q2156" i="1" s="1"/>
  <c r="I2142" i="1"/>
  <c r="Q2142" i="1" s="1"/>
  <c r="I2100" i="1"/>
  <c r="Q2100" i="1" s="1"/>
  <c r="I2086" i="1"/>
  <c r="Q2086" i="1" s="1"/>
  <c r="I2050" i="1"/>
  <c r="Q2050" i="1" s="1"/>
  <c r="I1988" i="1"/>
  <c r="Q1988" i="1" s="1"/>
  <c r="I1974" i="1"/>
  <c r="Q1974" i="1" s="1"/>
  <c r="I1960" i="1"/>
  <c r="Q1960" i="1" s="1"/>
  <c r="I1904" i="1"/>
  <c r="Q1904" i="1" s="1"/>
  <c r="I1890" i="1"/>
  <c r="Q1890" i="1" s="1"/>
  <c r="I1876" i="1"/>
  <c r="Q1876" i="1" s="1"/>
  <c r="I1862" i="1"/>
  <c r="Q1862" i="1" s="1"/>
  <c r="I1802" i="1"/>
  <c r="Q1802" i="1" s="1"/>
  <c r="I1774" i="1"/>
  <c r="Q1774" i="1" s="1"/>
  <c r="I1760" i="1"/>
  <c r="Q1760" i="1" s="1"/>
  <c r="I1746" i="1"/>
  <c r="Q1746" i="1" s="1"/>
  <c r="I1732" i="1"/>
  <c r="Q1732" i="1" s="1"/>
  <c r="I1690" i="1"/>
  <c r="Q1690" i="1" s="1"/>
  <c r="I1620" i="1"/>
  <c r="Q1620" i="1" s="1"/>
  <c r="I1606" i="1"/>
  <c r="Q1606" i="1" s="1"/>
  <c r="I1536" i="1"/>
  <c r="Q1536" i="1" s="1"/>
  <c r="I1522" i="1"/>
  <c r="Q1522" i="1" s="1"/>
  <c r="I1452" i="1"/>
  <c r="Q1452" i="1" s="1"/>
  <c r="I1438" i="1"/>
  <c r="Q1438" i="1" s="1"/>
  <c r="I1391" i="1"/>
  <c r="Q1391" i="1" s="1"/>
  <c r="I1363" i="1"/>
  <c r="Q1363" i="1" s="1"/>
  <c r="I1349" i="1"/>
  <c r="Q1349" i="1" s="1"/>
  <c r="I1335" i="1"/>
  <c r="Q1335" i="1" s="1"/>
  <c r="I1321" i="1"/>
  <c r="Q1321" i="1" s="1"/>
  <c r="I1307" i="1"/>
  <c r="Q1307" i="1" s="1"/>
  <c r="I1293" i="1"/>
  <c r="Q1293" i="1" s="1"/>
  <c r="I1279" i="1"/>
  <c r="Q1279" i="1" s="1"/>
  <c r="I1237" i="1"/>
  <c r="Q1237" i="1" s="1"/>
  <c r="I1223" i="1"/>
  <c r="Q1223" i="1" s="1"/>
  <c r="I1195" i="1"/>
  <c r="Q1195" i="1" s="1"/>
  <c r="I1181" i="1"/>
  <c r="Q1181" i="1" s="1"/>
  <c r="I1167" i="1"/>
  <c r="Q1167" i="1" s="1"/>
  <c r="I1131" i="1"/>
  <c r="Q1131" i="1" s="1"/>
  <c r="I1111" i="1"/>
  <c r="Q1111" i="1" s="1"/>
  <c r="I1069" i="1"/>
  <c r="Q1069" i="1" s="1"/>
  <c r="I1055" i="1"/>
  <c r="Q1055" i="1" s="1"/>
  <c r="I1027" i="1"/>
  <c r="Q1027" i="1" s="1"/>
  <c r="I999" i="1"/>
  <c r="Q999" i="1" s="1"/>
  <c r="I985" i="1"/>
  <c r="Q985" i="1" s="1"/>
  <c r="I957" i="1"/>
  <c r="Q957" i="1" s="1"/>
  <c r="I915" i="1"/>
  <c r="Q915" i="1" s="1"/>
  <c r="I873" i="1"/>
  <c r="Q873" i="1" s="1"/>
  <c r="I845" i="1"/>
  <c r="Q845" i="1" s="1"/>
  <c r="I831" i="1"/>
  <c r="Q831" i="1" s="1"/>
  <c r="I817" i="1"/>
  <c r="Q817" i="1" s="1"/>
  <c r="I803" i="1"/>
  <c r="Q803" i="1" s="1"/>
  <c r="I789" i="1"/>
  <c r="Q789" i="1" s="1"/>
  <c r="I767" i="1"/>
  <c r="Q767" i="1" s="1"/>
  <c r="I719" i="1"/>
  <c r="Q719" i="1" s="1"/>
  <c r="I649" i="1"/>
  <c r="Q649" i="1" s="1"/>
  <c r="I635" i="1"/>
  <c r="Q635" i="1" s="1"/>
  <c r="I621" i="1"/>
  <c r="Q621" i="1" s="1"/>
  <c r="I607" i="1"/>
  <c r="Q607" i="1" s="1"/>
  <c r="I565" i="1"/>
  <c r="Q565" i="1" s="1"/>
  <c r="I509" i="1"/>
  <c r="Q509" i="1" s="1"/>
  <c r="I481" i="1"/>
  <c r="Q481" i="1" s="1"/>
  <c r="I467" i="1"/>
  <c r="Q467" i="1" s="1"/>
  <c r="I411" i="1"/>
  <c r="Q411" i="1" s="1"/>
  <c r="I397" i="1"/>
  <c r="Q397" i="1" s="1"/>
  <c r="I383" i="1"/>
  <c r="Q383" i="1" s="1"/>
  <c r="I369" i="1"/>
  <c r="Q369" i="1" s="1"/>
  <c r="I341" i="1"/>
  <c r="Q341" i="1" s="1"/>
  <c r="I257" i="1"/>
  <c r="Q257" i="1" s="1"/>
  <c r="I243" i="1"/>
  <c r="Q243" i="1" s="1"/>
  <c r="I229" i="1"/>
  <c r="Q229" i="1" s="1"/>
  <c r="I187" i="1"/>
  <c r="Q187" i="1" s="1"/>
  <c r="I159" i="1"/>
  <c r="Q159" i="1" s="1"/>
  <c r="I131" i="1"/>
  <c r="Q131" i="1" s="1"/>
  <c r="I117" i="1"/>
  <c r="Q117" i="1" s="1"/>
  <c r="I61" i="1"/>
  <c r="Q61" i="1" s="1"/>
  <c r="I47" i="1"/>
  <c r="Q47" i="1" s="1"/>
  <c r="I5" i="1"/>
  <c r="Q5" i="1" s="1"/>
  <c r="I2825" i="1"/>
  <c r="Q2825" i="1" s="1"/>
  <c r="I2787" i="1"/>
  <c r="Q2787" i="1" s="1"/>
  <c r="I2731" i="1"/>
  <c r="Q2731" i="1" s="1"/>
  <c r="I2689" i="1"/>
  <c r="Q2689" i="1" s="1"/>
  <c r="I2661" i="1"/>
  <c r="Q2661" i="1" s="1"/>
  <c r="I2633" i="1"/>
  <c r="Q2633" i="1" s="1"/>
  <c r="I2605" i="1"/>
  <c r="Q2605" i="1" s="1"/>
  <c r="I2591" i="1"/>
  <c r="Q2591" i="1" s="1"/>
  <c r="I2549" i="1"/>
  <c r="Q2549" i="1" s="1"/>
  <c r="I2535" i="1"/>
  <c r="Q2535" i="1" s="1"/>
  <c r="I2493" i="1"/>
  <c r="Q2493" i="1" s="1"/>
  <c r="I2482" i="1"/>
  <c r="Q2482" i="1" s="1"/>
  <c r="I2451" i="1"/>
  <c r="Q2451" i="1" s="1"/>
  <c r="I2437" i="1"/>
  <c r="Q2437" i="1" s="1"/>
  <c r="I2395" i="1"/>
  <c r="Q2395" i="1" s="1"/>
  <c r="I2325" i="1"/>
  <c r="Q2325" i="1" s="1"/>
  <c r="I2311" i="1"/>
  <c r="Q2311" i="1" s="1"/>
  <c r="I2297" i="1"/>
  <c r="Q2297" i="1" s="1"/>
  <c r="I2255" i="1"/>
  <c r="Q2255" i="1" s="1"/>
  <c r="I2241" i="1"/>
  <c r="Q2241" i="1" s="1"/>
  <c r="I2227" i="1"/>
  <c r="Q2227" i="1" s="1"/>
  <c r="I2199" i="1"/>
  <c r="Q2199" i="1" s="1"/>
  <c r="I2188" i="1"/>
  <c r="Q2188" i="1" s="1"/>
  <c r="I2129" i="1"/>
  <c r="Q2129" i="1" s="1"/>
  <c r="I2115" i="1"/>
  <c r="Q2115" i="1" s="1"/>
  <c r="I2073" i="1"/>
  <c r="Q2073" i="1" s="1"/>
  <c r="I2062" i="1"/>
  <c r="Q2062" i="1" s="1"/>
  <c r="I2031" i="1"/>
  <c r="Q2031" i="1" s="1"/>
  <c r="I2017" i="1"/>
  <c r="Q2017" i="1" s="1"/>
  <c r="I2003" i="1"/>
  <c r="Q2003" i="1" s="1"/>
  <c r="I1947" i="1"/>
  <c r="Q1947" i="1" s="1"/>
  <c r="I1933" i="1"/>
  <c r="Q1933" i="1" s="1"/>
  <c r="I1919" i="1"/>
  <c r="Q1919" i="1" s="1"/>
  <c r="I1849" i="1"/>
  <c r="Q1849" i="1" s="1"/>
  <c r="I1835" i="1"/>
  <c r="Q1835" i="1" s="1"/>
  <c r="I1821" i="1"/>
  <c r="Q1821" i="1" s="1"/>
  <c r="I1789" i="1"/>
  <c r="Q1789" i="1" s="1"/>
  <c r="I1719" i="1"/>
  <c r="Q1719" i="1" s="1"/>
  <c r="I1705" i="1"/>
  <c r="Q1705" i="1" s="1"/>
  <c r="I1677" i="1"/>
  <c r="Q1677" i="1" s="1"/>
  <c r="I1663" i="1"/>
  <c r="Q1663" i="1" s="1"/>
  <c r="I1649" i="1"/>
  <c r="Q1649" i="1" s="1"/>
  <c r="I1635" i="1"/>
  <c r="Q1635" i="1" s="1"/>
  <c r="I1593" i="1"/>
  <c r="Q1593" i="1" s="1"/>
  <c r="I1579" i="1"/>
  <c r="Q1579" i="1" s="1"/>
  <c r="I1565" i="1"/>
  <c r="Q1565" i="1" s="1"/>
  <c r="I1551" i="1"/>
  <c r="Q1551" i="1" s="1"/>
  <c r="I1509" i="1"/>
  <c r="Q1509" i="1" s="1"/>
  <c r="I1495" i="1"/>
  <c r="Q1495" i="1" s="1"/>
  <c r="I1481" i="1"/>
  <c r="Q1481" i="1" s="1"/>
  <c r="I1467" i="1"/>
  <c r="Q1467" i="1" s="1"/>
  <c r="I1425" i="1"/>
  <c r="Q1425" i="1" s="1"/>
  <c r="I1406" i="1"/>
  <c r="Q1406" i="1" s="1"/>
  <c r="I1378" i="1"/>
  <c r="Q1378" i="1" s="1"/>
  <c r="I1266" i="1"/>
  <c r="Q1266" i="1" s="1"/>
  <c r="I1252" i="1"/>
  <c r="Q1252" i="1" s="1"/>
  <c r="I1210" i="1"/>
  <c r="Q1210" i="1" s="1"/>
  <c r="I1154" i="1"/>
  <c r="Q1154" i="1" s="1"/>
  <c r="I1143" i="1"/>
  <c r="Q1143" i="1" s="1"/>
  <c r="I1098" i="1"/>
  <c r="Q1098" i="1" s="1"/>
  <c r="I1084" i="1"/>
  <c r="Q1084" i="1" s="1"/>
  <c r="I1042" i="1"/>
  <c r="Q1042" i="1" s="1"/>
  <c r="I1014" i="1"/>
  <c r="Q1014" i="1" s="1"/>
  <c r="I972" i="1"/>
  <c r="Q972" i="1" s="1"/>
  <c r="I944" i="1"/>
  <c r="Q944" i="1" s="1"/>
  <c r="I930" i="1"/>
  <c r="Q930" i="1" s="1"/>
  <c r="I902" i="1"/>
  <c r="Q902" i="1" s="1"/>
  <c r="I888" i="1"/>
  <c r="Q888" i="1" s="1"/>
  <c r="I860" i="1"/>
  <c r="Q860" i="1" s="1"/>
  <c r="I779" i="1"/>
  <c r="Q779" i="1" s="1"/>
  <c r="I748" i="1"/>
  <c r="Q748" i="1" s="1"/>
  <c r="I734" i="1"/>
  <c r="Q734" i="1" s="1"/>
  <c r="I706" i="1"/>
  <c r="Q706" i="1" s="1"/>
  <c r="I692" i="1"/>
  <c r="Q692" i="1" s="1"/>
  <c r="I678" i="1"/>
  <c r="Q678" i="1" s="1"/>
  <c r="I664" i="1"/>
  <c r="Q664" i="1" s="1"/>
  <c r="I594" i="1"/>
  <c r="Q594" i="1" s="1"/>
  <c r="I580" i="1"/>
  <c r="Q580" i="1" s="1"/>
  <c r="I552" i="1"/>
  <c r="Q552" i="1" s="1"/>
  <c r="I538" i="1"/>
  <c r="Q538" i="1" s="1"/>
  <c r="I524" i="1"/>
  <c r="Q524" i="1" s="1"/>
  <c r="I496" i="1"/>
  <c r="Q496" i="1" s="1"/>
  <c r="I454" i="1"/>
  <c r="Q454" i="1" s="1"/>
  <c r="I440" i="1"/>
  <c r="Q440" i="1" s="1"/>
  <c r="I426" i="1"/>
  <c r="Q426" i="1" s="1"/>
  <c r="I356" i="1"/>
  <c r="Q356" i="1" s="1"/>
  <c r="I328" i="1"/>
  <c r="Q328" i="1" s="1"/>
  <c r="I314" i="1"/>
  <c r="Q314" i="1" s="1"/>
  <c r="I300" i="1"/>
  <c r="Q300" i="1" s="1"/>
  <c r="I286" i="1"/>
  <c r="Q286" i="1" s="1"/>
  <c r="I272" i="1"/>
  <c r="Q272" i="1" s="1"/>
  <c r="I216" i="1"/>
  <c r="Q216" i="1" s="1"/>
  <c r="I202" i="1"/>
  <c r="Q202" i="1" s="1"/>
  <c r="I174" i="1"/>
  <c r="Q174" i="1" s="1"/>
  <c r="I146" i="1"/>
  <c r="Q146" i="1" s="1"/>
  <c r="I104" i="1"/>
  <c r="Q104" i="1" s="1"/>
  <c r="I90" i="1"/>
  <c r="Q90" i="1" s="1"/>
  <c r="I76" i="1"/>
  <c r="Q76" i="1" s="1"/>
  <c r="I34" i="1"/>
  <c r="Q34" i="1" s="1"/>
  <c r="I20" i="1"/>
  <c r="Q20" i="1" s="1"/>
  <c r="I2824" i="1"/>
  <c r="Q2824" i="1" s="1"/>
  <c r="I2823" i="1"/>
  <c r="Q2823" i="1" s="1"/>
  <c r="I2822" i="1"/>
  <c r="Q2822" i="1" s="1"/>
  <c r="I2786" i="1"/>
  <c r="Q2786" i="1" s="1"/>
  <c r="I2785" i="1"/>
  <c r="Q2785" i="1" s="1"/>
  <c r="I2784" i="1"/>
  <c r="Q2784" i="1" s="1"/>
  <c r="I2771" i="1"/>
  <c r="Q2771" i="1" s="1"/>
  <c r="I2770" i="1"/>
  <c r="Q2770" i="1" s="1"/>
  <c r="I2769" i="1"/>
  <c r="Q2769" i="1" s="1"/>
  <c r="I2757" i="1"/>
  <c r="Q2757" i="1" s="1"/>
  <c r="I2756" i="1"/>
  <c r="Q2756" i="1" s="1"/>
  <c r="I2755" i="1"/>
  <c r="Q2755" i="1" s="1"/>
  <c r="I2743" i="1"/>
  <c r="Q2743" i="1" s="1"/>
  <c r="I2742" i="1"/>
  <c r="Q2742" i="1" s="1"/>
  <c r="I2741" i="1"/>
  <c r="Q2741" i="1" s="1"/>
  <c r="I2730" i="1"/>
  <c r="Q2730" i="1" s="1"/>
  <c r="I2729" i="1"/>
  <c r="Q2729" i="1" s="1"/>
  <c r="I2728" i="1"/>
  <c r="Q2728" i="1" s="1"/>
  <c r="I2715" i="1"/>
  <c r="Q2715" i="1" s="1"/>
  <c r="I2714" i="1"/>
  <c r="Q2714" i="1" s="1"/>
  <c r="I2713" i="1"/>
  <c r="Q2713" i="1" s="1"/>
  <c r="I2701" i="1"/>
  <c r="Q2701" i="1" s="1"/>
  <c r="I2700" i="1"/>
  <c r="Q2700" i="1" s="1"/>
  <c r="I2699" i="1"/>
  <c r="Q2699" i="1" s="1"/>
  <c r="I2688" i="1"/>
  <c r="Q2688" i="1" s="1"/>
  <c r="I2687" i="1"/>
  <c r="Q2687" i="1" s="1"/>
  <c r="I2686" i="1"/>
  <c r="Q2686" i="1" s="1"/>
  <c r="I2673" i="1"/>
  <c r="Q2673" i="1" s="1"/>
  <c r="I2672" i="1"/>
  <c r="Q2672" i="1" s="1"/>
  <c r="I2671" i="1"/>
  <c r="Q2671" i="1" s="1"/>
  <c r="I2660" i="1"/>
  <c r="Q2660" i="1" s="1"/>
  <c r="I2659" i="1"/>
  <c r="Q2659" i="1" s="1"/>
  <c r="I2658" i="1"/>
  <c r="Q2658" i="1" s="1"/>
  <c r="I2645" i="1"/>
  <c r="Q2645" i="1" s="1"/>
  <c r="I2644" i="1"/>
  <c r="Q2644" i="1" s="1"/>
  <c r="I2643" i="1"/>
  <c r="Q2643" i="1" s="1"/>
  <c r="I2632" i="1"/>
  <c r="Q2632" i="1" s="1"/>
  <c r="I2631" i="1"/>
  <c r="Q2631" i="1" s="1"/>
  <c r="I2630" i="1"/>
  <c r="Q2630" i="1" s="1"/>
  <c r="I2617" i="1"/>
  <c r="Q2617" i="1" s="1"/>
  <c r="I2616" i="1"/>
  <c r="Q2616" i="1" s="1"/>
  <c r="I2615" i="1"/>
  <c r="Q2615" i="1" s="1"/>
  <c r="I2604" i="1"/>
  <c r="Q2604" i="1" s="1"/>
  <c r="I2603" i="1"/>
  <c r="Q2603" i="1" s="1"/>
  <c r="I2602" i="1"/>
  <c r="Q2602" i="1" s="1"/>
  <c r="I2590" i="1"/>
  <c r="Q2590" i="1" s="1"/>
  <c r="I2589" i="1"/>
  <c r="Q2589" i="1" s="1"/>
  <c r="I2588" i="1"/>
  <c r="Q2588" i="1" s="1"/>
  <c r="I2575" i="1"/>
  <c r="Q2575" i="1" s="1"/>
  <c r="I2574" i="1"/>
  <c r="Q2574" i="1" s="1"/>
  <c r="I2573" i="1"/>
  <c r="Q2573" i="1" s="1"/>
  <c r="I2561" i="1"/>
  <c r="Q2561" i="1" s="1"/>
  <c r="I2560" i="1"/>
  <c r="Q2560" i="1" s="1"/>
  <c r="I2559" i="1"/>
  <c r="Q2559" i="1" s="1"/>
  <c r="I2548" i="1"/>
  <c r="Q2548" i="1" s="1"/>
  <c r="I2547" i="1"/>
  <c r="Q2547" i="1" s="1"/>
  <c r="I2546" i="1"/>
  <c r="Q2546" i="1" s="1"/>
  <c r="I2534" i="1"/>
  <c r="Q2534" i="1" s="1"/>
  <c r="I2533" i="1"/>
  <c r="Q2533" i="1" s="1"/>
  <c r="I2532" i="1"/>
  <c r="Q2532" i="1" s="1"/>
  <c r="I2519" i="1"/>
  <c r="Q2519" i="1" s="1"/>
  <c r="I2518" i="1"/>
  <c r="Q2518" i="1" s="1"/>
  <c r="I2517" i="1"/>
  <c r="Q2517" i="1" s="1"/>
  <c r="I2505" i="1"/>
  <c r="Q2505" i="1" s="1"/>
  <c r="I2504" i="1"/>
  <c r="Q2504" i="1" s="1"/>
  <c r="I2503" i="1"/>
  <c r="Q2503" i="1" s="1"/>
  <c r="I2492" i="1"/>
  <c r="Q2492" i="1" s="1"/>
  <c r="I2491" i="1"/>
  <c r="Q2491" i="1" s="1"/>
  <c r="I2490" i="1"/>
  <c r="Q2490" i="1" s="1"/>
  <c r="I2469" i="1"/>
  <c r="Q2469" i="1" s="1"/>
  <c r="I2481" i="1"/>
  <c r="Q2481" i="1" s="1"/>
  <c r="I2468" i="1"/>
  <c r="Q2468" i="1" s="1"/>
  <c r="I2480" i="1"/>
  <c r="Q2480" i="1" s="1"/>
  <c r="I2467" i="1"/>
  <c r="Q2467" i="1" s="1"/>
  <c r="I2479" i="1"/>
  <c r="Q2479" i="1" s="1"/>
  <c r="I2450" i="1"/>
  <c r="Q2450" i="1" s="1"/>
  <c r="I2449" i="1"/>
  <c r="Q2449" i="1" s="1"/>
  <c r="I2448" i="1"/>
  <c r="Q2448" i="1" s="1"/>
  <c r="I2436" i="1"/>
  <c r="Q2436" i="1" s="1"/>
  <c r="I2435" i="1"/>
  <c r="Q2435" i="1" s="1"/>
  <c r="I2434" i="1"/>
  <c r="Q2434" i="1" s="1"/>
  <c r="I2421" i="1"/>
  <c r="Q2421" i="1" s="1"/>
  <c r="I2420" i="1"/>
  <c r="Q2420" i="1" s="1"/>
  <c r="I2419" i="1"/>
  <c r="Q2419" i="1" s="1"/>
  <c r="I2407" i="1"/>
  <c r="Q2407" i="1" s="1"/>
  <c r="I2406" i="1"/>
  <c r="Q2406" i="1" s="1"/>
  <c r="I2405" i="1"/>
  <c r="Q2405" i="1" s="1"/>
  <c r="I2394" i="1"/>
  <c r="Q2394" i="1" s="1"/>
  <c r="I2393" i="1"/>
  <c r="Q2393" i="1" s="1"/>
  <c r="I2392" i="1"/>
  <c r="Q2392" i="1" s="1"/>
  <c r="I2379" i="1"/>
  <c r="Q2379" i="1" s="1"/>
  <c r="I2378" i="1"/>
  <c r="Q2378" i="1" s="1"/>
  <c r="I2377" i="1"/>
  <c r="Q2377" i="1" s="1"/>
  <c r="I2365" i="1"/>
  <c r="Q2365" i="1" s="1"/>
  <c r="I2364" i="1"/>
  <c r="Q2364" i="1" s="1"/>
  <c r="I2363" i="1"/>
  <c r="Q2363" i="1" s="1"/>
  <c r="I2351" i="1"/>
  <c r="Q2351" i="1" s="1"/>
  <c r="I2350" i="1"/>
  <c r="Q2350" i="1" s="1"/>
  <c r="I2349" i="1"/>
  <c r="Q2349" i="1" s="1"/>
  <c r="I2337" i="1"/>
  <c r="Q2337" i="1" s="1"/>
  <c r="I2336" i="1"/>
  <c r="Q2336" i="1" s="1"/>
  <c r="I2335" i="1"/>
  <c r="Q2335" i="1" s="1"/>
  <c r="I2324" i="1"/>
  <c r="Q2324" i="1" s="1"/>
  <c r="I2323" i="1"/>
  <c r="Q2323" i="1" s="1"/>
  <c r="I2322" i="1"/>
  <c r="Q2322" i="1" s="1"/>
  <c r="I2310" i="1"/>
  <c r="Q2310" i="1" s="1"/>
  <c r="I2309" i="1"/>
  <c r="Q2309" i="1" s="1"/>
  <c r="I2308" i="1"/>
  <c r="Q2308" i="1" s="1"/>
  <c r="I2296" i="1"/>
  <c r="Q2296" i="1" s="1"/>
  <c r="I2295" i="1"/>
  <c r="Q2295" i="1" s="1"/>
  <c r="I2294" i="1"/>
  <c r="Q2294" i="1" s="1"/>
  <c r="I2281" i="1"/>
  <c r="Q2281" i="1" s="1"/>
  <c r="I2280" i="1"/>
  <c r="Q2280" i="1" s="1"/>
  <c r="I2279" i="1"/>
  <c r="Q2279" i="1" s="1"/>
  <c r="I2267" i="1"/>
  <c r="Q2267" i="1" s="1"/>
  <c r="I2266" i="1"/>
  <c r="Q2266" i="1" s="1"/>
  <c r="I2265" i="1"/>
  <c r="Q2265" i="1" s="1"/>
  <c r="I2254" i="1"/>
  <c r="Q2254" i="1" s="1"/>
  <c r="I2253" i="1"/>
  <c r="Q2253" i="1" s="1"/>
  <c r="I2252" i="1"/>
  <c r="Q2252" i="1" s="1"/>
  <c r="I2240" i="1"/>
  <c r="Q2240" i="1" s="1"/>
  <c r="I2239" i="1"/>
  <c r="Q2239" i="1" s="1"/>
  <c r="I2238" i="1"/>
  <c r="Q2238" i="1" s="1"/>
  <c r="I2226" i="1"/>
  <c r="Q2226" i="1" s="1"/>
  <c r="I2225" i="1"/>
  <c r="Q2225" i="1" s="1"/>
  <c r="I2224" i="1"/>
  <c r="Q2224" i="1" s="1"/>
  <c r="I2211" i="1"/>
  <c r="Q2211" i="1" s="1"/>
  <c r="I2210" i="1"/>
  <c r="Q2210" i="1" s="1"/>
  <c r="I2209" i="1"/>
  <c r="Q2209" i="1" s="1"/>
  <c r="I2198" i="1"/>
  <c r="Q2198" i="1" s="1"/>
  <c r="I2197" i="1"/>
  <c r="Q2197" i="1" s="1"/>
  <c r="I2196" i="1"/>
  <c r="Q2196" i="1" s="1"/>
  <c r="I2175" i="1"/>
  <c r="Q2175" i="1" s="1"/>
  <c r="I2187" i="1"/>
  <c r="Q2187" i="1" s="1"/>
  <c r="I2174" i="1"/>
  <c r="Q2174" i="1" s="1"/>
  <c r="I2186" i="1"/>
  <c r="Q2186" i="1" s="1"/>
  <c r="I2173" i="1"/>
  <c r="Q2173" i="1" s="1"/>
  <c r="I2185" i="1"/>
  <c r="Q2185" i="1" s="1"/>
  <c r="I2155" i="1"/>
  <c r="Q2155" i="1" s="1"/>
  <c r="I2154" i="1"/>
  <c r="Q2154" i="1" s="1"/>
  <c r="I2153" i="1"/>
  <c r="Q2153" i="1" s="1"/>
  <c r="I2141" i="1"/>
  <c r="Q2141" i="1" s="1"/>
  <c r="I2140" i="1"/>
  <c r="Q2140" i="1" s="1"/>
  <c r="I2139" i="1"/>
  <c r="Q2139" i="1" s="1"/>
  <c r="I2128" i="1"/>
  <c r="Q2128" i="1" s="1"/>
  <c r="I2127" i="1"/>
  <c r="Q2127" i="1" s="1"/>
  <c r="I2126" i="1"/>
  <c r="Q2126" i="1" s="1"/>
  <c r="I2114" i="1"/>
  <c r="Q2114" i="1" s="1"/>
  <c r="I2113" i="1"/>
  <c r="Q2113" i="1" s="1"/>
  <c r="I2112" i="1"/>
  <c r="Q2112" i="1" s="1"/>
  <c r="I2099" i="1"/>
  <c r="Q2099" i="1" s="1"/>
  <c r="I2098" i="1"/>
  <c r="Q2098" i="1" s="1"/>
  <c r="I2097" i="1"/>
  <c r="Q2097" i="1" s="1"/>
  <c r="I2085" i="1"/>
  <c r="Q2085" i="1" s="1"/>
  <c r="I2084" i="1"/>
  <c r="Q2084" i="1" s="1"/>
  <c r="I2083" i="1"/>
  <c r="Q2083" i="1" s="1"/>
  <c r="I2072" i="1"/>
  <c r="Q2072" i="1" s="1"/>
  <c r="I2071" i="1"/>
  <c r="Q2071" i="1" s="1"/>
  <c r="I2070" i="1"/>
  <c r="Q2070" i="1" s="1"/>
  <c r="I2049" i="1"/>
  <c r="Q2049" i="1" s="1"/>
  <c r="I2061" i="1"/>
  <c r="Q2061" i="1" s="1"/>
  <c r="I2048" i="1"/>
  <c r="Q2048" i="1" s="1"/>
  <c r="I2060" i="1"/>
  <c r="Q2060" i="1" s="1"/>
  <c r="I2047" i="1"/>
  <c r="Q2047" i="1" s="1"/>
  <c r="I2059" i="1"/>
  <c r="Q2059" i="1" s="1"/>
  <c r="I2030" i="1"/>
  <c r="Q2030" i="1" s="1"/>
  <c r="I2029" i="1"/>
  <c r="Q2029" i="1" s="1"/>
  <c r="I2028" i="1"/>
  <c r="Q2028" i="1" s="1"/>
  <c r="I2016" i="1"/>
  <c r="Q2016" i="1" s="1"/>
  <c r="I2015" i="1"/>
  <c r="Q2015" i="1" s="1"/>
  <c r="I2014" i="1"/>
  <c r="Q2014" i="1" s="1"/>
  <c r="I2002" i="1"/>
  <c r="Q2002" i="1" s="1"/>
  <c r="I2001" i="1"/>
  <c r="Q2001" i="1" s="1"/>
  <c r="I2000" i="1"/>
  <c r="Q2000" i="1" s="1"/>
  <c r="I1987" i="1"/>
  <c r="Q1987" i="1" s="1"/>
  <c r="I1986" i="1"/>
  <c r="Q1986" i="1" s="1"/>
  <c r="I1985" i="1"/>
  <c r="Q1985" i="1" s="1"/>
  <c r="I1973" i="1"/>
  <c r="Q1973" i="1" s="1"/>
  <c r="I1972" i="1"/>
  <c r="Q1972" i="1" s="1"/>
  <c r="I1971" i="1"/>
  <c r="Q1971" i="1" s="1"/>
  <c r="I1959" i="1"/>
  <c r="Q1959" i="1" s="1"/>
  <c r="I1958" i="1"/>
  <c r="Q1958" i="1" s="1"/>
  <c r="I1957" i="1"/>
  <c r="Q1957" i="1" s="1"/>
  <c r="I1946" i="1"/>
  <c r="Q1946" i="1" s="1"/>
  <c r="I1945" i="1"/>
  <c r="Q1945" i="1" s="1"/>
  <c r="I1944" i="1"/>
  <c r="Q1944" i="1" s="1"/>
  <c r="I1932" i="1"/>
  <c r="Q1932" i="1" s="1"/>
  <c r="I1931" i="1"/>
  <c r="Q1931" i="1" s="1"/>
  <c r="I1930" i="1"/>
  <c r="Q1930" i="1" s="1"/>
  <c r="I1918" i="1"/>
  <c r="Q1918" i="1" s="1"/>
  <c r="I1917" i="1"/>
  <c r="Q1917" i="1" s="1"/>
  <c r="I1916" i="1"/>
  <c r="Q1916" i="1" s="1"/>
  <c r="I1903" i="1"/>
  <c r="Q1903" i="1" s="1"/>
  <c r="I1902" i="1"/>
  <c r="Q1902" i="1" s="1"/>
  <c r="I1901" i="1"/>
  <c r="Q1901" i="1" s="1"/>
  <c r="I1889" i="1"/>
  <c r="Q1889" i="1" s="1"/>
  <c r="I1888" i="1"/>
  <c r="Q1888" i="1" s="1"/>
  <c r="I1887" i="1"/>
  <c r="Q1887" i="1" s="1"/>
  <c r="I1875" i="1"/>
  <c r="Q1875" i="1" s="1"/>
  <c r="I1874" i="1"/>
  <c r="Q1874" i="1" s="1"/>
  <c r="I1873" i="1"/>
  <c r="Q1873" i="1" s="1"/>
  <c r="I1861" i="1"/>
  <c r="Q1861" i="1" s="1"/>
  <c r="I1860" i="1"/>
  <c r="Q1860" i="1" s="1"/>
  <c r="I1859" i="1"/>
  <c r="Q1859" i="1" s="1"/>
  <c r="I1848" i="1"/>
  <c r="Q1848" i="1" s="1"/>
  <c r="I1847" i="1"/>
  <c r="Q1847" i="1" s="1"/>
  <c r="I1846" i="1"/>
  <c r="Q1846" i="1" s="1"/>
  <c r="I1834" i="1"/>
  <c r="Q1834" i="1" s="1"/>
  <c r="I1833" i="1"/>
  <c r="Q1833" i="1" s="1"/>
  <c r="I1832" i="1"/>
  <c r="Q1832" i="1" s="1"/>
  <c r="I1820" i="1"/>
  <c r="Q1820" i="1" s="1"/>
  <c r="I1819" i="1"/>
  <c r="Q1819" i="1" s="1"/>
  <c r="I1818" i="1"/>
  <c r="Q1818" i="1" s="1"/>
  <c r="I1801" i="1"/>
  <c r="Q1801" i="1" s="1"/>
  <c r="I1800" i="1"/>
  <c r="Q1800" i="1" s="1"/>
  <c r="I1799" i="1"/>
  <c r="Q1799" i="1" s="1"/>
  <c r="I1788" i="1"/>
  <c r="Q1788" i="1" s="1"/>
  <c r="I1787" i="1"/>
  <c r="Q1787" i="1" s="1"/>
  <c r="I1786" i="1"/>
  <c r="Q1786" i="1" s="1"/>
  <c r="I1773" i="1"/>
  <c r="Q1773" i="1" s="1"/>
  <c r="I1772" i="1"/>
  <c r="Q1772" i="1" s="1"/>
  <c r="I1771" i="1"/>
  <c r="Q1771" i="1" s="1"/>
  <c r="I1759" i="1"/>
  <c r="Q1759" i="1" s="1"/>
  <c r="I1758" i="1"/>
  <c r="Q1758" i="1" s="1"/>
  <c r="I1757" i="1"/>
  <c r="Q1757" i="1" s="1"/>
  <c r="I1745" i="1"/>
  <c r="Q1745" i="1" s="1"/>
  <c r="I1744" i="1"/>
  <c r="Q1744" i="1" s="1"/>
  <c r="I1743" i="1"/>
  <c r="Q1743" i="1" s="1"/>
  <c r="I1731" i="1"/>
  <c r="Q1731" i="1" s="1"/>
  <c r="I1730" i="1"/>
  <c r="Q1730" i="1" s="1"/>
  <c r="I1729" i="1"/>
  <c r="Q1729" i="1" s="1"/>
  <c r="I1718" i="1"/>
  <c r="Q1718" i="1" s="1"/>
  <c r="I1717" i="1"/>
  <c r="Q1717" i="1" s="1"/>
  <c r="I1716" i="1"/>
  <c r="Q1716" i="1" s="1"/>
  <c r="I1704" i="1"/>
  <c r="Q1704" i="1" s="1"/>
  <c r="I1703" i="1"/>
  <c r="Q1703" i="1" s="1"/>
  <c r="I1702" i="1"/>
  <c r="Q1702" i="1" s="1"/>
  <c r="I1689" i="1"/>
  <c r="Q1689" i="1" s="1"/>
  <c r="I1688" i="1"/>
  <c r="Q1688" i="1" s="1"/>
  <c r="I1687" i="1"/>
  <c r="Q1687" i="1" s="1"/>
  <c r="I1676" i="1"/>
  <c r="Q1676" i="1" s="1"/>
  <c r="I1675" i="1"/>
  <c r="Q1675" i="1" s="1"/>
  <c r="I1674" i="1"/>
  <c r="Q1674" i="1" s="1"/>
  <c r="I1662" i="1"/>
  <c r="Q1662" i="1" s="1"/>
  <c r="I1661" i="1"/>
  <c r="Q1661" i="1" s="1"/>
  <c r="I1660" i="1"/>
  <c r="Q1660" i="1" s="1"/>
  <c r="I1648" i="1"/>
  <c r="Q1648" i="1" s="1"/>
  <c r="I1647" i="1"/>
  <c r="Q1647" i="1" s="1"/>
  <c r="I1646" i="1"/>
  <c r="Q1646" i="1" s="1"/>
  <c r="I1634" i="1"/>
  <c r="Q1634" i="1" s="1"/>
  <c r="I1633" i="1"/>
  <c r="Q1633" i="1" s="1"/>
  <c r="I1632" i="1"/>
  <c r="Q1632" i="1" s="1"/>
  <c r="I1619" i="1"/>
  <c r="Q1619" i="1" s="1"/>
  <c r="I1618" i="1"/>
  <c r="Q1618" i="1" s="1"/>
  <c r="I1617" i="1"/>
  <c r="Q1617" i="1" s="1"/>
  <c r="I1605" i="1"/>
  <c r="Q1605" i="1" s="1"/>
  <c r="I1604" i="1"/>
  <c r="Q1604" i="1" s="1"/>
  <c r="I1603" i="1"/>
  <c r="Q1603" i="1" s="1"/>
  <c r="I1592" i="1"/>
  <c r="Q1592" i="1" s="1"/>
  <c r="I1591" i="1"/>
  <c r="Q1591" i="1" s="1"/>
  <c r="I1590" i="1"/>
  <c r="Q1590" i="1" s="1"/>
  <c r="I1578" i="1"/>
  <c r="Q1578" i="1" s="1"/>
  <c r="I1577" i="1"/>
  <c r="Q1577" i="1" s="1"/>
  <c r="I1576" i="1"/>
  <c r="Q1576" i="1" s="1"/>
  <c r="I1564" i="1"/>
  <c r="Q1564" i="1" s="1"/>
  <c r="I1563" i="1"/>
  <c r="Q1563" i="1" s="1"/>
  <c r="I1562" i="1"/>
  <c r="Q1562" i="1" s="1"/>
  <c r="I1550" i="1"/>
  <c r="Q1550" i="1" s="1"/>
  <c r="I1549" i="1"/>
  <c r="Q1549" i="1" s="1"/>
  <c r="I1548" i="1"/>
  <c r="Q1548" i="1" s="1"/>
  <c r="I1535" i="1"/>
  <c r="Q1535" i="1" s="1"/>
  <c r="I1534" i="1"/>
  <c r="Q1534" i="1" s="1"/>
  <c r="I1533" i="1"/>
  <c r="Q1533" i="1" s="1"/>
  <c r="I1521" i="1"/>
  <c r="Q1521" i="1" s="1"/>
  <c r="I1520" i="1"/>
  <c r="Q1520" i="1" s="1"/>
  <c r="I1519" i="1"/>
  <c r="Q1519" i="1" s="1"/>
  <c r="I1508" i="1"/>
  <c r="Q1508" i="1" s="1"/>
  <c r="I1507" i="1"/>
  <c r="Q1507" i="1" s="1"/>
  <c r="I1506" i="1"/>
  <c r="Q1506" i="1" s="1"/>
  <c r="I1494" i="1"/>
  <c r="Q1494" i="1" s="1"/>
  <c r="I1493" i="1"/>
  <c r="Q1493" i="1" s="1"/>
  <c r="I1492" i="1"/>
  <c r="Q1492" i="1" s="1"/>
  <c r="I1480" i="1"/>
  <c r="Q1480" i="1" s="1"/>
  <c r="I1479" i="1"/>
  <c r="Q1479" i="1" s="1"/>
  <c r="I1478" i="1"/>
  <c r="Q1478" i="1" s="1"/>
  <c r="I1466" i="1"/>
  <c r="Q1466" i="1" s="1"/>
  <c r="I1465" i="1"/>
  <c r="Q1465" i="1" s="1"/>
  <c r="I1464" i="1"/>
  <c r="Q1464" i="1" s="1"/>
  <c r="I1451" i="1"/>
  <c r="Q1451" i="1" s="1"/>
  <c r="I1450" i="1"/>
  <c r="Q1450" i="1" s="1"/>
  <c r="I1449" i="1"/>
  <c r="Q1449" i="1" s="1"/>
  <c r="I1437" i="1"/>
  <c r="Q1437" i="1" s="1"/>
  <c r="I1436" i="1"/>
  <c r="Q1436" i="1" s="1"/>
  <c r="I1435" i="1"/>
  <c r="Q1435" i="1" s="1"/>
  <c r="I1424" i="1"/>
  <c r="Q1424" i="1" s="1"/>
  <c r="I1423" i="1"/>
  <c r="Q1423" i="1" s="1"/>
  <c r="I1422" i="1"/>
  <c r="Q1422" i="1" s="1"/>
  <c r="I1416" i="1"/>
  <c r="Q1416" i="1" s="1"/>
  <c r="I1405" i="1"/>
  <c r="Q1405" i="1" s="1"/>
  <c r="I1404" i="1"/>
  <c r="Q1404" i="1" s="1"/>
  <c r="I1403" i="1"/>
  <c r="Q1403" i="1" s="1"/>
  <c r="I1390" i="1"/>
  <c r="Q1390" i="1" s="1"/>
  <c r="I1389" i="1"/>
  <c r="Q1389" i="1" s="1"/>
  <c r="I1388" i="1"/>
  <c r="Q1388" i="1" s="1"/>
  <c r="I1377" i="1"/>
  <c r="Q1377" i="1" s="1"/>
  <c r="I1376" i="1"/>
  <c r="Q1376" i="1" s="1"/>
  <c r="I1375" i="1"/>
  <c r="Q1375" i="1" s="1"/>
  <c r="I1362" i="1"/>
  <c r="Q1362" i="1" s="1"/>
  <c r="I1361" i="1"/>
  <c r="Q1361" i="1" s="1"/>
  <c r="I1360" i="1"/>
  <c r="Q1360" i="1" s="1"/>
  <c r="I1348" i="1"/>
  <c r="Q1348" i="1" s="1"/>
  <c r="I1347" i="1"/>
  <c r="Q1347" i="1" s="1"/>
  <c r="I1346" i="1"/>
  <c r="Q1346" i="1" s="1"/>
  <c r="I1334" i="1"/>
  <c r="Q1334" i="1" s="1"/>
  <c r="I1333" i="1"/>
  <c r="Q1333" i="1" s="1"/>
  <c r="I1332" i="1"/>
  <c r="Q1332" i="1" s="1"/>
  <c r="I1320" i="1"/>
  <c r="Q1320" i="1" s="1"/>
  <c r="I1319" i="1"/>
  <c r="Q1319" i="1" s="1"/>
  <c r="I1318" i="1"/>
  <c r="Q1318" i="1" s="1"/>
  <c r="I1306" i="1"/>
  <c r="Q1306" i="1" s="1"/>
  <c r="I1305" i="1"/>
  <c r="Q1305" i="1" s="1"/>
  <c r="I1304" i="1"/>
  <c r="Q1304" i="1" s="1"/>
  <c r="I1292" i="1"/>
  <c r="Q1292" i="1" s="1"/>
  <c r="I1291" i="1"/>
  <c r="Q1291" i="1" s="1"/>
  <c r="I1290" i="1"/>
  <c r="Q1290" i="1" s="1"/>
  <c r="I1278" i="1"/>
  <c r="Q1278" i="1" s="1"/>
  <c r="I1277" i="1"/>
  <c r="Q1277" i="1" s="1"/>
  <c r="I1276" i="1"/>
  <c r="Q1276" i="1" s="1"/>
  <c r="I1265" i="1"/>
  <c r="Q1265" i="1" s="1"/>
  <c r="I1264" i="1"/>
  <c r="Q1264" i="1" s="1"/>
  <c r="I1263" i="1"/>
  <c r="Q1263" i="1" s="1"/>
  <c r="I1251" i="1"/>
  <c r="Q1251" i="1" s="1"/>
  <c r="I1250" i="1"/>
  <c r="Q1250" i="1" s="1"/>
  <c r="I1249" i="1"/>
  <c r="Q1249" i="1" s="1"/>
  <c r="I1236" i="1"/>
  <c r="Q1236" i="1" s="1"/>
  <c r="I1235" i="1"/>
  <c r="Q1235" i="1" s="1"/>
  <c r="I1234" i="1"/>
  <c r="Q1234" i="1" s="1"/>
  <c r="I1222" i="1"/>
  <c r="Q1222" i="1" s="1"/>
  <c r="I1221" i="1"/>
  <c r="Q1221" i="1" s="1"/>
  <c r="I1220" i="1"/>
  <c r="Q1220" i="1" s="1"/>
  <c r="I1209" i="1"/>
  <c r="Q1209" i="1" s="1"/>
  <c r="I1208" i="1"/>
  <c r="Q1208" i="1" s="1"/>
  <c r="I1207" i="1"/>
  <c r="Q1207" i="1" s="1"/>
  <c r="I1194" i="1"/>
  <c r="Q1194" i="1" s="1"/>
  <c r="I1193" i="1"/>
  <c r="Q1193" i="1" s="1"/>
  <c r="I1192" i="1"/>
  <c r="Q1192" i="1" s="1"/>
  <c r="I1180" i="1"/>
  <c r="Q1180" i="1" s="1"/>
  <c r="I1179" i="1"/>
  <c r="Q1179" i="1" s="1"/>
  <c r="I1178" i="1"/>
  <c r="Q1178" i="1" s="1"/>
  <c r="I1166" i="1"/>
  <c r="Q1166" i="1" s="1"/>
  <c r="I1165" i="1"/>
  <c r="Q1165" i="1" s="1"/>
  <c r="I1164" i="1"/>
  <c r="Q1164" i="1" s="1"/>
  <c r="I1153" i="1"/>
  <c r="Q1153" i="1" s="1"/>
  <c r="I1152" i="1"/>
  <c r="Q1152" i="1" s="1"/>
  <c r="I1151" i="1"/>
  <c r="Q1151" i="1" s="1"/>
  <c r="I1130" i="1"/>
  <c r="Q1130" i="1" s="1"/>
  <c r="I1142" i="1"/>
  <c r="Q1142" i="1" s="1"/>
  <c r="I1129" i="1"/>
  <c r="Q1129" i="1" s="1"/>
  <c r="I1141" i="1"/>
  <c r="Q1141" i="1" s="1"/>
  <c r="I1128" i="1"/>
  <c r="Q1128" i="1" s="1"/>
  <c r="I1140" i="1"/>
  <c r="Q1140" i="1" s="1"/>
  <c r="I1110" i="1"/>
  <c r="Q1110" i="1" s="1"/>
  <c r="I1109" i="1"/>
  <c r="Q1109" i="1" s="1"/>
  <c r="I1108" i="1"/>
  <c r="Q1108" i="1" s="1"/>
  <c r="I1097" i="1"/>
  <c r="Q1097" i="1" s="1"/>
  <c r="I1096" i="1"/>
  <c r="Q1096" i="1" s="1"/>
  <c r="I1095" i="1"/>
  <c r="Q1095" i="1" s="1"/>
  <c r="I1083" i="1"/>
  <c r="Q1083" i="1" s="1"/>
  <c r="I1082" i="1"/>
  <c r="Q1082" i="1" s="1"/>
  <c r="I1081" i="1"/>
  <c r="Q1081" i="1" s="1"/>
  <c r="I1068" i="1"/>
  <c r="Q1068" i="1" s="1"/>
  <c r="I1067" i="1"/>
  <c r="Q1067" i="1" s="1"/>
  <c r="I1066" i="1"/>
  <c r="Q1066" i="1" s="1"/>
  <c r="I1054" i="1"/>
  <c r="Q1054" i="1" s="1"/>
  <c r="I1053" i="1"/>
  <c r="Q1053" i="1" s="1"/>
  <c r="I1052" i="1"/>
  <c r="Q1052" i="1" s="1"/>
  <c r="I1041" i="1"/>
  <c r="Q1041" i="1" s="1"/>
  <c r="I1040" i="1"/>
  <c r="Q1040" i="1" s="1"/>
  <c r="I1039" i="1"/>
  <c r="Q1039" i="1" s="1"/>
  <c r="I1026" i="1"/>
  <c r="Q1026" i="1" s="1"/>
  <c r="I1025" i="1"/>
  <c r="Q1025" i="1" s="1"/>
  <c r="I1024" i="1"/>
  <c r="Q1024" i="1" s="1"/>
  <c r="I1013" i="1"/>
  <c r="Q1013" i="1" s="1"/>
  <c r="I1012" i="1"/>
  <c r="Q1012" i="1" s="1"/>
  <c r="I1011" i="1"/>
  <c r="Q1011" i="1" s="1"/>
  <c r="I998" i="1"/>
  <c r="Q998" i="1" s="1"/>
  <c r="I997" i="1"/>
  <c r="Q997" i="1" s="1"/>
  <c r="I996" i="1"/>
  <c r="Q996" i="1" s="1"/>
  <c r="I984" i="1"/>
  <c r="Q984" i="1" s="1"/>
  <c r="I983" i="1"/>
  <c r="Q983" i="1" s="1"/>
  <c r="I982" i="1"/>
  <c r="Q982" i="1" s="1"/>
  <c r="I971" i="1"/>
  <c r="Q971" i="1" s="1"/>
  <c r="I970" i="1"/>
  <c r="Q970" i="1" s="1"/>
  <c r="I969" i="1"/>
  <c r="Q969" i="1" s="1"/>
  <c r="I956" i="1"/>
  <c r="Q956" i="1" s="1"/>
  <c r="I955" i="1"/>
  <c r="Q955" i="1" s="1"/>
  <c r="I954" i="1"/>
  <c r="Q954" i="1" s="1"/>
  <c r="I943" i="1"/>
  <c r="Q943" i="1" s="1"/>
  <c r="I942" i="1"/>
  <c r="Q942" i="1" s="1"/>
  <c r="I941" i="1"/>
  <c r="Q941" i="1" s="1"/>
  <c r="I929" i="1"/>
  <c r="Q929" i="1" s="1"/>
  <c r="I928" i="1"/>
  <c r="Q928" i="1" s="1"/>
  <c r="I927" i="1"/>
  <c r="Q927" i="1" s="1"/>
  <c r="I914" i="1"/>
  <c r="Q914" i="1" s="1"/>
  <c r="I913" i="1"/>
  <c r="Q913" i="1" s="1"/>
  <c r="I912" i="1"/>
  <c r="Q912" i="1" s="1"/>
  <c r="I901" i="1"/>
  <c r="Q901" i="1" s="1"/>
  <c r="I900" i="1"/>
  <c r="Q900" i="1" s="1"/>
  <c r="I899" i="1"/>
  <c r="Q899" i="1" s="1"/>
  <c r="I887" i="1"/>
  <c r="Q887" i="1" s="1"/>
  <c r="I886" i="1"/>
  <c r="Q886" i="1" s="1"/>
  <c r="I885" i="1"/>
  <c r="Q885" i="1" s="1"/>
  <c r="I872" i="1"/>
  <c r="Q872" i="1" s="1"/>
  <c r="I871" i="1"/>
  <c r="Q871" i="1" s="1"/>
  <c r="I870" i="1"/>
  <c r="Q870" i="1" s="1"/>
  <c r="I859" i="1"/>
  <c r="Q859" i="1" s="1"/>
  <c r="I858" i="1"/>
  <c r="Q858" i="1" s="1"/>
  <c r="I857" i="1"/>
  <c r="Q857" i="1" s="1"/>
  <c r="I844" i="1"/>
  <c r="Q844" i="1" s="1"/>
  <c r="I843" i="1"/>
  <c r="Q843" i="1" s="1"/>
  <c r="I842" i="1"/>
  <c r="Q842" i="1" s="1"/>
  <c r="I830" i="1"/>
  <c r="Q830" i="1" s="1"/>
  <c r="I829" i="1"/>
  <c r="Q829" i="1" s="1"/>
  <c r="I828" i="1"/>
  <c r="Q828" i="1" s="1"/>
  <c r="I816" i="1"/>
  <c r="Q816" i="1" s="1"/>
  <c r="I815" i="1"/>
  <c r="Q815" i="1" s="1"/>
  <c r="I814" i="1"/>
  <c r="Q814" i="1" s="1"/>
  <c r="I802" i="1"/>
  <c r="Q802" i="1" s="1"/>
  <c r="I801" i="1"/>
  <c r="Q801" i="1" s="1"/>
  <c r="I800" i="1"/>
  <c r="Q800" i="1" s="1"/>
  <c r="I788" i="1"/>
  <c r="Q788" i="1" s="1"/>
  <c r="I787" i="1"/>
  <c r="Q787" i="1" s="1"/>
  <c r="I786" i="1"/>
  <c r="Q786" i="1" s="1"/>
  <c r="I766" i="1"/>
  <c r="Q766" i="1" s="1"/>
  <c r="I778" i="1"/>
  <c r="Q778" i="1" s="1"/>
  <c r="I765" i="1"/>
  <c r="Q765" i="1" s="1"/>
  <c r="I777" i="1"/>
  <c r="Q777" i="1" s="1"/>
  <c r="I764" i="1"/>
  <c r="Q764" i="1" s="1"/>
  <c r="I776" i="1"/>
  <c r="Q776" i="1" s="1"/>
  <c r="I747" i="1"/>
  <c r="Q747" i="1" s="1"/>
  <c r="I746" i="1"/>
  <c r="Q746" i="1" s="1"/>
  <c r="I745" i="1"/>
  <c r="Q745" i="1" s="1"/>
  <c r="I733" i="1"/>
  <c r="Q733" i="1" s="1"/>
  <c r="I732" i="1"/>
  <c r="Q732" i="1" s="1"/>
  <c r="I731" i="1"/>
  <c r="Q731" i="1" s="1"/>
  <c r="I718" i="1"/>
  <c r="Q718" i="1" s="1"/>
  <c r="I717" i="1"/>
  <c r="Q717" i="1" s="1"/>
  <c r="I716" i="1"/>
  <c r="Q716" i="1" s="1"/>
  <c r="I705" i="1"/>
  <c r="Q705" i="1" s="1"/>
  <c r="I704" i="1"/>
  <c r="Q704" i="1" s="1"/>
  <c r="I703" i="1"/>
  <c r="Q703" i="1" s="1"/>
  <c r="I691" i="1"/>
  <c r="Q691" i="1" s="1"/>
  <c r="I690" i="1"/>
  <c r="Q690" i="1" s="1"/>
  <c r="I689" i="1"/>
  <c r="Q689" i="1" s="1"/>
  <c r="I677" i="1"/>
  <c r="Q677" i="1" s="1"/>
  <c r="I676" i="1"/>
  <c r="Q676" i="1" s="1"/>
  <c r="I675" i="1"/>
  <c r="Q675" i="1" s="1"/>
  <c r="I663" i="1"/>
  <c r="Q663" i="1" s="1"/>
  <c r="I662" i="1"/>
  <c r="Q662" i="1" s="1"/>
  <c r="I661" i="1"/>
  <c r="Q661" i="1" s="1"/>
  <c r="I648" i="1"/>
  <c r="Q648" i="1" s="1"/>
  <c r="I647" i="1"/>
  <c r="Q647" i="1" s="1"/>
  <c r="I646" i="1"/>
  <c r="Q646" i="1" s="1"/>
  <c r="I634" i="1"/>
  <c r="Q634" i="1" s="1"/>
  <c r="I633" i="1"/>
  <c r="Q633" i="1" s="1"/>
  <c r="I632" i="1"/>
  <c r="Q632" i="1" s="1"/>
  <c r="I620" i="1"/>
  <c r="Q620" i="1" s="1"/>
  <c r="I619" i="1"/>
  <c r="Q619" i="1" s="1"/>
  <c r="I618" i="1"/>
  <c r="Q618" i="1" s="1"/>
  <c r="I606" i="1"/>
  <c r="Q606" i="1" s="1"/>
  <c r="I605" i="1"/>
  <c r="Q605" i="1" s="1"/>
  <c r="I604" i="1"/>
  <c r="Q604" i="1" s="1"/>
  <c r="I593" i="1"/>
  <c r="Q593" i="1" s="1"/>
  <c r="I592" i="1"/>
  <c r="Q592" i="1" s="1"/>
  <c r="I591" i="1"/>
  <c r="Q591" i="1" s="1"/>
  <c r="I579" i="1"/>
  <c r="Q579" i="1" s="1"/>
  <c r="I578" i="1"/>
  <c r="Q578" i="1" s="1"/>
  <c r="I577" i="1"/>
  <c r="Q577" i="1" s="1"/>
  <c r="I564" i="1"/>
  <c r="Q564" i="1" s="1"/>
  <c r="I563" i="1"/>
  <c r="Q563" i="1" s="1"/>
  <c r="I562" i="1"/>
  <c r="Q562" i="1" s="1"/>
  <c r="I551" i="1"/>
  <c r="Q551" i="1" s="1"/>
  <c r="I550" i="1"/>
  <c r="Q550" i="1" s="1"/>
  <c r="I549" i="1"/>
  <c r="Q549" i="1" s="1"/>
  <c r="I537" i="1"/>
  <c r="Q537" i="1" s="1"/>
  <c r="I536" i="1"/>
  <c r="Q536" i="1" s="1"/>
  <c r="I535" i="1"/>
  <c r="Q535" i="1" s="1"/>
  <c r="I523" i="1"/>
  <c r="Q523" i="1" s="1"/>
  <c r="I522" i="1"/>
  <c r="Q522" i="1" s="1"/>
  <c r="I521" i="1"/>
  <c r="Q521" i="1" s="1"/>
  <c r="I508" i="1"/>
  <c r="Q508" i="1" s="1"/>
  <c r="I507" i="1"/>
  <c r="Q507" i="1" s="1"/>
  <c r="I506" i="1"/>
  <c r="Q506" i="1" s="1"/>
  <c r="I495" i="1"/>
  <c r="Q495" i="1" s="1"/>
  <c r="I494" i="1"/>
  <c r="Q494" i="1" s="1"/>
  <c r="I493" i="1"/>
  <c r="Q493" i="1" s="1"/>
  <c r="I480" i="1"/>
  <c r="Q480" i="1" s="1"/>
  <c r="I479" i="1"/>
  <c r="Q479" i="1" s="1"/>
  <c r="I478" i="1"/>
  <c r="Q478" i="1" s="1"/>
  <c r="I466" i="1"/>
  <c r="Q466" i="1" s="1"/>
  <c r="I465" i="1"/>
  <c r="Q465" i="1" s="1"/>
  <c r="I464" i="1"/>
  <c r="Q464" i="1" s="1"/>
  <c r="I453" i="1"/>
  <c r="Q453" i="1" s="1"/>
  <c r="I452" i="1"/>
  <c r="Q452" i="1" s="1"/>
  <c r="I451" i="1"/>
  <c r="Q451" i="1" s="1"/>
  <c r="I439" i="1"/>
  <c r="Q439" i="1" s="1"/>
  <c r="I438" i="1"/>
  <c r="Q438" i="1" s="1"/>
  <c r="I437" i="1"/>
  <c r="Q437" i="1" s="1"/>
  <c r="I425" i="1"/>
  <c r="Q425" i="1" s="1"/>
  <c r="I424" i="1"/>
  <c r="Q424" i="1" s="1"/>
  <c r="I423" i="1"/>
  <c r="Q423" i="1" s="1"/>
  <c r="I410" i="1"/>
  <c r="Q410" i="1" s="1"/>
  <c r="I409" i="1"/>
  <c r="Q409" i="1" s="1"/>
  <c r="I408" i="1"/>
  <c r="Q408" i="1" s="1"/>
  <c r="I396" i="1"/>
  <c r="Q396" i="1" s="1"/>
  <c r="I395" i="1"/>
  <c r="Q395" i="1" s="1"/>
  <c r="I394" i="1"/>
  <c r="Q394" i="1" s="1"/>
  <c r="I382" i="1"/>
  <c r="Q382" i="1" s="1"/>
  <c r="I381" i="1"/>
  <c r="Q381" i="1" s="1"/>
  <c r="I380" i="1"/>
  <c r="Q380" i="1" s="1"/>
  <c r="I368" i="1"/>
  <c r="Q368" i="1" s="1"/>
  <c r="I367" i="1"/>
  <c r="Q367" i="1" s="1"/>
  <c r="I366" i="1"/>
  <c r="Q366" i="1" s="1"/>
  <c r="I355" i="1"/>
  <c r="Q355" i="1" s="1"/>
  <c r="I354" i="1"/>
  <c r="Q354" i="1" s="1"/>
  <c r="I353" i="1"/>
  <c r="Q353" i="1" s="1"/>
  <c r="I340" i="1"/>
  <c r="Q340" i="1" s="1"/>
  <c r="I339" i="1"/>
  <c r="Q339" i="1" s="1"/>
  <c r="I338" i="1"/>
  <c r="Q338" i="1" s="1"/>
  <c r="I327" i="1"/>
  <c r="Q327" i="1" s="1"/>
  <c r="I326" i="1"/>
  <c r="Q326" i="1" s="1"/>
  <c r="I325" i="1"/>
  <c r="Q325" i="1" s="1"/>
  <c r="I313" i="1"/>
  <c r="Q313" i="1" s="1"/>
  <c r="I312" i="1"/>
  <c r="Q312" i="1" s="1"/>
  <c r="I311" i="1"/>
  <c r="Q311" i="1" s="1"/>
  <c r="I299" i="1"/>
  <c r="Q299" i="1" s="1"/>
  <c r="I298" i="1"/>
  <c r="Q298" i="1" s="1"/>
  <c r="I297" i="1"/>
  <c r="Q297" i="1" s="1"/>
  <c r="I285" i="1"/>
  <c r="Q285" i="1" s="1"/>
  <c r="I284" i="1"/>
  <c r="Q284" i="1" s="1"/>
  <c r="I283" i="1"/>
  <c r="Q283" i="1" s="1"/>
  <c r="I271" i="1"/>
  <c r="Q271" i="1" s="1"/>
  <c r="I270" i="1"/>
  <c r="Q270" i="1" s="1"/>
  <c r="I269" i="1"/>
  <c r="Q269" i="1" s="1"/>
  <c r="I256" i="1"/>
  <c r="Q256" i="1" s="1"/>
  <c r="I255" i="1"/>
  <c r="Q255" i="1" s="1"/>
  <c r="I254" i="1"/>
  <c r="Q254" i="1" s="1"/>
  <c r="I242" i="1"/>
  <c r="Q242" i="1" s="1"/>
  <c r="I241" i="1"/>
  <c r="Q241" i="1" s="1"/>
  <c r="I240" i="1"/>
  <c r="Q240" i="1" s="1"/>
  <c r="I228" i="1"/>
  <c r="Q228" i="1" s="1"/>
  <c r="I227" i="1"/>
  <c r="Q227" i="1" s="1"/>
  <c r="I226" i="1"/>
  <c r="Q226" i="1" s="1"/>
  <c r="I215" i="1"/>
  <c r="Q215" i="1" s="1"/>
  <c r="I214" i="1"/>
  <c r="Q214" i="1" s="1"/>
  <c r="I213" i="1"/>
  <c r="Q213" i="1" s="1"/>
  <c r="I201" i="1"/>
  <c r="Q201" i="1" s="1"/>
  <c r="I200" i="1"/>
  <c r="Q200" i="1" s="1"/>
  <c r="I199" i="1"/>
  <c r="Q199" i="1" s="1"/>
  <c r="I186" i="1"/>
  <c r="Q186" i="1" s="1"/>
  <c r="I185" i="1"/>
  <c r="Q185" i="1" s="1"/>
  <c r="I184" i="1"/>
  <c r="Q184" i="1" s="1"/>
  <c r="I173" i="1"/>
  <c r="Q173" i="1" s="1"/>
  <c r="I172" i="1"/>
  <c r="Q172" i="1" s="1"/>
  <c r="I171" i="1"/>
  <c r="Q171" i="1" s="1"/>
  <c r="I158" i="1"/>
  <c r="Q158" i="1" s="1"/>
  <c r="I157" i="1"/>
  <c r="Q157" i="1" s="1"/>
  <c r="I156" i="1"/>
  <c r="Q156" i="1" s="1"/>
  <c r="I145" i="1"/>
  <c r="Q145" i="1" s="1"/>
  <c r="I144" i="1"/>
  <c r="Q144" i="1" s="1"/>
  <c r="I143" i="1"/>
  <c r="Q143" i="1" s="1"/>
  <c r="I130" i="1"/>
  <c r="Q130" i="1" s="1"/>
  <c r="I129" i="1"/>
  <c r="Q129" i="1" s="1"/>
  <c r="I128" i="1"/>
  <c r="Q128" i="1" s="1"/>
  <c r="I116" i="1"/>
  <c r="Q116" i="1" s="1"/>
  <c r="I115" i="1"/>
  <c r="Q115" i="1" s="1"/>
  <c r="I114" i="1"/>
  <c r="Q114" i="1" s="1"/>
  <c r="I103" i="1"/>
  <c r="Q103" i="1" s="1"/>
  <c r="I102" i="1"/>
  <c r="Q102" i="1" s="1"/>
  <c r="I101" i="1"/>
  <c r="Q101" i="1" s="1"/>
  <c r="I89" i="1"/>
  <c r="Q89" i="1" s="1"/>
  <c r="I88" i="1"/>
  <c r="Q88" i="1" s="1"/>
  <c r="I87" i="1"/>
  <c r="Q87" i="1" s="1"/>
  <c r="I75" i="1"/>
  <c r="Q75" i="1" s="1"/>
  <c r="I74" i="1"/>
  <c r="Q74" i="1" s="1"/>
  <c r="I73" i="1"/>
  <c r="Q73" i="1" s="1"/>
  <c r="I60" i="1"/>
  <c r="Q60" i="1" s="1"/>
  <c r="I59" i="1"/>
  <c r="Q59" i="1" s="1"/>
  <c r="I58" i="1"/>
  <c r="Q58" i="1" s="1"/>
  <c r="I46" i="1"/>
  <c r="Q46" i="1" s="1"/>
  <c r="I45" i="1"/>
  <c r="Q45" i="1" s="1"/>
  <c r="I44" i="1"/>
  <c r="Q44" i="1" s="1"/>
  <c r="I33" i="1"/>
  <c r="Q33" i="1" s="1"/>
  <c r="I32" i="1"/>
  <c r="Q32" i="1" s="1"/>
  <c r="I31" i="1"/>
  <c r="Q31" i="1" s="1"/>
  <c r="I19" i="1"/>
  <c r="Q19" i="1" s="1"/>
  <c r="I18" i="1"/>
  <c r="Q18" i="1" s="1"/>
  <c r="I17" i="1"/>
  <c r="Q17" i="1" s="1"/>
  <c r="I4" i="1"/>
  <c r="Q4" i="1" s="1"/>
  <c r="I3" i="1"/>
  <c r="Q3" i="1" s="1"/>
  <c r="I2" i="1"/>
  <c r="Q2" i="1" s="1"/>
  <c r="J1055" i="1"/>
  <c r="J2772" i="1"/>
  <c r="J2758" i="1"/>
  <c r="J2744" i="1"/>
  <c r="J2716" i="1"/>
  <c r="J2702" i="1"/>
  <c r="J2674" i="1"/>
  <c r="J2646" i="1"/>
  <c r="J2618" i="1"/>
  <c r="J2576" i="1"/>
  <c r="J2562" i="1"/>
  <c r="J2520" i="1"/>
  <c r="J2506" i="1"/>
  <c r="J2470" i="1"/>
  <c r="J2422" i="1"/>
  <c r="J2408" i="1"/>
  <c r="J2380" i="1"/>
  <c r="J2366" i="1"/>
  <c r="J2352" i="1"/>
  <c r="J2338" i="1"/>
  <c r="J2282" i="1"/>
  <c r="J2268" i="1"/>
  <c r="J2212" i="1"/>
  <c r="J2176" i="1"/>
  <c r="J2156" i="1"/>
  <c r="J2142" i="1"/>
  <c r="J2100" i="1"/>
  <c r="J2086" i="1"/>
  <c r="J2050" i="1"/>
  <c r="J1988" i="1"/>
  <c r="J1974" i="1"/>
  <c r="J1960" i="1"/>
  <c r="J1904" i="1"/>
  <c r="J1890" i="1"/>
  <c r="J1876" i="1"/>
  <c r="J1862" i="1"/>
  <c r="J1802" i="1"/>
  <c r="J1774" i="1"/>
  <c r="J1760" i="1"/>
  <c r="J1746" i="1"/>
  <c r="J1732" i="1"/>
  <c r="J1690" i="1"/>
  <c r="J1620" i="1"/>
  <c r="J1606" i="1"/>
  <c r="J1536" i="1"/>
  <c r="J1522" i="1"/>
  <c r="J1452" i="1"/>
  <c r="J1438" i="1"/>
  <c r="J1391" i="1"/>
  <c r="J1363" i="1"/>
  <c r="J1349" i="1"/>
  <c r="J1335" i="1"/>
  <c r="J1321" i="1"/>
  <c r="J1307" i="1"/>
  <c r="J1293" i="1"/>
  <c r="J1279" i="1"/>
  <c r="J1237" i="1"/>
  <c r="J1223" i="1"/>
  <c r="J1195" i="1"/>
  <c r="J1181" i="1"/>
  <c r="J1167" i="1"/>
  <c r="J1131" i="1"/>
  <c r="J1111" i="1"/>
  <c r="J1069" i="1"/>
  <c r="J1027" i="1"/>
  <c r="J999" i="1"/>
  <c r="J985" i="1"/>
  <c r="J957" i="1"/>
  <c r="J915" i="1"/>
  <c r="J873" i="1"/>
  <c r="J845" i="1"/>
  <c r="J831" i="1"/>
  <c r="J817" i="1"/>
  <c r="J803" i="1"/>
  <c r="J789" i="1"/>
  <c r="J767" i="1"/>
  <c r="J719" i="1"/>
  <c r="J649" i="1"/>
  <c r="J635" i="1"/>
  <c r="J621" i="1"/>
  <c r="J607" i="1"/>
  <c r="J565" i="1"/>
  <c r="J509" i="1"/>
  <c r="J481" i="1"/>
  <c r="J467" i="1"/>
  <c r="J411" i="1"/>
  <c r="J397" i="1"/>
  <c r="J383" i="1"/>
  <c r="J369" i="1"/>
  <c r="J341" i="1"/>
  <c r="J257" i="1"/>
  <c r="J243" i="1"/>
  <c r="J229" i="1"/>
  <c r="J187" i="1"/>
  <c r="J159" i="1"/>
  <c r="J131" i="1"/>
  <c r="J117" i="1"/>
  <c r="J61" i="1"/>
  <c r="J47" i="1"/>
  <c r="J5" i="1"/>
  <c r="J2825" i="1"/>
  <c r="J2787" i="1"/>
  <c r="J2731" i="1"/>
  <c r="J2689" i="1"/>
  <c r="J2661" i="1"/>
  <c r="J2633" i="1"/>
  <c r="J2605" i="1"/>
  <c r="J2591" i="1"/>
  <c r="J2549" i="1"/>
  <c r="J2535" i="1"/>
  <c r="J2493" i="1"/>
  <c r="J2482" i="1"/>
  <c r="J2451" i="1"/>
  <c r="J2437" i="1"/>
  <c r="J2395" i="1"/>
  <c r="J2325" i="1"/>
  <c r="J2311" i="1"/>
  <c r="J2297" i="1"/>
  <c r="J2255" i="1"/>
  <c r="J2241" i="1"/>
  <c r="J2227" i="1"/>
  <c r="J2199" i="1"/>
  <c r="J2188" i="1"/>
  <c r="J2129" i="1"/>
  <c r="J2115" i="1"/>
  <c r="J2073" i="1"/>
  <c r="J2062" i="1"/>
  <c r="J2031" i="1"/>
  <c r="J2017" i="1"/>
  <c r="J2003" i="1"/>
  <c r="J1947" i="1"/>
  <c r="J1933" i="1"/>
  <c r="J1919" i="1"/>
  <c r="J1849" i="1"/>
  <c r="J1835" i="1"/>
  <c r="J1821" i="1"/>
  <c r="J1789" i="1"/>
  <c r="J1719" i="1"/>
  <c r="J1705" i="1"/>
  <c r="J1677" i="1"/>
  <c r="J1663" i="1"/>
  <c r="J1649" i="1"/>
  <c r="J1635" i="1"/>
  <c r="J1593" i="1"/>
  <c r="J1579" i="1"/>
  <c r="J1565" i="1"/>
  <c r="J1551" i="1"/>
  <c r="J1509" i="1"/>
  <c r="J1495" i="1"/>
  <c r="J1481" i="1"/>
  <c r="J1467" i="1"/>
  <c r="J1425" i="1"/>
  <c r="J1406" i="1"/>
  <c r="J1378" i="1"/>
  <c r="J1266" i="1"/>
  <c r="J1252" i="1"/>
  <c r="J1210" i="1"/>
  <c r="J1154" i="1"/>
  <c r="J1143" i="1"/>
  <c r="J1098" i="1"/>
  <c r="J1084" i="1"/>
  <c r="J1042" i="1"/>
  <c r="J1014" i="1"/>
  <c r="J972" i="1"/>
  <c r="J944" i="1"/>
  <c r="J930" i="1"/>
  <c r="J902" i="1"/>
  <c r="J888" i="1"/>
  <c r="J860" i="1"/>
  <c r="J779" i="1"/>
  <c r="J748" i="1"/>
  <c r="J734" i="1"/>
  <c r="J706" i="1"/>
  <c r="J692" i="1"/>
  <c r="J678" i="1"/>
  <c r="J664" i="1"/>
  <c r="J594" i="1"/>
  <c r="J580" i="1"/>
  <c r="J552" i="1"/>
  <c r="J538" i="1"/>
  <c r="J524" i="1"/>
  <c r="J496" i="1"/>
  <c r="J454" i="1"/>
  <c r="J440" i="1"/>
  <c r="J426" i="1"/>
  <c r="J356" i="1"/>
  <c r="J328" i="1"/>
  <c r="J314" i="1"/>
  <c r="J300" i="1"/>
  <c r="J286" i="1"/>
  <c r="J272" i="1"/>
  <c r="J216" i="1"/>
  <c r="J202" i="1"/>
  <c r="J174" i="1"/>
  <c r="J146" i="1"/>
  <c r="J104" i="1"/>
  <c r="J90" i="1"/>
  <c r="J76" i="1"/>
  <c r="J34" i="1"/>
  <c r="J20" i="1"/>
  <c r="J2771" i="1"/>
  <c r="J2757" i="1"/>
  <c r="J2743" i="1"/>
  <c r="J2715" i="1"/>
  <c r="J2701" i="1"/>
  <c r="J2673" i="1"/>
  <c r="J2645" i="1"/>
  <c r="J2617" i="1"/>
  <c r="J2575" i="1"/>
  <c r="J2561" i="1"/>
  <c r="J2519" i="1"/>
  <c r="J2505" i="1"/>
  <c r="J2469" i="1"/>
  <c r="J2421" i="1"/>
  <c r="J2407" i="1"/>
  <c r="J2379" i="1"/>
  <c r="J2365" i="1"/>
  <c r="J2351" i="1"/>
  <c r="J2337" i="1"/>
  <c r="J2281" i="1"/>
  <c r="J2267" i="1"/>
  <c r="J2211" i="1"/>
  <c r="J2175" i="1"/>
  <c r="J2155" i="1"/>
  <c r="J2141" i="1"/>
  <c r="J2099" i="1"/>
  <c r="J2085" i="1"/>
  <c r="J2049" i="1"/>
  <c r="J1987" i="1"/>
  <c r="J1973" i="1"/>
  <c r="J1959" i="1"/>
  <c r="J1903" i="1"/>
  <c r="J1889" i="1"/>
  <c r="J1875" i="1"/>
  <c r="J1861" i="1"/>
  <c r="J1801" i="1"/>
  <c r="J1773" i="1"/>
  <c r="J1759" i="1"/>
  <c r="J1745" i="1"/>
  <c r="J1731" i="1"/>
  <c r="J1689" i="1"/>
  <c r="J1619" i="1"/>
  <c r="J1605" i="1"/>
  <c r="J1535" i="1"/>
  <c r="J1521" i="1"/>
  <c r="J1451" i="1"/>
  <c r="J1437" i="1"/>
  <c r="J1390" i="1"/>
  <c r="J1362" i="1"/>
  <c r="J1348" i="1"/>
  <c r="J1334" i="1"/>
  <c r="J1320" i="1"/>
  <c r="J1306" i="1"/>
  <c r="J1292" i="1"/>
  <c r="J1278" i="1"/>
  <c r="J1236" i="1"/>
  <c r="J1222" i="1"/>
  <c r="J1194" i="1"/>
  <c r="J1180" i="1"/>
  <c r="J1166" i="1"/>
  <c r="J1130" i="1"/>
  <c r="J1110" i="1"/>
  <c r="J1068" i="1"/>
  <c r="J1054" i="1"/>
  <c r="J1026" i="1"/>
  <c r="J998" i="1"/>
  <c r="J984" i="1"/>
  <c r="J956" i="1"/>
  <c r="J914" i="1"/>
  <c r="J872" i="1"/>
  <c r="J844" i="1"/>
  <c r="J830" i="1"/>
  <c r="J816" i="1"/>
  <c r="J802" i="1"/>
  <c r="J788" i="1"/>
  <c r="J766" i="1"/>
  <c r="J718" i="1"/>
  <c r="J648" i="1"/>
  <c r="J634" i="1"/>
  <c r="J620" i="1"/>
  <c r="J606" i="1"/>
  <c r="J564" i="1"/>
  <c r="J508" i="1"/>
  <c r="J480" i="1"/>
  <c r="J466" i="1"/>
  <c r="J410" i="1"/>
  <c r="J396" i="1"/>
  <c r="J382" i="1"/>
  <c r="J368" i="1"/>
  <c r="J340" i="1"/>
  <c r="J256" i="1"/>
  <c r="J242" i="1"/>
  <c r="J228" i="1"/>
  <c r="J186" i="1"/>
  <c r="J158" i="1"/>
  <c r="J130" i="1"/>
  <c r="J116" i="1"/>
  <c r="J60" i="1"/>
  <c r="J46" i="1"/>
  <c r="J4" i="1"/>
  <c r="J2824" i="1"/>
  <c r="J2786" i="1"/>
  <c r="J2730" i="1"/>
  <c r="J2688" i="1"/>
  <c r="J2660" i="1"/>
  <c r="J2632" i="1"/>
  <c r="J2604" i="1"/>
  <c r="J2590" i="1"/>
  <c r="J2548" i="1"/>
  <c r="J2534" i="1"/>
  <c r="J2492" i="1"/>
  <c r="J2481" i="1"/>
  <c r="J2450" i="1"/>
  <c r="J2436" i="1"/>
  <c r="J2394" i="1"/>
  <c r="J2324" i="1"/>
  <c r="J2310" i="1"/>
  <c r="J2296" i="1"/>
  <c r="J2254" i="1"/>
  <c r="J2240" i="1"/>
  <c r="J2226" i="1"/>
  <c r="J2198" i="1"/>
  <c r="J2187" i="1"/>
  <c r="J2128" i="1"/>
  <c r="J2114" i="1"/>
  <c r="J2072" i="1"/>
  <c r="J2061" i="1"/>
  <c r="J2030" i="1"/>
  <c r="J2016" i="1"/>
  <c r="J2002" i="1"/>
  <c r="J1946" i="1"/>
  <c r="J1932" i="1"/>
  <c r="J1918" i="1"/>
  <c r="J1848" i="1"/>
  <c r="J1834" i="1"/>
  <c r="J1820" i="1"/>
  <c r="J1788" i="1"/>
  <c r="J1718" i="1"/>
  <c r="J1704" i="1"/>
  <c r="J1676" i="1"/>
  <c r="J1662" i="1"/>
  <c r="J1648" i="1"/>
  <c r="J1634" i="1"/>
  <c r="J1592" i="1"/>
  <c r="J1578" i="1"/>
  <c r="J1564" i="1"/>
  <c r="J1550" i="1"/>
  <c r="J1508" i="1"/>
  <c r="J1494" i="1"/>
  <c r="J1480" i="1"/>
  <c r="J1466" i="1"/>
  <c r="J1424" i="1"/>
  <c r="J1405" i="1"/>
  <c r="J1377" i="1"/>
  <c r="J1265" i="1"/>
  <c r="J1251" i="1"/>
  <c r="J1209" i="1"/>
  <c r="J1153" i="1"/>
  <c r="J1142" i="1"/>
  <c r="J1097" i="1"/>
  <c r="J1083" i="1"/>
  <c r="J1041" i="1"/>
  <c r="J1013" i="1"/>
  <c r="J971" i="1"/>
  <c r="J943" i="1"/>
  <c r="J929" i="1"/>
  <c r="J901" i="1"/>
  <c r="J887" i="1"/>
  <c r="J859" i="1"/>
  <c r="J778" i="1"/>
  <c r="J747" i="1"/>
  <c r="J733" i="1"/>
  <c r="J705" i="1"/>
  <c r="J691" i="1"/>
  <c r="J677" i="1"/>
  <c r="J663" i="1"/>
  <c r="J593" i="1"/>
  <c r="J579" i="1"/>
  <c r="J551" i="1"/>
  <c r="J537" i="1"/>
  <c r="J523" i="1"/>
  <c r="J495" i="1"/>
  <c r="J453" i="1"/>
  <c r="J439" i="1"/>
  <c r="J425" i="1"/>
  <c r="J355" i="1"/>
  <c r="J327" i="1"/>
  <c r="J313" i="1"/>
  <c r="J299" i="1"/>
  <c r="J285" i="1"/>
  <c r="J271" i="1"/>
  <c r="J215" i="1"/>
  <c r="J201" i="1"/>
  <c r="J173" i="1"/>
  <c r="J145" i="1"/>
  <c r="J103" i="1"/>
  <c r="J89" i="1"/>
  <c r="J75" i="1"/>
  <c r="J33" i="1"/>
  <c r="J19" i="1"/>
  <c r="J2770" i="1"/>
  <c r="J2756" i="1"/>
  <c r="J2742" i="1"/>
  <c r="J2714" i="1"/>
  <c r="J2700" i="1"/>
  <c r="J2672" i="1"/>
  <c r="J2644" i="1"/>
  <c r="J2616" i="1"/>
  <c r="J2574" i="1"/>
  <c r="J2560" i="1"/>
  <c r="J2518" i="1"/>
  <c r="J2504" i="1"/>
  <c r="J2468" i="1"/>
  <c r="J2420" i="1"/>
  <c r="J2406" i="1"/>
  <c r="J2378" i="1"/>
  <c r="J2364" i="1"/>
  <c r="J2350" i="1"/>
  <c r="J2336" i="1"/>
  <c r="J2280" i="1"/>
  <c r="J2266" i="1"/>
  <c r="J2210" i="1"/>
  <c r="J2174" i="1"/>
  <c r="J2154" i="1"/>
  <c r="J2140" i="1"/>
  <c r="J2098" i="1"/>
  <c r="J2084" i="1"/>
  <c r="J2048" i="1"/>
  <c r="J1986" i="1"/>
  <c r="J1972" i="1"/>
  <c r="J1958" i="1"/>
  <c r="J1902" i="1"/>
  <c r="J1888" i="1"/>
  <c r="J1874" i="1"/>
  <c r="J1860" i="1"/>
  <c r="J1800" i="1"/>
  <c r="J1772" i="1"/>
  <c r="J1758" i="1"/>
  <c r="J1744" i="1"/>
  <c r="J1730" i="1"/>
  <c r="J1688" i="1"/>
  <c r="J1618" i="1"/>
  <c r="J1604" i="1"/>
  <c r="J1534" i="1"/>
  <c r="J1520" i="1"/>
  <c r="J1450" i="1"/>
  <c r="J1436" i="1"/>
  <c r="J1389" i="1"/>
  <c r="J1361" i="1"/>
  <c r="J1347" i="1"/>
  <c r="J1333" i="1"/>
  <c r="J1319" i="1"/>
  <c r="J1305" i="1"/>
  <c r="J1291" i="1"/>
  <c r="J1277" i="1"/>
  <c r="J1235" i="1"/>
  <c r="J1221" i="1"/>
  <c r="J1193" i="1"/>
  <c r="J1179" i="1"/>
  <c r="J1165" i="1"/>
  <c r="J1129" i="1"/>
  <c r="J1109" i="1"/>
  <c r="J1067" i="1"/>
  <c r="J1053" i="1"/>
  <c r="J1025" i="1"/>
  <c r="J997" i="1"/>
  <c r="J983" i="1"/>
  <c r="J955" i="1"/>
  <c r="J913" i="1"/>
  <c r="J871" i="1"/>
  <c r="J843" i="1"/>
  <c r="J829" i="1"/>
  <c r="J815" i="1"/>
  <c r="J801" i="1"/>
  <c r="J787" i="1"/>
  <c r="J765" i="1"/>
  <c r="J717" i="1"/>
  <c r="J647" i="1"/>
  <c r="J633" i="1"/>
  <c r="J619" i="1"/>
  <c r="J605" i="1"/>
  <c r="J563" i="1"/>
  <c r="J507" i="1"/>
  <c r="J479" i="1"/>
  <c r="J465" i="1"/>
  <c r="J409" i="1"/>
  <c r="J395" i="1"/>
  <c r="J381" i="1"/>
  <c r="J367" i="1"/>
  <c r="J339" i="1"/>
  <c r="J255" i="1"/>
  <c r="J241" i="1"/>
  <c r="J227" i="1"/>
  <c r="J185" i="1"/>
  <c r="J157" i="1"/>
  <c r="J129" i="1"/>
  <c r="J115" i="1"/>
  <c r="J59" i="1"/>
  <c r="J45" i="1"/>
  <c r="J3" i="1"/>
  <c r="J2823" i="1"/>
  <c r="J2785" i="1"/>
  <c r="J2729" i="1"/>
  <c r="J2687" i="1"/>
  <c r="J2659" i="1"/>
  <c r="J2631" i="1"/>
  <c r="J2603" i="1"/>
  <c r="J2589" i="1"/>
  <c r="J2547" i="1"/>
  <c r="J2533" i="1"/>
  <c r="J2491" i="1"/>
  <c r="J2480" i="1"/>
  <c r="J2449" i="1"/>
  <c r="J2435" i="1"/>
  <c r="J2393" i="1"/>
  <c r="J2323" i="1"/>
  <c r="J2309" i="1"/>
  <c r="J2295" i="1"/>
  <c r="J2253" i="1"/>
  <c r="J2239" i="1"/>
  <c r="J2225" i="1"/>
  <c r="J2197" i="1"/>
  <c r="J2186" i="1"/>
  <c r="J2127" i="1"/>
  <c r="J2113" i="1"/>
  <c r="J2071" i="1"/>
  <c r="J2060" i="1"/>
  <c r="J2029" i="1"/>
  <c r="J2015" i="1"/>
  <c r="J2001" i="1"/>
  <c r="J1945" i="1"/>
  <c r="J1931" i="1"/>
  <c r="J1917" i="1"/>
  <c r="J1847" i="1"/>
  <c r="J1833" i="1"/>
  <c r="J1819" i="1"/>
  <c r="J1787" i="1"/>
  <c r="J1717" i="1"/>
  <c r="J1703" i="1"/>
  <c r="J1675" i="1"/>
  <c r="J1661" i="1"/>
  <c r="J1647" i="1"/>
  <c r="J1633" i="1"/>
  <c r="J1591" i="1"/>
  <c r="J1577" i="1"/>
  <c r="J1563" i="1"/>
  <c r="J1549" i="1"/>
  <c r="J1507" i="1"/>
  <c r="J1493" i="1"/>
  <c r="J1479" i="1"/>
  <c r="J1465" i="1"/>
  <c r="J1423" i="1"/>
  <c r="J1404" i="1"/>
  <c r="J1376" i="1"/>
  <c r="J1264" i="1"/>
  <c r="J1250" i="1"/>
  <c r="J1208" i="1"/>
  <c r="J1152" i="1"/>
  <c r="J1141" i="1"/>
  <c r="J1096" i="1"/>
  <c r="J1082" i="1"/>
  <c r="J1040" i="1"/>
  <c r="J1012" i="1"/>
  <c r="J970" i="1"/>
  <c r="J942" i="1"/>
  <c r="J928" i="1"/>
  <c r="J900" i="1"/>
  <c r="J886" i="1"/>
  <c r="J858" i="1"/>
  <c r="J777" i="1"/>
  <c r="J746" i="1"/>
  <c r="J732" i="1"/>
  <c r="J704" i="1"/>
  <c r="J690" i="1"/>
  <c r="J676" i="1"/>
  <c r="J662" i="1"/>
  <c r="J592" i="1"/>
  <c r="J578" i="1"/>
  <c r="J550" i="1"/>
  <c r="J536" i="1"/>
  <c r="J522" i="1"/>
  <c r="J494" i="1"/>
  <c r="J452" i="1"/>
  <c r="J438" i="1"/>
  <c r="J424" i="1"/>
  <c r="J354" i="1"/>
  <c r="J326" i="1"/>
  <c r="J312" i="1"/>
  <c r="J298" i="1"/>
  <c r="J284" i="1"/>
  <c r="J270" i="1"/>
  <c r="J214" i="1"/>
  <c r="J200" i="1"/>
  <c r="J172" i="1"/>
  <c r="J144" i="1"/>
  <c r="J102" i="1"/>
  <c r="J88" i="1"/>
  <c r="J74" i="1"/>
  <c r="J32" i="1"/>
  <c r="J18" i="1"/>
  <c r="J1859" i="1"/>
  <c r="J618" i="1"/>
  <c r="J842" i="1"/>
  <c r="J870" i="1"/>
  <c r="J2014" i="1"/>
  <c r="J1548" i="1"/>
  <c r="J1506" i="1"/>
  <c r="J1464" i="1"/>
  <c r="J941" i="1"/>
  <c r="J2769" i="1"/>
  <c r="J2755" i="1"/>
  <c r="J2741" i="1"/>
  <c r="J2713" i="1"/>
  <c r="J2699" i="1"/>
  <c r="J2671" i="1"/>
  <c r="J2643" i="1"/>
  <c r="J2615" i="1"/>
  <c r="J2573" i="1"/>
  <c r="J2559" i="1"/>
  <c r="J2517" i="1"/>
  <c r="J2503" i="1"/>
  <c r="J2467" i="1"/>
  <c r="J2419" i="1"/>
  <c r="J2405" i="1"/>
  <c r="J2377" i="1"/>
  <c r="J2363" i="1"/>
  <c r="J2349" i="1"/>
  <c r="J2335" i="1"/>
  <c r="J2279" i="1"/>
  <c r="J2265" i="1"/>
  <c r="J2209" i="1"/>
  <c r="J2173" i="1"/>
  <c r="J2153" i="1"/>
  <c r="J2139" i="1"/>
  <c r="J2097" i="1"/>
  <c r="J2083" i="1"/>
  <c r="J2047" i="1"/>
  <c r="J1985" i="1"/>
  <c r="J1971" i="1"/>
  <c r="J1957" i="1"/>
  <c r="J1901" i="1"/>
  <c r="J1887" i="1"/>
  <c r="J1873" i="1"/>
  <c r="J1799" i="1"/>
  <c r="J1771" i="1"/>
  <c r="J1757" i="1"/>
  <c r="J1743" i="1"/>
  <c r="J1729" i="1"/>
  <c r="J1687" i="1"/>
  <c r="J1617" i="1"/>
  <c r="J1603" i="1"/>
  <c r="J1533" i="1"/>
  <c r="J1519" i="1"/>
  <c r="J1449" i="1"/>
  <c r="J1435" i="1"/>
  <c r="J1416" i="1"/>
  <c r="J1388" i="1"/>
  <c r="J1360" i="1"/>
  <c r="J1346" i="1"/>
  <c r="J1332" i="1"/>
  <c r="J1318" i="1"/>
  <c r="J1304" i="1"/>
  <c r="J1290" i="1"/>
  <c r="J1276" i="1"/>
  <c r="J1234" i="1"/>
  <c r="J1220" i="1"/>
  <c r="J1192" i="1"/>
  <c r="J1178" i="1"/>
  <c r="J1164" i="1"/>
  <c r="J1128" i="1"/>
  <c r="J1108" i="1"/>
  <c r="J1066" i="1"/>
  <c r="J1052" i="1"/>
  <c r="J1024" i="1"/>
  <c r="J996" i="1"/>
  <c r="J982" i="1"/>
  <c r="J954" i="1"/>
  <c r="J912" i="1"/>
  <c r="J828" i="1"/>
  <c r="J814" i="1"/>
  <c r="J800" i="1"/>
  <c r="J786" i="1"/>
  <c r="J764" i="1"/>
  <c r="J716" i="1"/>
  <c r="J646" i="1"/>
  <c r="J632" i="1"/>
  <c r="J604" i="1"/>
  <c r="J562" i="1"/>
  <c r="J506" i="1"/>
  <c r="J478" i="1"/>
  <c r="J464" i="1"/>
  <c r="J408" i="1"/>
  <c r="J394" i="1"/>
  <c r="J380" i="1"/>
  <c r="J366" i="1"/>
  <c r="J338" i="1"/>
  <c r="J254" i="1"/>
  <c r="J240" i="1"/>
  <c r="J226" i="1"/>
  <c r="J184" i="1"/>
  <c r="J156" i="1"/>
  <c r="J128" i="1"/>
  <c r="J114" i="1"/>
  <c r="J58" i="1"/>
  <c r="J44" i="1"/>
  <c r="J2" i="1"/>
  <c r="J2822" i="1"/>
  <c r="J2784" i="1"/>
  <c r="J2728" i="1"/>
  <c r="J2686" i="1"/>
  <c r="J2658" i="1"/>
  <c r="J2630" i="1"/>
  <c r="J2602" i="1"/>
  <c r="J2588" i="1"/>
  <c r="J2546" i="1"/>
  <c r="J2532" i="1"/>
  <c r="J2490" i="1"/>
  <c r="J2479" i="1"/>
  <c r="J2448" i="1"/>
  <c r="J2434" i="1"/>
  <c r="J2392" i="1"/>
  <c r="J2322" i="1"/>
  <c r="J2308" i="1"/>
  <c r="J2294" i="1"/>
  <c r="J2252" i="1"/>
  <c r="J2238" i="1"/>
  <c r="J2224" i="1"/>
  <c r="J2196" i="1"/>
  <c r="J2185" i="1"/>
  <c r="J2126" i="1"/>
  <c r="J2112" i="1"/>
  <c r="J2070" i="1"/>
  <c r="J2059" i="1"/>
  <c r="J2028" i="1"/>
  <c r="J2000" i="1"/>
  <c r="J1944" i="1"/>
  <c r="J1930" i="1"/>
  <c r="J1916" i="1"/>
  <c r="J1846" i="1"/>
  <c r="J1832" i="1"/>
  <c r="J1818" i="1"/>
  <c r="J1786" i="1"/>
  <c r="J1716" i="1"/>
  <c r="J1702" i="1"/>
  <c r="J1674" i="1"/>
  <c r="J1660" i="1"/>
  <c r="J1646" i="1"/>
  <c r="J1632" i="1"/>
  <c r="J1590" i="1"/>
  <c r="J1576" i="1"/>
  <c r="J1562" i="1"/>
  <c r="J1492" i="1"/>
  <c r="J1478" i="1"/>
  <c r="J1422" i="1"/>
  <c r="J1403" i="1"/>
  <c r="J1375" i="1"/>
  <c r="J1263" i="1"/>
  <c r="J1249" i="1"/>
  <c r="J1207" i="1"/>
  <c r="J1151" i="1"/>
  <c r="J1140" i="1"/>
  <c r="J1095" i="1"/>
  <c r="J1081" i="1"/>
  <c r="J1039" i="1"/>
  <c r="J1011" i="1"/>
  <c r="J969" i="1"/>
  <c r="J927" i="1"/>
  <c r="J899" i="1"/>
  <c r="J885" i="1"/>
  <c r="J857" i="1"/>
  <c r="J776" i="1"/>
  <c r="J745" i="1"/>
  <c r="J731" i="1"/>
  <c r="J703" i="1"/>
  <c r="J689" i="1"/>
  <c r="J675" i="1"/>
  <c r="J661" i="1"/>
  <c r="J591" i="1"/>
  <c r="J577" i="1"/>
  <c r="J549" i="1"/>
  <c r="J535" i="1"/>
  <c r="J521" i="1"/>
  <c r="J493" i="1"/>
  <c r="J451" i="1"/>
  <c r="J437" i="1"/>
  <c r="J423" i="1"/>
  <c r="J353" i="1"/>
  <c r="J325" i="1"/>
  <c r="J311" i="1"/>
  <c r="J297" i="1"/>
  <c r="J283" i="1"/>
  <c r="J269" i="1"/>
  <c r="J213" i="1"/>
  <c r="J199" i="1"/>
  <c r="J171" i="1"/>
  <c r="J143" i="1"/>
  <c r="J101" i="1"/>
  <c r="J87" i="1"/>
  <c r="J73" i="1"/>
  <c r="J31" i="1"/>
  <c r="J17" i="1"/>
</calcChain>
</file>

<file path=xl/sharedStrings.xml><?xml version="1.0" encoding="utf-8"?>
<sst xmlns="http://schemas.openxmlformats.org/spreadsheetml/2006/main" count="31487" uniqueCount="404">
  <si>
    <t>timestamp</t>
  </si>
  <si>
    <t>model_type</t>
  </si>
  <si>
    <t>classes</t>
  </si>
  <si>
    <t>filename</t>
  </si>
  <si>
    <t>tray</t>
  </si>
  <si>
    <t>percent_hyphae</t>
  </si>
  <si>
    <t>percent_conidiophores</t>
  </si>
  <si>
    <t>percent_infected</t>
  </si>
  <si>
    <t>percent_healthy</t>
  </si>
  <si>
    <t>up_th</t>
  </si>
  <si>
    <t>down_th</t>
  </si>
  <si>
    <t>sal_threshold</t>
  </si>
  <si>
    <t>clear_patches</t>
  </si>
  <si>
    <t>hyphal_patches</t>
  </si>
  <si>
    <t>conidiophore_patches</t>
  </si>
  <si>
    <t>severity_rate_patch</t>
  </si>
  <si>
    <t>time_elapsed</t>
  </si>
  <si>
    <t>Gradient_sr2</t>
  </si>
  <si>
    <t>Gradient-SG_sr2</t>
  </si>
  <si>
    <t>-</t>
  </si>
  <si>
    <t>human</t>
  </si>
  <si>
    <t>001-W2021006-099_R2</t>
  </si>
  <si>
    <t>BR</t>
  </si>
  <si>
    <t>002-W2021006-081_R1</t>
  </si>
  <si>
    <t>002-W2021010-336_R2</t>
  </si>
  <si>
    <t>003-W2021006-150_R1</t>
  </si>
  <si>
    <t>004-NUGGET_R2</t>
  </si>
  <si>
    <t>005-W2021011-592_R2</t>
  </si>
  <si>
    <t>009-W2021010-311_R2</t>
  </si>
  <si>
    <t>010-W2021010-347_R2</t>
  </si>
  <si>
    <t>012-W2021011-458_R2</t>
  </si>
  <si>
    <t>013-W2021009-172_R1</t>
  </si>
  <si>
    <t>013-W2021009-172_R2</t>
  </si>
  <si>
    <t>013-W2021011-633_R2</t>
  </si>
  <si>
    <t>015-W2021009-160_R1</t>
  </si>
  <si>
    <t>015-W2021010-355_R2</t>
  </si>
  <si>
    <t>015-W2021011-633_R1</t>
  </si>
  <si>
    <t>017-W2021006-612_R2</t>
  </si>
  <si>
    <t>017-W2021010-405_R2</t>
  </si>
  <si>
    <t>018-W2021010-405_R1</t>
  </si>
  <si>
    <t>018-W2021010-405_R2</t>
  </si>
  <si>
    <t>019-W2021010-428_R2</t>
  </si>
  <si>
    <t>021-W2021009-175_R1</t>
  </si>
  <si>
    <t>022-W2021009-198_R2</t>
  </si>
  <si>
    <t>023-W2021006-049_R1</t>
  </si>
  <si>
    <t>023-W2021010-305_R2</t>
  </si>
  <si>
    <t>025-W2021009-622_R1</t>
  </si>
  <si>
    <t>026-W2021009-622_R2</t>
  </si>
  <si>
    <t>026-W2021010-346_R2</t>
  </si>
  <si>
    <t>027-W2021009-622_R2</t>
  </si>
  <si>
    <t>028-W2021010-354_R2</t>
  </si>
  <si>
    <t>029-W2021010-354_R1</t>
  </si>
  <si>
    <t>032-W2021006-041_R2</t>
  </si>
  <si>
    <t>032-W2021009-155_R1</t>
  </si>
  <si>
    <t>036-W2021006-047_R2</t>
  </si>
  <si>
    <t>037-W2021009-198_R2</t>
  </si>
  <si>
    <t>037-W2021009-277_R1</t>
  </si>
  <si>
    <t>040-W2021009-207_R1</t>
  </si>
  <si>
    <t>042-W2021006-015_R1</t>
  </si>
  <si>
    <t>042-W2021010-429_R1</t>
  </si>
  <si>
    <t>044-W2021009-169_R2</t>
  </si>
  <si>
    <t>044-W2021009-618_R1</t>
  </si>
  <si>
    <t>046-W2021009-208_R2</t>
  </si>
  <si>
    <t>047-W2021011-482_R1</t>
  </si>
  <si>
    <t>048-W2021006-147_R1</t>
  </si>
  <si>
    <t>049-W2021011-583_R1</t>
  </si>
  <si>
    <t>051-W2021010-443_R1</t>
  </si>
  <si>
    <t>051-W2021011-583_R1</t>
  </si>
  <si>
    <t>051-W2021011-583_R2</t>
  </si>
  <si>
    <t>052-W2021006-004_R2</t>
  </si>
  <si>
    <t>055-W2021010-341_R2</t>
  </si>
  <si>
    <t>055-W2021010-397_R2</t>
  </si>
  <si>
    <t>056-W2021006-609_R1</t>
  </si>
  <si>
    <t>057-W2021011-504_R2</t>
  </si>
  <si>
    <t>059-W2021010-434_R1</t>
  </si>
  <si>
    <t>060-W2021010-324_R2</t>
  </si>
  <si>
    <t>062-W2021010-432_R2</t>
  </si>
  <si>
    <t>062-W2021011-483_R2</t>
  </si>
  <si>
    <t>063-W2021011-594_R1</t>
  </si>
  <si>
    <t>068-W2021011-574_R2</t>
  </si>
  <si>
    <t>069-W2021011-574_R1</t>
  </si>
  <si>
    <t>070-W2021011-486_R2</t>
  </si>
  <si>
    <t>071-W2021006-142_R1</t>
  </si>
  <si>
    <t>071-W2021010-323_R1</t>
  </si>
  <si>
    <t>077-W2021010-351_R2</t>
  </si>
  <si>
    <t>080-W2021011-586_R2</t>
  </si>
  <si>
    <t>084-W2021010-319_R1</t>
  </si>
  <si>
    <t>085-W2021010-630_R1</t>
  </si>
  <si>
    <t>088-W2021009-288_R2</t>
  </si>
  <si>
    <t>091-W2021006-056_R2</t>
  </si>
  <si>
    <t>091-W2021010-394_R2</t>
  </si>
  <si>
    <t>092-W2021010-394_R1</t>
  </si>
  <si>
    <t>094-W2021010-315_R2</t>
  </si>
  <si>
    <t>095-W2021009-283_R1</t>
  </si>
  <si>
    <t>095-W2021011-553_R2</t>
  </si>
  <si>
    <t>097-W2021006-126_R2</t>
  </si>
  <si>
    <t>097-W2021006-611_R1</t>
  </si>
  <si>
    <t>097-W2021006-617_R2</t>
  </si>
  <si>
    <t>097-W2021009-163_R1</t>
  </si>
  <si>
    <t>098-W2021006-126_R1</t>
  </si>
  <si>
    <t>101-W2021011-565_R1</t>
  </si>
  <si>
    <t>102-W2021011-565_R2</t>
  </si>
  <si>
    <t>103-W2021011-591_R2</t>
  </si>
  <si>
    <t>105-W2021010-625_R1</t>
  </si>
  <si>
    <t>105-W2021011-558_R1</t>
  </si>
  <si>
    <t>108-W2021011-550_R2</t>
  </si>
  <si>
    <t>109-W2021006-102_R2</t>
  </si>
  <si>
    <t>110-W2021011-454_R2</t>
  </si>
  <si>
    <t>111-W2021011-588_R2</t>
  </si>
  <si>
    <t>112-W2021006-046_R1</t>
  </si>
  <si>
    <t>112-W2021011-554_R1</t>
  </si>
  <si>
    <t>115-W2021011-638_R1</t>
  </si>
  <si>
    <t>116-W2021011-504_R2</t>
  </si>
  <si>
    <t>117-W2021011-504_R1</t>
  </si>
  <si>
    <t>119-W2021009-171_R2</t>
  </si>
  <si>
    <t>119-W2021009-299_R2</t>
  </si>
  <si>
    <t>121-W2021009-185_R1</t>
  </si>
  <si>
    <t>122-W2021009-267_R2</t>
  </si>
  <si>
    <t>123-W2021009-255_R2</t>
  </si>
  <si>
    <t>123-W2021009-267_R1</t>
  </si>
  <si>
    <t>123-W2021009-621_R2</t>
  </si>
  <si>
    <t>124-W2021009-278_R1</t>
  </si>
  <si>
    <t>126-W2021009-278_R2</t>
  </si>
  <si>
    <t>127-W2021006-143_R2</t>
  </si>
  <si>
    <t>127-W2021009-292_R2</t>
  </si>
  <si>
    <t>128-W2021006-013_R1</t>
  </si>
  <si>
    <t>129-W2021006-119_R2</t>
  </si>
  <si>
    <t>131-W2021009-252_R2</t>
  </si>
  <si>
    <t>132-W2021009-252_R1</t>
  </si>
  <si>
    <t>132-W2021010-399_R1</t>
  </si>
  <si>
    <t>132-W2021011-644_R2</t>
  </si>
  <si>
    <t>134-W2021006-001_R1</t>
  </si>
  <si>
    <t>134-W2021009-275_R1</t>
  </si>
  <si>
    <t>135-W2021011-581_R1</t>
  </si>
  <si>
    <t>137-W2021006-128_R2</t>
  </si>
  <si>
    <t>137-W2021010-342_R2</t>
  </si>
  <si>
    <t>138-W2021010-446_R1</t>
  </si>
  <si>
    <t>141-W2021009-274_R1</t>
  </si>
  <si>
    <t>143-W2021010-313_R2</t>
  </si>
  <si>
    <t>146-W2021006-613_R1</t>
  </si>
  <si>
    <t>148-W2021011-462_R2</t>
  </si>
  <si>
    <t>149-W2021010-417_R1</t>
  </si>
  <si>
    <t>149-W2021011-462_R1</t>
  </si>
  <si>
    <t>151-W2021011-479_R2</t>
  </si>
  <si>
    <t>152-W2021010-301_R2</t>
  </si>
  <si>
    <t>152-W2021011-479_R1</t>
  </si>
  <si>
    <t>154-W2021010-419_R1</t>
  </si>
  <si>
    <t>154-W2021010-419_R2</t>
  </si>
  <si>
    <t>155-W2021011-639_R1</t>
  </si>
  <si>
    <t>156-W2021009-276_R2</t>
  </si>
  <si>
    <t>158-W2021006-114_R1</t>
  </si>
  <si>
    <t>162-W2021011-551_R2</t>
  </si>
  <si>
    <t>166-W2021006-123_R1</t>
  </si>
  <si>
    <t>166-W2021006-146_R1</t>
  </si>
  <si>
    <t>166-W2021006-146_R2</t>
  </si>
  <si>
    <t>167-W2021006-003_R2</t>
  </si>
  <si>
    <t>169-W2021009-623_R2</t>
  </si>
  <si>
    <t>169-W2021011-477_R1</t>
  </si>
  <si>
    <t>171-W2021011-584_R1</t>
  </si>
  <si>
    <t>171-W2021011-584_R2</t>
  </si>
  <si>
    <t>172-W2021009-156_R2</t>
  </si>
  <si>
    <t>172-W2021011-557_R2</t>
  </si>
  <si>
    <t>173-W2021006-127_R2</t>
  </si>
  <si>
    <t>174-W2021009-156_R2</t>
  </si>
  <si>
    <t>177-W2021009-194_R1</t>
  </si>
  <si>
    <t>177-W2021009-194_R2</t>
  </si>
  <si>
    <t>177-W2021009-256_R1</t>
  </si>
  <si>
    <t>180-W2021009-152_R1</t>
  </si>
  <si>
    <t>180-W2021011-476_R2</t>
  </si>
  <si>
    <t>181-W2021009-251_R2</t>
  </si>
  <si>
    <t>181-W2021009-295_R2</t>
  </si>
  <si>
    <t>183-W2021009-295_R1</t>
  </si>
  <si>
    <t>184-W2021009-199_R1</t>
  </si>
  <si>
    <t>185-W2021009-199_R1</t>
  </si>
  <si>
    <t>185-W2021009-291_R2</t>
  </si>
  <si>
    <t>187-W2021010-348_R2</t>
  </si>
  <si>
    <t>189-W2021009-257_R2</t>
  </si>
  <si>
    <t>190-W2021010-449_R1</t>
  </si>
  <si>
    <t>191-W2021010-426_R2</t>
  </si>
  <si>
    <t>191-W2021010-449_R1</t>
  </si>
  <si>
    <t>192-W2021006-005_R1</t>
  </si>
  <si>
    <t>192-W2021010-449_R2</t>
  </si>
  <si>
    <t>193-W2021010-415_R1</t>
  </si>
  <si>
    <t>194-W2021010-339_R2</t>
  </si>
  <si>
    <t>206-W2021009-271_R2</t>
  </si>
  <si>
    <t>206-W2021010-344_R1</t>
  </si>
  <si>
    <t>207-W2021009-271_R1</t>
  </si>
  <si>
    <t>207-W2021009-287_R1</t>
  </si>
  <si>
    <t>207-W2021009-287_R2</t>
  </si>
  <si>
    <t>208-W2021009-268_R2</t>
  </si>
  <si>
    <t>211-W2021011-598_R2</t>
  </si>
  <si>
    <t>214-W2021006-045_R2</t>
  </si>
  <si>
    <t>215-W2021006-045_R1</t>
  </si>
  <si>
    <t>215-W2021006-045_R2</t>
  </si>
  <si>
    <t>223-W2021010-442_R2</t>
  </si>
  <si>
    <t>225-W2021010-327_R2</t>
  </si>
  <si>
    <t>226-W2021009-177_R1</t>
  </si>
  <si>
    <t>226-W2021010-435_R1</t>
  </si>
  <si>
    <t>230-W2021010-373_R2</t>
  </si>
  <si>
    <t>233-W2021006-607_R1</t>
  </si>
  <si>
    <t>233-W2021009-215_R2</t>
  </si>
  <si>
    <t>238-W2021009-192_R1</t>
  </si>
  <si>
    <t>240-Symphony_R2</t>
  </si>
  <si>
    <t>242-W2021006-132_R2</t>
  </si>
  <si>
    <t>254-W2021010-352_R2</t>
  </si>
  <si>
    <t>262-W2021009-187_R2</t>
  </si>
  <si>
    <t>264-W2021009-187_R1</t>
  </si>
  <si>
    <t>266-W2021009-193_R1</t>
  </si>
  <si>
    <t>285-W2021006-040_R2</t>
  </si>
  <si>
    <t>293-W2021006-054_R1</t>
  </si>
  <si>
    <t>311-W2021010-326_R2</t>
  </si>
  <si>
    <t>313-W2021010-343_R1</t>
  </si>
  <si>
    <t>336-W2021011-506_R2</t>
  </si>
  <si>
    <t>Aug31_03-06-57_2023</t>
  </si>
  <si>
    <t>2m 11s</t>
  </si>
  <si>
    <t>May10_16-42-59_2021</t>
  </si>
  <si>
    <t>1m 7s</t>
  </si>
  <si>
    <t>May11_00-29-56_2021</t>
  </si>
  <si>
    <t>1m 13s</t>
  </si>
  <si>
    <t>Jan25_15-51-04_2024</t>
  </si>
  <si>
    <t>1m 14s</t>
  </si>
  <si>
    <t>Jan29_16-28-38_2024</t>
  </si>
  <si>
    <t>1m 17s</t>
  </si>
  <si>
    <t>2m 8s</t>
  </si>
  <si>
    <t>1m 8s</t>
  </si>
  <si>
    <t>1m 12s</t>
  </si>
  <si>
    <t>1m 11s</t>
  </si>
  <si>
    <t>1m 9s</t>
  </si>
  <si>
    <t>1m 20s</t>
  </si>
  <si>
    <t>1m 16s</t>
  </si>
  <si>
    <t>2m 23s</t>
  </si>
  <si>
    <t>1m 10s</t>
  </si>
  <si>
    <t>1m 18s</t>
  </si>
  <si>
    <t>1m 34s</t>
  </si>
  <si>
    <t>2m 16s</t>
  </si>
  <si>
    <t>1m 15s</t>
  </si>
  <si>
    <t>2m 10s</t>
  </si>
  <si>
    <t>1m 21s</t>
  </si>
  <si>
    <t>2m 7s</t>
  </si>
  <si>
    <t>1m 24s</t>
  </si>
  <si>
    <t>2m 9s</t>
  </si>
  <si>
    <t>1m 25s</t>
  </si>
  <si>
    <t>1m 30s</t>
  </si>
  <si>
    <t>1m 6s</t>
  </si>
  <si>
    <t>1m 37s</t>
  </si>
  <si>
    <t>2m 15s</t>
  </si>
  <si>
    <t>2m 2s</t>
  </si>
  <si>
    <t>1m 2s</t>
  </si>
  <si>
    <t>2m 6s</t>
  </si>
  <si>
    <t>1m 44s</t>
  </si>
  <si>
    <t>1m 29s</t>
  </si>
  <si>
    <t>1m 38s</t>
  </si>
  <si>
    <t>1m 41s</t>
  </si>
  <si>
    <t>2m 13s</t>
  </si>
  <si>
    <t>1m 19s</t>
  </si>
  <si>
    <t>2m 14s</t>
  </si>
  <si>
    <t>2m 1s</t>
  </si>
  <si>
    <t>1m 5s</t>
  </si>
  <si>
    <t>1m 57s</t>
  </si>
  <si>
    <t>1m 47s</t>
  </si>
  <si>
    <t>2m 4s</t>
  </si>
  <si>
    <t>1m 59s</t>
  </si>
  <si>
    <t>1m 26s</t>
  </si>
  <si>
    <t>1m 33s</t>
  </si>
  <si>
    <t>1m 49s</t>
  </si>
  <si>
    <t>2m 5s</t>
  </si>
  <si>
    <t>NA</t>
  </si>
  <si>
    <t>1m 22s</t>
  </si>
  <si>
    <t>1m 53s</t>
  </si>
  <si>
    <t>0m 56s</t>
  </si>
  <si>
    <t>1m 32s</t>
  </si>
  <si>
    <t>1m 48s</t>
  </si>
  <si>
    <t>1m 40s</t>
  </si>
  <si>
    <t>1m 28s</t>
  </si>
  <si>
    <t>1m 42s</t>
  </si>
  <si>
    <t>1m 52s</t>
  </si>
  <si>
    <t>1m 50s</t>
  </si>
  <si>
    <t>1m 46s</t>
  </si>
  <si>
    <t>1m 43s</t>
  </si>
  <si>
    <t>2m 0s</t>
  </si>
  <si>
    <t>1m 3s</t>
  </si>
  <si>
    <t>1m 27s</t>
  </si>
  <si>
    <t>1m 35s</t>
  </si>
  <si>
    <t>1m 31s</t>
  </si>
  <si>
    <t>2m 3s</t>
  </si>
  <si>
    <t>1m 56s</t>
  </si>
  <si>
    <t>1m 1s</t>
  </si>
  <si>
    <t>2m 17s</t>
  </si>
  <si>
    <t>2m 18s</t>
  </si>
  <si>
    <t>2m 12s</t>
  </si>
  <si>
    <t>1m 4s</t>
  </si>
  <si>
    <t>0m 43s</t>
  </si>
  <si>
    <t>1m 23s</t>
  </si>
  <si>
    <t>1m 36s</t>
  </si>
  <si>
    <t>155-W2021010-419_R1</t>
  </si>
  <si>
    <t>0m 33s</t>
  </si>
  <si>
    <t>2m 19s</t>
  </si>
  <si>
    <t>1m 39s</t>
  </si>
  <si>
    <t>0m 52s</t>
  </si>
  <si>
    <t>319-W2021010-332_R1</t>
  </si>
  <si>
    <t>331-W2021011-485_R2</t>
  </si>
  <si>
    <t>333-W2021011-485_R1</t>
  </si>
  <si>
    <t>342-W2021010-346_R2</t>
  </si>
  <si>
    <t>347-W2021009-208_R1</t>
  </si>
  <si>
    <t>identifier</t>
  </si>
  <si>
    <t xml:space="preserve">CC </t>
  </si>
  <si>
    <t>TB</t>
  </si>
  <si>
    <t>DG</t>
  </si>
  <si>
    <t>MW</t>
  </si>
  <si>
    <t>computer_vision</t>
  </si>
  <si>
    <t>061-W2021011-483_R1_10dpi</t>
  </si>
  <si>
    <t>061-W2021011-483_R1_5dpi</t>
  </si>
  <si>
    <t>099-W2021006-611_R2_10dpi</t>
  </si>
  <si>
    <t>099-W2021006-611_R2_5dpi</t>
  </si>
  <si>
    <t>176-W2021009-256_R2_10dpi</t>
  </si>
  <si>
    <t>176-W2021009-256_R2_5dpi</t>
  </si>
  <si>
    <t>182-W2021009-251_R1_10dpi</t>
  </si>
  <si>
    <t>182-W2021009-251_R1_5dpi</t>
  </si>
  <si>
    <t>209-W2021010-439_R2_10dpi</t>
  </si>
  <si>
    <t>209-W2021010-439_R2_5dpi</t>
  </si>
  <si>
    <t>NW</t>
  </si>
  <si>
    <t>.</t>
  </si>
  <si>
    <t>Feb01_00-00-41_2024</t>
  </si>
  <si>
    <t>061-W2021011-483_R1</t>
  </si>
  <si>
    <t>099-W2021006-611_R2</t>
  </si>
  <si>
    <t>176-W2021009-256_R2</t>
  </si>
  <si>
    <t>182-W2021009-251_R1</t>
  </si>
  <si>
    <t>209-W2021010-439_R2</t>
  </si>
  <si>
    <t>discarded_patches</t>
  </si>
  <si>
    <t>2m 34s</t>
  </si>
  <si>
    <t>2m 21s</t>
  </si>
  <si>
    <t>2m 44s</t>
  </si>
  <si>
    <t>2m 27s</t>
  </si>
  <si>
    <t>2m 28s</t>
  </si>
  <si>
    <t>2m 41s</t>
  </si>
  <si>
    <t>2m 43s</t>
  </si>
  <si>
    <t>2m 40s</t>
  </si>
  <si>
    <t>2m 31s</t>
  </si>
  <si>
    <t>2m 30s</t>
  </si>
  <si>
    <t>2m 22s</t>
  </si>
  <si>
    <t>2m 29s</t>
  </si>
  <si>
    <t>2m 24s</t>
  </si>
  <si>
    <t>2m 26s</t>
  </si>
  <si>
    <t>2m 25s</t>
  </si>
  <si>
    <t>2m 35s</t>
  </si>
  <si>
    <t>2m 20s</t>
  </si>
  <si>
    <t>1m 45s</t>
  </si>
  <si>
    <t>1m 58s</t>
  </si>
  <si>
    <t>2m 39s</t>
  </si>
  <si>
    <t>2m 50s</t>
  </si>
  <si>
    <t>2m 46s</t>
  </si>
  <si>
    <t>2m 45s</t>
  </si>
  <si>
    <t>2m 36s</t>
  </si>
  <si>
    <t>2m 32s</t>
  </si>
  <si>
    <t>2m 37s</t>
  </si>
  <si>
    <t>2m 33s</t>
  </si>
  <si>
    <t>2m 48s</t>
  </si>
  <si>
    <t>2m 58s</t>
  </si>
  <si>
    <t>2m 38s</t>
  </si>
  <si>
    <t>1m 51s</t>
  </si>
  <si>
    <t>2m 51s</t>
  </si>
  <si>
    <t>2m 49s</t>
  </si>
  <si>
    <t>2m 52s</t>
  </si>
  <si>
    <t>2m 42s</t>
  </si>
  <si>
    <t>2m 56s</t>
  </si>
  <si>
    <t>2m 47s</t>
  </si>
  <si>
    <t>3m 0s</t>
  </si>
  <si>
    <t>1m 55s</t>
  </si>
  <si>
    <t>Feb03_04-58-39_2024</t>
  </si>
  <si>
    <t>1m 54s</t>
  </si>
  <si>
    <t>Feb03_16-24-20_2024</t>
  </si>
  <si>
    <t>0m 23s</t>
  </si>
  <si>
    <t>Jan22_10-21-00_2026</t>
  </si>
  <si>
    <t>5dpi</t>
  </si>
  <si>
    <t>0m 22s</t>
  </si>
  <si>
    <t>0m 26s</t>
  </si>
  <si>
    <t>0m 25s</t>
  </si>
  <si>
    <t>0m 24s</t>
  </si>
  <si>
    <t>0m 34s</t>
  </si>
  <si>
    <t>0m 30s</t>
  </si>
  <si>
    <t>0m 27s</t>
  </si>
  <si>
    <t>0m 21s</t>
  </si>
  <si>
    <t>0m 29s</t>
  </si>
  <si>
    <t>0m 28s</t>
  </si>
  <si>
    <t>0m 31s</t>
  </si>
  <si>
    <t>0m 37s</t>
  </si>
  <si>
    <t>0m 38s</t>
  </si>
  <si>
    <t>0m 36s</t>
  </si>
  <si>
    <t>10dpi</t>
  </si>
  <si>
    <t>0m 39s</t>
  </si>
  <si>
    <t>0m 32s</t>
  </si>
  <si>
    <t>0m 42s</t>
  </si>
  <si>
    <t>0m 35s</t>
  </si>
  <si>
    <t>0m 41s</t>
  </si>
  <si>
    <t>0m 40s</t>
  </si>
  <si>
    <t>0m 47s</t>
  </si>
  <si>
    <t>0m 49s</t>
  </si>
  <si>
    <t>0m 46s</t>
  </si>
  <si>
    <t>0m 48s</t>
  </si>
  <si>
    <t>0m 45s</t>
  </si>
  <si>
    <t>0m 44s</t>
  </si>
  <si>
    <t>GradCAM_sr2</t>
  </si>
  <si>
    <t>inf_gate</t>
  </si>
  <si>
    <t>spor_th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</si>
</sst>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76"/>
  <sheetViews>
    <sheetView tabSelected="1" zoomScale="85" zoomScaleNormal="85" workbookViewId="0">
      <pane ySplit="5" topLeftCell="A11" activePane="bottomLeft" state="frozen"/>
      <selection pane="bottomLeft" activeCell="I17" sqref="I17"/>
    </sheetView>
  </sheetViews>
  <sheetFormatPr defaultColWidth="8.85546875" defaultRowHeight="15" customHeight="1" x14ac:dyDescent="0.25"/>
  <cols>
    <col min="1" max="1" width="17.7109375" bestFit="1" customWidth="1"/>
    <col min="2" max="2" width="17.140625" bestFit="1" customWidth="1"/>
    <col min="3" max="3" width="24.42578125" bestFit="1" customWidth="1"/>
    <col min="4" max="4" width="9.140625" customWidth="1"/>
    <col min="5" max="5" width="28.42578125" bestFit="1" customWidth="1"/>
    <col min="6" max="6" width="9.140625" customWidth="1"/>
    <col min="7" max="7" width="20.42578125" bestFit="1" customWidth="1"/>
    <col min="8" max="9" width="22" customWidth="1"/>
    <col min="10" max="10" width="15.7109375" customWidth="1"/>
    <col min="11" max="16" width="9.140625" customWidth="1"/>
    <col min="17" max="17" width="23.42578125" bestFit="1" customWidth="1"/>
    <col min="18" max="18" width="13" customWidth="1"/>
    <col min="19" max="19" width="16.85546875" bestFit="1" customWidth="1"/>
    <col min="20" max="20" width="15.7109375" customWidth="1"/>
  </cols>
  <sheetData>
    <row r="1" spans="1:24" x14ac:dyDescent="0.25">
      <c r="A1" t="s">
        <v>0</v>
      </c>
      <c r="B1" t="s">
        <v>1</v>
      </c>
      <c r="C1" t="s">
        <v>304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328</v>
      </c>
      <c r="V1" t="s">
        <v>401</v>
      </c>
      <c r="W1" t="s">
        <v>402</v>
      </c>
      <c r="X1" t="s">
        <v>403</v>
      </c>
    </row>
    <row r="2" spans="1:24" x14ac:dyDescent="0.25">
      <c r="A2" t="s">
        <v>19</v>
      </c>
      <c r="B2" t="s">
        <v>20</v>
      </c>
      <c r="C2" t="s">
        <v>308</v>
      </c>
      <c r="D2">
        <v>3</v>
      </c>
      <c r="E2" t="s">
        <v>21</v>
      </c>
      <c r="F2" t="s">
        <v>388</v>
      </c>
      <c r="G2">
        <v>0</v>
      </c>
      <c r="H2">
        <v>0</v>
      </c>
      <c r="I2">
        <f>G2+H2</f>
        <v>0</v>
      </c>
      <c r="J2">
        <f>100-G2-H2</f>
        <v>100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>
        <f>I2</f>
        <v>0</v>
      </c>
      <c r="R2" t="s">
        <v>19</v>
      </c>
      <c r="S2" t="s">
        <v>19</v>
      </c>
      <c r="T2" t="s">
        <v>19</v>
      </c>
    </row>
    <row r="3" spans="1:24" x14ac:dyDescent="0.25">
      <c r="A3" t="s">
        <v>19</v>
      </c>
      <c r="B3" t="s">
        <v>20</v>
      </c>
      <c r="C3" t="s">
        <v>22</v>
      </c>
      <c r="D3">
        <v>3</v>
      </c>
      <c r="E3" t="s">
        <v>21</v>
      </c>
      <c r="F3" t="s">
        <v>388</v>
      </c>
      <c r="G3">
        <v>0</v>
      </c>
      <c r="H3">
        <v>0</v>
      </c>
      <c r="I3">
        <f>G3+H3</f>
        <v>0</v>
      </c>
      <c r="J3">
        <f>100-G3-H3</f>
        <v>100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>
        <f>I3</f>
        <v>0</v>
      </c>
      <c r="R3" t="s">
        <v>19</v>
      </c>
      <c r="S3" t="s">
        <v>19</v>
      </c>
      <c r="T3" t="s">
        <v>19</v>
      </c>
    </row>
    <row r="4" spans="1:24" x14ac:dyDescent="0.25">
      <c r="A4" t="s">
        <v>19</v>
      </c>
      <c r="B4" t="s">
        <v>20</v>
      </c>
      <c r="C4" t="s">
        <v>305</v>
      </c>
      <c r="D4">
        <v>3</v>
      </c>
      <c r="E4" t="s">
        <v>21</v>
      </c>
      <c r="F4" t="s">
        <v>388</v>
      </c>
      <c r="G4">
        <v>0</v>
      </c>
      <c r="H4">
        <v>0</v>
      </c>
      <c r="I4">
        <f>G4+H4</f>
        <v>0</v>
      </c>
      <c r="J4">
        <f>100-G4-H4</f>
        <v>100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>
        <f>I4</f>
        <v>0</v>
      </c>
      <c r="R4" t="s">
        <v>19</v>
      </c>
      <c r="S4" t="s">
        <v>19</v>
      </c>
      <c r="T4" t="s">
        <v>19</v>
      </c>
    </row>
    <row r="5" spans="1:24" x14ac:dyDescent="0.25">
      <c r="A5" t="s">
        <v>19</v>
      </c>
      <c r="B5" t="s">
        <v>20</v>
      </c>
      <c r="C5" t="s">
        <v>307</v>
      </c>
      <c r="D5">
        <v>3</v>
      </c>
      <c r="E5" t="s">
        <v>21</v>
      </c>
      <c r="F5" t="s">
        <v>388</v>
      </c>
      <c r="G5">
        <v>0</v>
      </c>
      <c r="H5">
        <v>0</v>
      </c>
      <c r="I5">
        <f>G5+H5</f>
        <v>0</v>
      </c>
      <c r="J5">
        <f>100-G5-H5</f>
        <v>100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>
        <f>I5</f>
        <v>0</v>
      </c>
      <c r="R5" t="s">
        <v>19</v>
      </c>
      <c r="S5" t="s">
        <v>19</v>
      </c>
      <c r="T5" t="s">
        <v>19</v>
      </c>
    </row>
    <row r="6" spans="1:24" x14ac:dyDescent="0.25">
      <c r="A6" s="2">
        <v>45253.506249999999</v>
      </c>
      <c r="B6" t="s">
        <v>309</v>
      </c>
      <c r="C6" t="s">
        <v>213</v>
      </c>
      <c r="D6">
        <v>3</v>
      </c>
      <c r="E6" t="s">
        <v>21</v>
      </c>
      <c r="F6" t="s">
        <v>388</v>
      </c>
      <c r="G6">
        <v>0.30441400299999999</v>
      </c>
      <c r="H6">
        <v>3.9573820400000002</v>
      </c>
      <c r="I6">
        <v>4.2617960430000004</v>
      </c>
      <c r="J6">
        <v>95.738203960000007</v>
      </c>
      <c r="K6">
        <v>0.8</v>
      </c>
      <c r="L6">
        <v>0.2</v>
      </c>
      <c r="M6">
        <v>0.7</v>
      </c>
      <c r="N6">
        <v>629</v>
      </c>
      <c r="O6">
        <v>2</v>
      </c>
      <c r="P6">
        <v>26</v>
      </c>
      <c r="Q6">
        <v>4.26</v>
      </c>
      <c r="R6" t="s">
        <v>214</v>
      </c>
      <c r="S6">
        <v>2.66</v>
      </c>
      <c r="T6">
        <v>3.88</v>
      </c>
    </row>
    <row r="7" spans="1:24" x14ac:dyDescent="0.25">
      <c r="A7" s="2">
        <v>45253.81527777778</v>
      </c>
      <c r="B7" t="s">
        <v>309</v>
      </c>
      <c r="C7" t="s">
        <v>215</v>
      </c>
      <c r="D7">
        <v>2</v>
      </c>
      <c r="E7" t="s">
        <v>21</v>
      </c>
      <c r="F7" t="s">
        <v>388</v>
      </c>
      <c r="G7">
        <v>6.2121212119999996</v>
      </c>
      <c r="H7">
        <v>0</v>
      </c>
      <c r="I7">
        <v>6.2121212119999996</v>
      </c>
      <c r="J7">
        <v>93.787878789999994</v>
      </c>
      <c r="K7">
        <v>0.8</v>
      </c>
      <c r="L7">
        <v>0.2</v>
      </c>
      <c r="M7">
        <v>0.7</v>
      </c>
      <c r="N7">
        <v>619</v>
      </c>
      <c r="O7">
        <v>41</v>
      </c>
      <c r="P7">
        <v>0</v>
      </c>
      <c r="Q7">
        <v>6.21</v>
      </c>
      <c r="R7" t="s">
        <v>216</v>
      </c>
      <c r="S7">
        <v>0.2</v>
      </c>
      <c r="T7">
        <v>0.22</v>
      </c>
    </row>
    <row r="8" spans="1:24" x14ac:dyDescent="0.25">
      <c r="A8" s="2">
        <v>45253.980555555558</v>
      </c>
      <c r="B8" t="s">
        <v>309</v>
      </c>
      <c r="C8" t="s">
        <v>217</v>
      </c>
      <c r="D8">
        <v>2</v>
      </c>
      <c r="E8" t="s">
        <v>21</v>
      </c>
      <c r="F8" t="s">
        <v>388</v>
      </c>
      <c r="G8">
        <v>13.98865784</v>
      </c>
      <c r="H8">
        <v>0</v>
      </c>
      <c r="I8">
        <v>13.98865784</v>
      </c>
      <c r="J8">
        <v>86.011342159999998</v>
      </c>
      <c r="K8">
        <v>0.8</v>
      </c>
      <c r="L8">
        <v>0.2</v>
      </c>
      <c r="M8">
        <v>0.7</v>
      </c>
      <c r="N8">
        <v>455</v>
      </c>
      <c r="O8">
        <v>74</v>
      </c>
      <c r="P8">
        <v>0</v>
      </c>
      <c r="Q8">
        <v>13.99</v>
      </c>
      <c r="R8" t="s">
        <v>218</v>
      </c>
      <c r="S8">
        <v>0.48</v>
      </c>
      <c r="T8">
        <v>0.55000000000000004</v>
      </c>
    </row>
    <row r="9" spans="1:24" x14ac:dyDescent="0.25">
      <c r="A9" s="2">
        <v>45316.493055555555</v>
      </c>
      <c r="B9" t="s">
        <v>309</v>
      </c>
      <c r="C9" t="s">
        <v>219</v>
      </c>
      <c r="D9">
        <v>3</v>
      </c>
      <c r="E9" t="s">
        <v>21</v>
      </c>
      <c r="F9" t="s">
        <v>388</v>
      </c>
      <c r="G9">
        <v>0.30487804899999998</v>
      </c>
      <c r="H9">
        <v>0.76219512199999995</v>
      </c>
      <c r="I9">
        <v>1.0670731710000001</v>
      </c>
      <c r="J9">
        <v>98.93292683</v>
      </c>
      <c r="K9">
        <v>0.8</v>
      </c>
      <c r="L9">
        <v>0.2</v>
      </c>
      <c r="M9">
        <v>0.7</v>
      </c>
      <c r="N9">
        <v>649</v>
      </c>
      <c r="O9">
        <v>2</v>
      </c>
      <c r="P9">
        <v>5</v>
      </c>
      <c r="Q9">
        <v>1.07</v>
      </c>
      <c r="R9" t="s">
        <v>220</v>
      </c>
      <c r="S9">
        <v>3.16</v>
      </c>
      <c r="T9">
        <v>4.74</v>
      </c>
    </row>
    <row r="10" spans="1:24" x14ac:dyDescent="0.25">
      <c r="A10" s="2">
        <v>45320.821527777778</v>
      </c>
      <c r="B10" t="s">
        <v>309</v>
      </c>
      <c r="C10" t="s">
        <v>221</v>
      </c>
      <c r="D10">
        <v>2</v>
      </c>
      <c r="E10" t="s">
        <v>21</v>
      </c>
      <c r="F10" t="s">
        <v>388</v>
      </c>
      <c r="G10">
        <v>2.0408163269999999</v>
      </c>
      <c r="H10">
        <v>0</v>
      </c>
      <c r="I10">
        <v>2.0408163269999999</v>
      </c>
      <c r="J10">
        <v>97.959183670000002</v>
      </c>
      <c r="K10">
        <v>0.8</v>
      </c>
      <c r="L10">
        <v>0.3</v>
      </c>
      <c r="M10">
        <v>0.7</v>
      </c>
      <c r="N10">
        <v>624</v>
      </c>
      <c r="O10">
        <v>13</v>
      </c>
      <c r="P10">
        <v>0</v>
      </c>
      <c r="Q10">
        <v>2.04</v>
      </c>
      <c r="R10" t="s">
        <v>222</v>
      </c>
      <c r="S10">
        <v>0.09</v>
      </c>
      <c r="T10">
        <v>0.09</v>
      </c>
    </row>
    <row r="11" spans="1:24" x14ac:dyDescent="0.25">
      <c r="A11" t="s">
        <v>19</v>
      </c>
      <c r="B11" t="s">
        <v>20</v>
      </c>
      <c r="C11" t="s">
        <v>306</v>
      </c>
      <c r="D11">
        <v>3</v>
      </c>
      <c r="E11" t="s">
        <v>21</v>
      </c>
      <c r="F11" t="s">
        <v>388</v>
      </c>
      <c r="G11">
        <v>0</v>
      </c>
      <c r="H11">
        <v>0</v>
      </c>
      <c r="I11">
        <f>G11+H11</f>
        <v>0</v>
      </c>
      <c r="J11">
        <f>100-G11-H11</f>
        <v>100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>
        <f>I11</f>
        <v>0</v>
      </c>
      <c r="R11" t="s">
        <v>19</v>
      </c>
      <c r="S11" t="s">
        <v>19</v>
      </c>
      <c r="T11" t="s">
        <v>19</v>
      </c>
    </row>
    <row r="12" spans="1:24" x14ac:dyDescent="0.25">
      <c r="A12" t="s">
        <v>19</v>
      </c>
      <c r="B12" t="s">
        <v>20</v>
      </c>
      <c r="C12" t="s">
        <v>320</v>
      </c>
      <c r="D12">
        <v>3</v>
      </c>
      <c r="E12" t="s">
        <v>21</v>
      </c>
      <c r="F12" t="s">
        <v>388</v>
      </c>
      <c r="G12">
        <v>0</v>
      </c>
      <c r="H12">
        <v>0</v>
      </c>
      <c r="I12">
        <f>100-J12</f>
        <v>0</v>
      </c>
      <c r="J12">
        <f>100-G12-H12</f>
        <v>100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>
        <f>I12</f>
        <v>0</v>
      </c>
      <c r="R12" t="s">
        <v>19</v>
      </c>
      <c r="S12" t="s">
        <v>19</v>
      </c>
      <c r="T12" t="s">
        <v>19</v>
      </c>
    </row>
    <row r="13" spans="1:24" x14ac:dyDescent="0.25">
      <c r="A13" s="2">
        <v>45323.50675925926</v>
      </c>
      <c r="B13" t="s">
        <v>309</v>
      </c>
      <c r="C13" t="s">
        <v>322</v>
      </c>
      <c r="D13">
        <v>3</v>
      </c>
      <c r="E13" t="s">
        <v>21</v>
      </c>
      <c r="F13" t="s">
        <v>388</v>
      </c>
      <c r="G13">
        <f>(O13/(N13+O13+P13))*100</f>
        <v>0.15455950540958269</v>
      </c>
      <c r="H13">
        <f>(P13/(O13+P13+N13))*100</f>
        <v>0</v>
      </c>
      <c r="I13">
        <f>((O13+P13)/(P13+O13+N13))*100</f>
        <v>0.15455950540958269</v>
      </c>
      <c r="J13">
        <f>(N13/(P13+O13+N13))*100</f>
        <v>99.84544049459042</v>
      </c>
      <c r="K13">
        <v>0.8</v>
      </c>
      <c r="L13">
        <v>0.3</v>
      </c>
      <c r="M13">
        <v>0.7</v>
      </c>
      <c r="N13">
        <v>646</v>
      </c>
      <c r="O13">
        <v>1</v>
      </c>
      <c r="P13">
        <v>0</v>
      </c>
      <c r="Q13">
        <v>0.15</v>
      </c>
      <c r="R13" t="s">
        <v>348</v>
      </c>
      <c r="S13">
        <v>2.5299999999999998</v>
      </c>
      <c r="T13">
        <v>3.53</v>
      </c>
      <c r="U13">
        <v>9</v>
      </c>
    </row>
    <row r="14" spans="1:24" x14ac:dyDescent="0.25">
      <c r="A14" s="2">
        <v>45323.50675925926</v>
      </c>
      <c r="B14" t="s">
        <v>309</v>
      </c>
      <c r="C14" t="s">
        <v>322</v>
      </c>
      <c r="D14">
        <v>3</v>
      </c>
      <c r="E14" t="s">
        <v>21</v>
      </c>
      <c r="F14" t="s">
        <v>388</v>
      </c>
      <c r="G14">
        <f>(O14/(N14+O14+P14))*100</f>
        <v>0.46224961479198773</v>
      </c>
      <c r="H14">
        <f>(P14/(O14+P14+N14))*100</f>
        <v>0</v>
      </c>
      <c r="I14">
        <v>0.46</v>
      </c>
      <c r="J14">
        <f>(N14/(P14+O14+N14))*100</f>
        <v>99.537750385208014</v>
      </c>
      <c r="K14">
        <v>0.7</v>
      </c>
      <c r="L14">
        <v>0.3</v>
      </c>
      <c r="M14">
        <v>0.7</v>
      </c>
      <c r="N14">
        <v>646</v>
      </c>
      <c r="O14">
        <v>3</v>
      </c>
      <c r="P14">
        <v>0</v>
      </c>
      <c r="Q14">
        <v>0.46</v>
      </c>
      <c r="R14" t="s">
        <v>332</v>
      </c>
      <c r="S14">
        <v>2.5299999999999998</v>
      </c>
      <c r="T14">
        <v>3.53</v>
      </c>
      <c r="U14">
        <v>7</v>
      </c>
    </row>
    <row r="15" spans="1:24" x14ac:dyDescent="0.25">
      <c r="A15" s="2">
        <v>45324.935659722221</v>
      </c>
      <c r="B15" t="s">
        <v>309</v>
      </c>
      <c r="C15" t="s">
        <v>368</v>
      </c>
      <c r="D15">
        <v>2</v>
      </c>
      <c r="E15" t="s">
        <v>21</v>
      </c>
      <c r="F15" t="s">
        <v>388</v>
      </c>
      <c r="G15">
        <f>(O15/(N15+O15+P15))*100</f>
        <v>0.46583850931677018</v>
      </c>
      <c r="H15">
        <f>(P15/(O15+P15+N15))*100</f>
        <v>0</v>
      </c>
      <c r="I15">
        <v>0.47</v>
      </c>
      <c r="J15">
        <f>(N15/(P15+O15+N15))*100</f>
        <v>99.534161490683232</v>
      </c>
      <c r="K15">
        <v>0.8</v>
      </c>
      <c r="L15">
        <v>0.3</v>
      </c>
      <c r="M15">
        <v>0.7</v>
      </c>
      <c r="N15">
        <v>641</v>
      </c>
      <c r="O15">
        <v>3</v>
      </c>
      <c r="P15">
        <v>0</v>
      </c>
      <c r="Q15">
        <v>0.47</v>
      </c>
      <c r="R15" t="s">
        <v>258</v>
      </c>
      <c r="S15">
        <v>0.03</v>
      </c>
      <c r="T15">
        <v>0.03</v>
      </c>
    </row>
    <row r="16" spans="1:24" x14ac:dyDescent="0.25">
      <c r="A16" t="s">
        <v>19</v>
      </c>
      <c r="B16" t="s">
        <v>20</v>
      </c>
      <c r="C16" t="s">
        <v>306</v>
      </c>
      <c r="D16">
        <v>3</v>
      </c>
      <c r="E16" t="s">
        <v>23</v>
      </c>
      <c r="F16" t="s">
        <v>373</v>
      </c>
      <c r="G16">
        <v>0</v>
      </c>
      <c r="H16">
        <v>0</v>
      </c>
      <c r="I16">
        <f>G16+H16</f>
        <v>0</v>
      </c>
      <c r="J16">
        <f>100-G16-H16</f>
        <v>100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>
        <f>I16</f>
        <v>0</v>
      </c>
      <c r="R16" t="s">
        <v>19</v>
      </c>
      <c r="S16" t="s">
        <v>19</v>
      </c>
      <c r="T16" t="s">
        <v>19</v>
      </c>
    </row>
    <row r="17" spans="1:21" x14ac:dyDescent="0.25">
      <c r="A17" t="s">
        <v>19</v>
      </c>
      <c r="B17" t="s">
        <v>20</v>
      </c>
      <c r="C17" t="s">
        <v>308</v>
      </c>
      <c r="D17">
        <v>3</v>
      </c>
      <c r="E17" t="s">
        <v>23</v>
      </c>
      <c r="F17" t="s">
        <v>373</v>
      </c>
      <c r="G17">
        <v>0</v>
      </c>
      <c r="H17">
        <v>0</v>
      </c>
      <c r="I17">
        <f>G17+H17</f>
        <v>0</v>
      </c>
      <c r="J17">
        <f>100-G17-H17</f>
        <v>100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>
        <f>I17</f>
        <v>0</v>
      </c>
      <c r="R17" t="s">
        <v>19</v>
      </c>
      <c r="S17" t="s">
        <v>19</v>
      </c>
      <c r="T17" t="s">
        <v>19</v>
      </c>
    </row>
    <row r="18" spans="1:21" x14ac:dyDescent="0.25">
      <c r="A18" t="s">
        <v>19</v>
      </c>
      <c r="B18" t="s">
        <v>20</v>
      </c>
      <c r="C18" t="s">
        <v>22</v>
      </c>
      <c r="D18">
        <v>3</v>
      </c>
      <c r="E18" t="s">
        <v>23</v>
      </c>
      <c r="F18" t="s">
        <v>373</v>
      </c>
      <c r="G18">
        <v>0</v>
      </c>
      <c r="H18">
        <v>0</v>
      </c>
      <c r="I18">
        <f>G18+H18</f>
        <v>0</v>
      </c>
      <c r="J18">
        <f>100-G18-H18</f>
        <v>100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>
        <f>I18</f>
        <v>0</v>
      </c>
      <c r="R18" t="s">
        <v>19</v>
      </c>
      <c r="S18" t="s">
        <v>19</v>
      </c>
      <c r="T18" t="s">
        <v>19</v>
      </c>
    </row>
    <row r="19" spans="1:21" x14ac:dyDescent="0.25">
      <c r="A19" t="s">
        <v>19</v>
      </c>
      <c r="B19" t="s">
        <v>20</v>
      </c>
      <c r="C19" t="s">
        <v>305</v>
      </c>
      <c r="D19">
        <v>3</v>
      </c>
      <c r="E19" t="s">
        <v>23</v>
      </c>
      <c r="F19" t="s">
        <v>373</v>
      </c>
      <c r="G19">
        <v>0</v>
      </c>
      <c r="H19">
        <v>0</v>
      </c>
      <c r="I19">
        <f>G19+H19</f>
        <v>0</v>
      </c>
      <c r="J19">
        <f>100-G19-H19</f>
        <v>100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>
        <f>I19</f>
        <v>0</v>
      </c>
      <c r="R19" t="s">
        <v>19</v>
      </c>
      <c r="S19" t="s">
        <v>19</v>
      </c>
      <c r="T19" t="s">
        <v>19</v>
      </c>
    </row>
    <row r="20" spans="1:21" x14ac:dyDescent="0.25">
      <c r="A20" t="s">
        <v>19</v>
      </c>
      <c r="B20" t="s">
        <v>20</v>
      </c>
      <c r="C20" t="s">
        <v>307</v>
      </c>
      <c r="D20">
        <v>3</v>
      </c>
      <c r="E20" t="s">
        <v>23</v>
      </c>
      <c r="F20" t="s">
        <v>373</v>
      </c>
      <c r="G20">
        <v>0</v>
      </c>
      <c r="H20">
        <v>0</v>
      </c>
      <c r="I20">
        <f>G20+H20</f>
        <v>0</v>
      </c>
      <c r="J20">
        <f>100-G20-H20</f>
        <v>100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>
        <f>I20</f>
        <v>0</v>
      </c>
      <c r="R20" t="s">
        <v>19</v>
      </c>
      <c r="S20" t="s">
        <v>19</v>
      </c>
      <c r="T20" t="s">
        <v>19</v>
      </c>
    </row>
    <row r="21" spans="1:21" x14ac:dyDescent="0.25">
      <c r="A21" s="2">
        <v>45253.667361111111</v>
      </c>
      <c r="B21" t="s">
        <v>309</v>
      </c>
      <c r="C21" t="s">
        <v>213</v>
      </c>
      <c r="D21">
        <v>3</v>
      </c>
      <c r="E21" t="s">
        <v>23</v>
      </c>
      <c r="F21" t="s">
        <v>373</v>
      </c>
      <c r="G21">
        <v>0.14641288399999999</v>
      </c>
      <c r="H21">
        <v>0</v>
      </c>
      <c r="I21">
        <v>0.14641288399999999</v>
      </c>
      <c r="J21">
        <v>99.85358712</v>
      </c>
      <c r="K21">
        <v>0.8</v>
      </c>
      <c r="L21">
        <v>0.2</v>
      </c>
      <c r="M21">
        <v>0.7</v>
      </c>
      <c r="N21">
        <v>682</v>
      </c>
      <c r="O21">
        <v>1</v>
      </c>
      <c r="P21">
        <v>0</v>
      </c>
      <c r="Q21">
        <v>0.15</v>
      </c>
      <c r="R21" t="s">
        <v>223</v>
      </c>
      <c r="S21">
        <v>2.7</v>
      </c>
      <c r="T21">
        <v>3.69</v>
      </c>
    </row>
    <row r="22" spans="1:21" x14ac:dyDescent="0.25">
      <c r="A22" s="2">
        <v>45253.902083333334</v>
      </c>
      <c r="B22" t="s">
        <v>309</v>
      </c>
      <c r="C22" t="s">
        <v>215</v>
      </c>
      <c r="D22">
        <v>2</v>
      </c>
      <c r="E22" t="s">
        <v>23</v>
      </c>
      <c r="F22" t="s">
        <v>373</v>
      </c>
      <c r="G22">
        <v>14.02550091</v>
      </c>
      <c r="H22">
        <v>0</v>
      </c>
      <c r="I22">
        <v>14.02550091</v>
      </c>
      <c r="J22">
        <v>85.974499089999995</v>
      </c>
      <c r="K22">
        <v>0.8</v>
      </c>
      <c r="L22">
        <v>0.2</v>
      </c>
      <c r="M22">
        <v>0.7</v>
      </c>
      <c r="N22">
        <v>472</v>
      </c>
      <c r="O22">
        <v>77</v>
      </c>
      <c r="P22">
        <v>0</v>
      </c>
      <c r="Q22">
        <v>14.03</v>
      </c>
      <c r="R22" t="s">
        <v>224</v>
      </c>
      <c r="S22">
        <v>0.45</v>
      </c>
      <c r="T22">
        <v>0.5</v>
      </c>
    </row>
    <row r="23" spans="1:21" x14ac:dyDescent="0.25">
      <c r="A23" s="2">
        <v>45254.074305555558</v>
      </c>
      <c r="B23" t="s">
        <v>309</v>
      </c>
      <c r="C23" t="s">
        <v>217</v>
      </c>
      <c r="D23">
        <v>2</v>
      </c>
      <c r="E23" t="s">
        <v>23</v>
      </c>
      <c r="F23" t="s">
        <v>373</v>
      </c>
      <c r="G23">
        <v>12.99638989</v>
      </c>
      <c r="H23">
        <v>0</v>
      </c>
      <c r="I23">
        <v>12.99638989</v>
      </c>
      <c r="J23">
        <v>87.003610109999997</v>
      </c>
      <c r="K23">
        <v>0.8</v>
      </c>
      <c r="L23">
        <v>0.2</v>
      </c>
      <c r="M23">
        <v>0.7</v>
      </c>
      <c r="N23">
        <v>482</v>
      </c>
      <c r="O23">
        <v>72</v>
      </c>
      <c r="P23">
        <v>0</v>
      </c>
      <c r="Q23">
        <v>13</v>
      </c>
      <c r="R23" t="s">
        <v>225</v>
      </c>
      <c r="S23">
        <v>0.4</v>
      </c>
      <c r="T23">
        <v>0.42</v>
      </c>
    </row>
    <row r="24" spans="1:21" x14ac:dyDescent="0.25">
      <c r="A24" s="2">
        <v>45316.411111111112</v>
      </c>
      <c r="B24" t="s">
        <v>309</v>
      </c>
      <c r="C24" t="s">
        <v>219</v>
      </c>
      <c r="D24">
        <v>3</v>
      </c>
      <c r="E24" t="s">
        <v>23</v>
      </c>
      <c r="F24" t="s">
        <v>373</v>
      </c>
      <c r="G24">
        <v>0.17152658700000001</v>
      </c>
      <c r="H24">
        <v>0.34305317299999999</v>
      </c>
      <c r="I24">
        <v>0.51457976000000005</v>
      </c>
      <c r="J24">
        <v>99.485420239999996</v>
      </c>
      <c r="K24">
        <v>0.8</v>
      </c>
      <c r="L24">
        <v>0.2</v>
      </c>
      <c r="M24">
        <v>0.7</v>
      </c>
      <c r="N24">
        <v>580</v>
      </c>
      <c r="O24">
        <v>1</v>
      </c>
      <c r="P24">
        <v>2</v>
      </c>
      <c r="Q24">
        <v>0.51</v>
      </c>
      <c r="R24" t="s">
        <v>226</v>
      </c>
      <c r="S24">
        <v>3.17</v>
      </c>
      <c r="T24">
        <v>4.5</v>
      </c>
    </row>
    <row r="25" spans="1:21" x14ac:dyDescent="0.25">
      <c r="A25" s="2">
        <v>45320.930555555555</v>
      </c>
      <c r="B25" t="s">
        <v>309</v>
      </c>
      <c r="C25" t="s">
        <v>221</v>
      </c>
      <c r="D25">
        <v>2</v>
      </c>
      <c r="E25" t="s">
        <v>23</v>
      </c>
      <c r="F25" t="s">
        <v>373</v>
      </c>
      <c r="G25">
        <v>0.610687023</v>
      </c>
      <c r="H25">
        <v>0</v>
      </c>
      <c r="I25">
        <v>0.610687023</v>
      </c>
      <c r="J25">
        <v>99.38931298</v>
      </c>
      <c r="K25">
        <v>0.8</v>
      </c>
      <c r="L25">
        <v>0.3</v>
      </c>
      <c r="M25">
        <v>0.7</v>
      </c>
      <c r="N25">
        <v>651</v>
      </c>
      <c r="O25">
        <v>4</v>
      </c>
      <c r="P25">
        <v>0</v>
      </c>
      <c r="Q25">
        <v>0.61</v>
      </c>
      <c r="R25" t="s">
        <v>225</v>
      </c>
      <c r="S25">
        <v>0.05</v>
      </c>
      <c r="T25">
        <v>0.06</v>
      </c>
    </row>
    <row r="26" spans="1:21" x14ac:dyDescent="0.25">
      <c r="A26" t="s">
        <v>19</v>
      </c>
      <c r="B26" t="s">
        <v>20</v>
      </c>
      <c r="C26" t="s">
        <v>320</v>
      </c>
      <c r="D26">
        <v>3</v>
      </c>
      <c r="E26" t="s">
        <v>23</v>
      </c>
      <c r="F26" t="s">
        <v>373</v>
      </c>
      <c r="G26">
        <v>0</v>
      </c>
      <c r="H26">
        <v>0</v>
      </c>
      <c r="I26">
        <f>100-J26</f>
        <v>0</v>
      </c>
      <c r="J26">
        <f>100-G26-H26</f>
        <v>100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>
        <f>I26</f>
        <v>0</v>
      </c>
      <c r="R26" t="s">
        <v>19</v>
      </c>
      <c r="S26" t="s">
        <v>19</v>
      </c>
      <c r="T26" t="s">
        <v>19</v>
      </c>
    </row>
    <row r="27" spans="1:21" x14ac:dyDescent="0.25">
      <c r="A27" s="2">
        <v>45323.50675925926</v>
      </c>
      <c r="B27" t="s">
        <v>309</v>
      </c>
      <c r="C27" t="s">
        <v>322</v>
      </c>
      <c r="D27">
        <v>3</v>
      </c>
      <c r="E27" t="s">
        <v>23</v>
      </c>
      <c r="F27" t="s">
        <v>373</v>
      </c>
      <c r="G27">
        <f>(O27/(N27+O27+P27))*100</f>
        <v>0</v>
      </c>
      <c r="H27">
        <f>(P27/(O27+P27+N27))*100</f>
        <v>0</v>
      </c>
      <c r="I27">
        <f>((O27+P27)/(P27+O27+N27))*100</f>
        <v>0</v>
      </c>
      <c r="J27">
        <f>(N27/(P27+O27+N27))*100</f>
        <v>100</v>
      </c>
      <c r="K27">
        <v>0.8</v>
      </c>
      <c r="L27">
        <v>0.3</v>
      </c>
      <c r="M27">
        <v>0.7</v>
      </c>
      <c r="N27">
        <v>670</v>
      </c>
      <c r="O27">
        <v>0</v>
      </c>
      <c r="P27">
        <v>0</v>
      </c>
      <c r="Q27">
        <v>0</v>
      </c>
      <c r="R27" t="s">
        <v>329</v>
      </c>
      <c r="S27">
        <v>2.56</v>
      </c>
      <c r="T27">
        <v>3.31</v>
      </c>
      <c r="U27">
        <v>5</v>
      </c>
    </row>
    <row r="28" spans="1:21" x14ac:dyDescent="0.25">
      <c r="A28" s="2">
        <v>45323.50675925926</v>
      </c>
      <c r="B28" t="s">
        <v>309</v>
      </c>
      <c r="C28" t="s">
        <v>322</v>
      </c>
      <c r="D28">
        <v>3</v>
      </c>
      <c r="E28" t="s">
        <v>23</v>
      </c>
      <c r="F28" t="s">
        <v>373</v>
      </c>
      <c r="G28">
        <f>(O28/(N28+O28+P28))*100</f>
        <v>0</v>
      </c>
      <c r="H28">
        <f>(P28/(O28+P28+N28))*100</f>
        <v>0</v>
      </c>
      <c r="I28">
        <f>((O28+P28)/(P28+O28+N28))*100</f>
        <v>0</v>
      </c>
      <c r="J28">
        <f>(N28/(P28+O28+N28))*100</f>
        <v>100</v>
      </c>
      <c r="K28">
        <v>0.7</v>
      </c>
      <c r="L28">
        <v>0.3</v>
      </c>
      <c r="M28">
        <v>0.7</v>
      </c>
      <c r="N28">
        <v>670</v>
      </c>
      <c r="O28">
        <v>0</v>
      </c>
      <c r="P28">
        <v>0</v>
      </c>
      <c r="Q28">
        <v>0</v>
      </c>
      <c r="R28" t="s">
        <v>336</v>
      </c>
      <c r="S28">
        <v>2.56</v>
      </c>
      <c r="T28">
        <v>3.31</v>
      </c>
      <c r="U28">
        <v>5</v>
      </c>
    </row>
    <row r="29" spans="1:21" x14ac:dyDescent="0.25">
      <c r="A29" s="2">
        <v>45325.08929398148</v>
      </c>
      <c r="B29" t="s">
        <v>309</v>
      </c>
      <c r="C29" t="s">
        <v>368</v>
      </c>
      <c r="D29">
        <v>2</v>
      </c>
      <c r="E29" t="s">
        <v>23</v>
      </c>
      <c r="F29" t="s">
        <v>373</v>
      </c>
      <c r="G29">
        <f>(O29/(N29+O29+P29))*100</f>
        <v>0.46439628482972134</v>
      </c>
      <c r="H29">
        <f>(P29/(O29+P29+N29))*100</f>
        <v>0</v>
      </c>
      <c r="I29">
        <v>0.46</v>
      </c>
      <c r="J29">
        <f>(N29/(P29+O29+N29))*100</f>
        <v>99.535603715170268</v>
      </c>
      <c r="K29">
        <v>0.8</v>
      </c>
      <c r="L29">
        <v>0.3</v>
      </c>
      <c r="M29">
        <v>0.7</v>
      </c>
      <c r="N29">
        <v>643</v>
      </c>
      <c r="O29">
        <v>3</v>
      </c>
      <c r="P29">
        <v>0</v>
      </c>
      <c r="Q29">
        <v>0.46</v>
      </c>
      <c r="R29" t="s">
        <v>369</v>
      </c>
      <c r="S29">
        <v>0.05</v>
      </c>
      <c r="T29">
        <v>0.05</v>
      </c>
    </row>
    <row r="30" spans="1:21" x14ac:dyDescent="0.25">
      <c r="A30" t="s">
        <v>19</v>
      </c>
      <c r="B30" t="s">
        <v>20</v>
      </c>
      <c r="C30" t="s">
        <v>306</v>
      </c>
      <c r="D30">
        <v>3</v>
      </c>
      <c r="E30" t="s">
        <v>24</v>
      </c>
      <c r="F30" t="s">
        <v>373</v>
      </c>
      <c r="G30">
        <v>0</v>
      </c>
      <c r="H30">
        <v>0</v>
      </c>
      <c r="I30">
        <f>G30+H30</f>
        <v>0</v>
      </c>
      <c r="J30">
        <f>100-G30-H30</f>
        <v>100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>
        <f>I30</f>
        <v>0</v>
      </c>
      <c r="R30" t="s">
        <v>19</v>
      </c>
      <c r="S30" t="s">
        <v>19</v>
      </c>
      <c r="T30" t="s">
        <v>19</v>
      </c>
    </row>
    <row r="31" spans="1:21" x14ac:dyDescent="0.25">
      <c r="A31" t="s">
        <v>19</v>
      </c>
      <c r="B31" t="s">
        <v>20</v>
      </c>
      <c r="C31" t="s">
        <v>308</v>
      </c>
      <c r="D31">
        <v>3</v>
      </c>
      <c r="E31" t="s">
        <v>24</v>
      </c>
      <c r="F31" t="s">
        <v>373</v>
      </c>
      <c r="G31">
        <v>1</v>
      </c>
      <c r="H31">
        <v>0</v>
      </c>
      <c r="I31">
        <f>G31+H31</f>
        <v>1</v>
      </c>
      <c r="J31">
        <f>100-G31-H31</f>
        <v>99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>
        <f>I31</f>
        <v>1</v>
      </c>
      <c r="R31" t="s">
        <v>19</v>
      </c>
      <c r="S31" t="s">
        <v>19</v>
      </c>
      <c r="T31" t="s">
        <v>19</v>
      </c>
    </row>
    <row r="32" spans="1:21" x14ac:dyDescent="0.25">
      <c r="A32" t="s">
        <v>19</v>
      </c>
      <c r="B32" t="s">
        <v>20</v>
      </c>
      <c r="C32" t="s">
        <v>22</v>
      </c>
      <c r="D32">
        <v>3</v>
      </c>
      <c r="E32" t="s">
        <v>24</v>
      </c>
      <c r="F32" t="s">
        <v>373</v>
      </c>
      <c r="G32">
        <v>4</v>
      </c>
      <c r="H32">
        <v>0</v>
      </c>
      <c r="I32">
        <f>G32+H32</f>
        <v>4</v>
      </c>
      <c r="J32">
        <f>100-G32-H32</f>
        <v>96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>
        <f>I32</f>
        <v>4</v>
      </c>
      <c r="R32" t="s">
        <v>19</v>
      </c>
      <c r="S32" t="s">
        <v>19</v>
      </c>
      <c r="T32" t="s">
        <v>19</v>
      </c>
    </row>
    <row r="33" spans="1:21" x14ac:dyDescent="0.25">
      <c r="A33" t="s">
        <v>19</v>
      </c>
      <c r="B33" t="s">
        <v>20</v>
      </c>
      <c r="C33" t="s">
        <v>305</v>
      </c>
      <c r="D33">
        <v>3</v>
      </c>
      <c r="E33" t="s">
        <v>24</v>
      </c>
      <c r="F33" t="s">
        <v>373</v>
      </c>
      <c r="G33">
        <v>0</v>
      </c>
      <c r="H33">
        <v>0</v>
      </c>
      <c r="I33">
        <f>G33+H33</f>
        <v>0</v>
      </c>
      <c r="J33">
        <f>100-G33-H33</f>
        <v>100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>
        <f>I33</f>
        <v>0</v>
      </c>
      <c r="R33" t="s">
        <v>19</v>
      </c>
      <c r="S33" t="s">
        <v>19</v>
      </c>
      <c r="T33" t="s">
        <v>19</v>
      </c>
    </row>
    <row r="34" spans="1:21" x14ac:dyDescent="0.25">
      <c r="A34" t="s">
        <v>19</v>
      </c>
      <c r="B34" t="s">
        <v>20</v>
      </c>
      <c r="C34" t="s">
        <v>307</v>
      </c>
      <c r="D34">
        <v>3</v>
      </c>
      <c r="E34" t="s">
        <v>24</v>
      </c>
      <c r="F34" t="s">
        <v>373</v>
      </c>
      <c r="G34">
        <v>1</v>
      </c>
      <c r="H34">
        <v>0</v>
      </c>
      <c r="I34">
        <f>G34+H34</f>
        <v>1</v>
      </c>
      <c r="J34">
        <f>100-G34-H34</f>
        <v>99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>
        <f>I34</f>
        <v>1</v>
      </c>
      <c r="R34" t="s">
        <v>19</v>
      </c>
      <c r="S34" t="s">
        <v>19</v>
      </c>
      <c r="T34" t="s">
        <v>19</v>
      </c>
    </row>
    <row r="35" spans="1:21" x14ac:dyDescent="0.25">
      <c r="A35" s="2">
        <v>45253.668749999997</v>
      </c>
      <c r="B35" t="s">
        <v>309</v>
      </c>
      <c r="C35" t="s">
        <v>213</v>
      </c>
      <c r="D35">
        <v>3</v>
      </c>
      <c r="E35" t="s">
        <v>24</v>
      </c>
      <c r="F35" t="s">
        <v>373</v>
      </c>
      <c r="G35">
        <v>19.883040940000001</v>
      </c>
      <c r="H35">
        <v>0.29239766099999998</v>
      </c>
      <c r="I35">
        <v>20.1754386</v>
      </c>
      <c r="J35">
        <v>79.824561399999993</v>
      </c>
      <c r="K35">
        <v>0.8</v>
      </c>
      <c r="L35">
        <v>0.2</v>
      </c>
      <c r="M35">
        <v>0.7</v>
      </c>
      <c r="N35">
        <v>273</v>
      </c>
      <c r="O35">
        <v>68</v>
      </c>
      <c r="P35">
        <v>1</v>
      </c>
      <c r="Q35">
        <v>20.18</v>
      </c>
      <c r="R35" t="s">
        <v>214</v>
      </c>
      <c r="S35">
        <v>3.11</v>
      </c>
      <c r="T35">
        <v>3.49</v>
      </c>
    </row>
    <row r="36" spans="1:21" x14ac:dyDescent="0.25">
      <c r="A36" s="2">
        <v>45253.902777777781</v>
      </c>
      <c r="B36" t="s">
        <v>309</v>
      </c>
      <c r="C36" t="s">
        <v>215</v>
      </c>
      <c r="D36">
        <v>2</v>
      </c>
      <c r="E36" t="s">
        <v>24</v>
      </c>
      <c r="F36" t="s">
        <v>373</v>
      </c>
      <c r="G36">
        <v>3.1428571430000001</v>
      </c>
      <c r="H36">
        <v>0</v>
      </c>
      <c r="I36">
        <v>3.1428571430000001</v>
      </c>
      <c r="J36">
        <v>96.857142859999996</v>
      </c>
      <c r="K36">
        <v>0.8</v>
      </c>
      <c r="L36">
        <v>0.2</v>
      </c>
      <c r="M36">
        <v>0.7</v>
      </c>
      <c r="N36">
        <v>678</v>
      </c>
      <c r="O36">
        <v>22</v>
      </c>
      <c r="P36">
        <v>0</v>
      </c>
      <c r="Q36">
        <v>3.14</v>
      </c>
      <c r="R36" t="s">
        <v>227</v>
      </c>
      <c r="S36">
        <v>0.09</v>
      </c>
      <c r="T36">
        <v>0.09</v>
      </c>
    </row>
    <row r="37" spans="1:21" x14ac:dyDescent="0.25">
      <c r="A37" s="2">
        <v>45254.074999999997</v>
      </c>
      <c r="B37" t="s">
        <v>309</v>
      </c>
      <c r="C37" t="s">
        <v>217</v>
      </c>
      <c r="D37">
        <v>2</v>
      </c>
      <c r="E37" t="s">
        <v>24</v>
      </c>
      <c r="F37" t="s">
        <v>373</v>
      </c>
      <c r="G37">
        <v>4.4342507649999998</v>
      </c>
      <c r="H37">
        <v>0</v>
      </c>
      <c r="I37">
        <v>4.4342507649999998</v>
      </c>
      <c r="J37">
        <v>95.565749240000002</v>
      </c>
      <c r="K37">
        <v>0.8</v>
      </c>
      <c r="L37">
        <v>0.2</v>
      </c>
      <c r="M37">
        <v>0.7</v>
      </c>
      <c r="N37">
        <v>625</v>
      </c>
      <c r="O37">
        <v>29</v>
      </c>
      <c r="P37">
        <v>0</v>
      </c>
      <c r="Q37">
        <v>4.43</v>
      </c>
      <c r="R37" t="s">
        <v>218</v>
      </c>
      <c r="S37">
        <v>0.16</v>
      </c>
      <c r="T37">
        <v>0.16</v>
      </c>
    </row>
    <row r="38" spans="1:21" x14ac:dyDescent="0.25">
      <c r="A38" s="2">
        <v>45316.411805555559</v>
      </c>
      <c r="B38" t="s">
        <v>309</v>
      </c>
      <c r="C38" t="s">
        <v>219</v>
      </c>
      <c r="D38">
        <v>3</v>
      </c>
      <c r="E38" t="s">
        <v>24</v>
      </c>
      <c r="F38" t="s">
        <v>373</v>
      </c>
      <c r="G38">
        <v>8.6206896549999996</v>
      </c>
      <c r="H38">
        <v>0.57471264399999999</v>
      </c>
      <c r="I38">
        <v>9.1954022989999995</v>
      </c>
      <c r="J38">
        <v>90.804597700000002</v>
      </c>
      <c r="K38">
        <v>0.8</v>
      </c>
      <c r="L38">
        <v>0.2</v>
      </c>
      <c r="M38">
        <v>0.7</v>
      </c>
      <c r="N38">
        <v>158</v>
      </c>
      <c r="O38">
        <v>15</v>
      </c>
      <c r="P38">
        <v>1</v>
      </c>
      <c r="Q38">
        <v>9.1999999999999993</v>
      </c>
      <c r="R38" t="s">
        <v>228</v>
      </c>
      <c r="S38">
        <v>3.33</v>
      </c>
      <c r="T38">
        <v>4.5</v>
      </c>
    </row>
    <row r="39" spans="1:21" x14ac:dyDescent="0.25">
      <c r="A39" s="2">
        <v>45320.931250000001</v>
      </c>
      <c r="B39" t="s">
        <v>309</v>
      </c>
      <c r="C39" t="s">
        <v>221</v>
      </c>
      <c r="D39">
        <v>2</v>
      </c>
      <c r="E39" t="s">
        <v>24</v>
      </c>
      <c r="F39" t="s">
        <v>373</v>
      </c>
      <c r="G39">
        <v>2.1352313170000001</v>
      </c>
      <c r="H39">
        <v>0</v>
      </c>
      <c r="I39">
        <v>2.1352313170000001</v>
      </c>
      <c r="J39">
        <v>97.864768679999997</v>
      </c>
      <c r="K39">
        <v>0.8</v>
      </c>
      <c r="L39">
        <v>0.3</v>
      </c>
      <c r="M39">
        <v>0.7</v>
      </c>
      <c r="N39">
        <v>550</v>
      </c>
      <c r="O39">
        <v>12</v>
      </c>
      <c r="P39">
        <v>0</v>
      </c>
      <c r="Q39">
        <v>2.14</v>
      </c>
      <c r="R39" t="s">
        <v>229</v>
      </c>
      <c r="S39">
        <v>0.13</v>
      </c>
      <c r="T39">
        <v>0.14000000000000001</v>
      </c>
    </row>
    <row r="40" spans="1:21" x14ac:dyDescent="0.25">
      <c r="A40" t="s">
        <v>19</v>
      </c>
      <c r="B40" t="s">
        <v>20</v>
      </c>
      <c r="C40" t="s">
        <v>320</v>
      </c>
      <c r="D40">
        <v>3</v>
      </c>
      <c r="E40" t="s">
        <v>24</v>
      </c>
      <c r="F40" t="s">
        <v>373</v>
      </c>
      <c r="G40">
        <v>0</v>
      </c>
      <c r="H40">
        <v>0</v>
      </c>
      <c r="I40">
        <f>100-J40</f>
        <v>0</v>
      </c>
      <c r="J40">
        <f>100-G40-H40</f>
        <v>100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>
        <f>I40</f>
        <v>0</v>
      </c>
      <c r="R40" t="s">
        <v>19</v>
      </c>
      <c r="S40" t="s">
        <v>19</v>
      </c>
      <c r="T40" t="s">
        <v>19</v>
      </c>
    </row>
    <row r="41" spans="1:21" x14ac:dyDescent="0.25">
      <c r="A41" s="2">
        <v>45323.508553240739</v>
      </c>
      <c r="B41" t="s">
        <v>309</v>
      </c>
      <c r="C41" t="s">
        <v>322</v>
      </c>
      <c r="D41">
        <v>3</v>
      </c>
      <c r="E41" t="s">
        <v>24</v>
      </c>
      <c r="F41" t="s">
        <v>373</v>
      </c>
      <c r="G41">
        <f>(O41/(N41+O41+P41))*100</f>
        <v>11.737089201877934</v>
      </c>
      <c r="H41">
        <f>(P41/(O41+P41+N41))*100</f>
        <v>0</v>
      </c>
      <c r="I41">
        <f>((O41+P41)/(P41+O41+N41))*100</f>
        <v>11.737089201877934</v>
      </c>
      <c r="J41">
        <f>(N41/(P41+O41+N41))*100</f>
        <v>88.262910798122064</v>
      </c>
      <c r="K41">
        <v>0.8</v>
      </c>
      <c r="L41">
        <v>0.3</v>
      </c>
      <c r="M41">
        <v>0.7</v>
      </c>
      <c r="N41">
        <v>376</v>
      </c>
      <c r="O41">
        <v>50</v>
      </c>
      <c r="P41">
        <v>0</v>
      </c>
      <c r="Q41">
        <v>11.74</v>
      </c>
      <c r="R41" t="s">
        <v>240</v>
      </c>
      <c r="S41">
        <v>2.81</v>
      </c>
      <c r="T41">
        <v>3.45</v>
      </c>
      <c r="U41">
        <v>210</v>
      </c>
    </row>
    <row r="42" spans="1:21" x14ac:dyDescent="0.25">
      <c r="A42" s="2">
        <v>45323.508622685185</v>
      </c>
      <c r="B42" t="s">
        <v>309</v>
      </c>
      <c r="C42" t="s">
        <v>322</v>
      </c>
      <c r="D42">
        <v>3</v>
      </c>
      <c r="E42" t="s">
        <v>24</v>
      </c>
      <c r="F42" t="s">
        <v>373</v>
      </c>
      <c r="G42">
        <f>(O42/(N42+O42+P42))*100</f>
        <v>18.614718614718615</v>
      </c>
      <c r="H42">
        <f>(P42/(O42+P42+N42))*100</f>
        <v>0</v>
      </c>
      <c r="I42">
        <f>((O42+P42)/(P42+O42+N42))*100</f>
        <v>18.614718614718615</v>
      </c>
      <c r="J42">
        <f>(N42/(P42+O42+N42))*100</f>
        <v>81.385281385281388</v>
      </c>
      <c r="K42">
        <v>0.7</v>
      </c>
      <c r="L42">
        <v>0.3</v>
      </c>
      <c r="M42">
        <v>0.7</v>
      </c>
      <c r="N42">
        <v>376</v>
      </c>
      <c r="O42">
        <v>86</v>
      </c>
      <c r="P42">
        <v>0</v>
      </c>
      <c r="Q42">
        <v>18.61</v>
      </c>
      <c r="R42" t="s">
        <v>341</v>
      </c>
      <c r="S42">
        <v>2.81</v>
      </c>
      <c r="T42">
        <v>3.45</v>
      </c>
      <c r="U42">
        <v>174</v>
      </c>
    </row>
    <row r="43" spans="1:21" x14ac:dyDescent="0.25">
      <c r="A43" s="2">
        <v>45325.090624999997</v>
      </c>
      <c r="B43" t="s">
        <v>309</v>
      </c>
      <c r="C43" t="s">
        <v>368</v>
      </c>
      <c r="D43">
        <v>2</v>
      </c>
      <c r="E43" t="s">
        <v>24</v>
      </c>
      <c r="F43" t="s">
        <v>373</v>
      </c>
      <c r="G43">
        <f>(O43/(N43+O43+P43))*100</f>
        <v>0.33898305084745761</v>
      </c>
      <c r="H43">
        <f>(P43/(O43+P43+N43))*100</f>
        <v>0</v>
      </c>
      <c r="I43">
        <v>0.34</v>
      </c>
      <c r="J43">
        <f>(N43/(P43+O43+N43))*100</f>
        <v>99.661016949152554</v>
      </c>
      <c r="K43">
        <v>0.8</v>
      </c>
      <c r="L43">
        <v>0.3</v>
      </c>
      <c r="M43">
        <v>0.7</v>
      </c>
      <c r="N43">
        <v>588</v>
      </c>
      <c r="O43">
        <v>2</v>
      </c>
      <c r="P43">
        <v>0</v>
      </c>
      <c r="Q43">
        <v>0.34</v>
      </c>
      <c r="R43" t="s">
        <v>359</v>
      </c>
      <c r="S43">
        <v>0.06</v>
      </c>
      <c r="T43">
        <v>0.06</v>
      </c>
    </row>
    <row r="44" spans="1:21" x14ac:dyDescent="0.25">
      <c r="A44" t="s">
        <v>19</v>
      </c>
      <c r="B44" t="s">
        <v>20</v>
      </c>
      <c r="C44" t="s">
        <v>308</v>
      </c>
      <c r="D44">
        <v>3</v>
      </c>
      <c r="E44" t="s">
        <v>25</v>
      </c>
      <c r="F44" t="s">
        <v>388</v>
      </c>
      <c r="G44">
        <v>0</v>
      </c>
      <c r="H44">
        <v>0</v>
      </c>
      <c r="I44">
        <f>G44+H44</f>
        <v>0</v>
      </c>
      <c r="J44">
        <f>100-G44-H44</f>
        <v>100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>
        <f>I44</f>
        <v>0</v>
      </c>
      <c r="R44" t="s">
        <v>19</v>
      </c>
      <c r="S44" t="s">
        <v>19</v>
      </c>
      <c r="T44" t="s">
        <v>19</v>
      </c>
    </row>
    <row r="45" spans="1:21" x14ac:dyDescent="0.25">
      <c r="A45" t="s">
        <v>19</v>
      </c>
      <c r="B45" t="s">
        <v>20</v>
      </c>
      <c r="C45" t="s">
        <v>22</v>
      </c>
      <c r="D45">
        <v>3</v>
      </c>
      <c r="E45" t="s">
        <v>25</v>
      </c>
      <c r="F45" t="s">
        <v>388</v>
      </c>
      <c r="G45">
        <v>0</v>
      </c>
      <c r="H45">
        <v>0</v>
      </c>
      <c r="I45">
        <f>G45+H45</f>
        <v>0</v>
      </c>
      <c r="J45">
        <f>100-G45-H45</f>
        <v>100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>
        <f>I45</f>
        <v>0</v>
      </c>
      <c r="R45" t="s">
        <v>19</v>
      </c>
      <c r="S45" t="s">
        <v>19</v>
      </c>
      <c r="T45" t="s">
        <v>19</v>
      </c>
    </row>
    <row r="46" spans="1:21" x14ac:dyDescent="0.25">
      <c r="A46" t="s">
        <v>19</v>
      </c>
      <c r="B46" t="s">
        <v>20</v>
      </c>
      <c r="C46" t="s">
        <v>305</v>
      </c>
      <c r="D46">
        <v>3</v>
      </c>
      <c r="E46" t="s">
        <v>25</v>
      </c>
      <c r="F46" t="s">
        <v>388</v>
      </c>
      <c r="G46">
        <v>2</v>
      </c>
      <c r="H46">
        <v>0</v>
      </c>
      <c r="I46">
        <f>G46+H46</f>
        <v>2</v>
      </c>
      <c r="J46">
        <f>100-G46-H46</f>
        <v>98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>
        <f>I46</f>
        <v>2</v>
      </c>
      <c r="R46" t="s">
        <v>19</v>
      </c>
      <c r="S46" t="s">
        <v>19</v>
      </c>
      <c r="T46" t="s">
        <v>19</v>
      </c>
    </row>
    <row r="47" spans="1:21" x14ac:dyDescent="0.25">
      <c r="A47" t="s">
        <v>19</v>
      </c>
      <c r="B47" t="s">
        <v>20</v>
      </c>
      <c r="C47" t="s">
        <v>307</v>
      </c>
      <c r="D47">
        <v>3</v>
      </c>
      <c r="E47" t="s">
        <v>25</v>
      </c>
      <c r="F47" t="s">
        <v>388</v>
      </c>
      <c r="G47">
        <v>0</v>
      </c>
      <c r="H47">
        <v>0</v>
      </c>
      <c r="I47">
        <f>G47+H47</f>
        <v>0</v>
      </c>
      <c r="J47">
        <f>100-G47-H47</f>
        <v>100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>
        <f>I47</f>
        <v>0</v>
      </c>
      <c r="R47" t="s">
        <v>19</v>
      </c>
      <c r="S47" t="s">
        <v>19</v>
      </c>
      <c r="T47" t="s">
        <v>19</v>
      </c>
    </row>
    <row r="48" spans="1:21" x14ac:dyDescent="0.25">
      <c r="A48" s="2">
        <v>45253.507638888892</v>
      </c>
      <c r="B48" t="s">
        <v>309</v>
      </c>
      <c r="C48" t="s">
        <v>213</v>
      </c>
      <c r="D48">
        <v>3</v>
      </c>
      <c r="E48" t="s">
        <v>25</v>
      </c>
      <c r="F48" t="s">
        <v>388</v>
      </c>
      <c r="G48">
        <v>0.13888888899999999</v>
      </c>
      <c r="H48">
        <v>0.55555555599999995</v>
      </c>
      <c r="I48">
        <v>0.69444444400000005</v>
      </c>
      <c r="J48">
        <v>99.305555560000002</v>
      </c>
      <c r="K48">
        <v>0.8</v>
      </c>
      <c r="L48">
        <v>0.2</v>
      </c>
      <c r="M48">
        <v>0.7</v>
      </c>
      <c r="N48">
        <v>715</v>
      </c>
      <c r="O48">
        <v>1</v>
      </c>
      <c r="P48">
        <v>4</v>
      </c>
      <c r="Q48">
        <v>0.69</v>
      </c>
      <c r="R48" t="s">
        <v>230</v>
      </c>
      <c r="S48">
        <v>2.62</v>
      </c>
      <c r="T48">
        <v>3.37</v>
      </c>
    </row>
    <row r="49" spans="1:21" x14ac:dyDescent="0.25">
      <c r="A49" s="2">
        <v>45253.815972222219</v>
      </c>
      <c r="B49" t="s">
        <v>309</v>
      </c>
      <c r="C49" t="s">
        <v>215</v>
      </c>
      <c r="D49">
        <v>2</v>
      </c>
      <c r="E49" t="s">
        <v>25</v>
      </c>
      <c r="F49" t="s">
        <v>388</v>
      </c>
      <c r="G49">
        <v>8.6764705880000008</v>
      </c>
      <c r="H49">
        <v>0</v>
      </c>
      <c r="I49">
        <v>8.6764705880000008</v>
      </c>
      <c r="J49">
        <v>91.323529410000006</v>
      </c>
      <c r="K49">
        <v>0.8</v>
      </c>
      <c r="L49">
        <v>0.2</v>
      </c>
      <c r="M49">
        <v>0.7</v>
      </c>
      <c r="N49">
        <v>621</v>
      </c>
      <c r="O49">
        <v>59</v>
      </c>
      <c r="P49">
        <v>0</v>
      </c>
      <c r="Q49">
        <v>8.68</v>
      </c>
      <c r="R49" t="s">
        <v>231</v>
      </c>
      <c r="S49">
        <v>0.22</v>
      </c>
      <c r="T49">
        <v>0.23</v>
      </c>
    </row>
    <row r="50" spans="1:21" x14ac:dyDescent="0.25">
      <c r="A50" s="2">
        <v>45253.981249999997</v>
      </c>
      <c r="B50" t="s">
        <v>309</v>
      </c>
      <c r="C50" t="s">
        <v>217</v>
      </c>
      <c r="D50">
        <v>2</v>
      </c>
      <c r="E50" t="s">
        <v>25</v>
      </c>
      <c r="F50" t="s">
        <v>388</v>
      </c>
      <c r="G50">
        <v>16.63619744</v>
      </c>
      <c r="H50">
        <v>0</v>
      </c>
      <c r="I50">
        <v>16.63619744</v>
      </c>
      <c r="J50">
        <v>83.363802559999996</v>
      </c>
      <c r="K50">
        <v>0.8</v>
      </c>
      <c r="L50">
        <v>0.2</v>
      </c>
      <c r="M50">
        <v>0.7</v>
      </c>
      <c r="N50">
        <v>456</v>
      </c>
      <c r="O50">
        <v>91</v>
      </c>
      <c r="P50">
        <v>0</v>
      </c>
      <c r="Q50">
        <v>16.64</v>
      </c>
      <c r="R50" t="s">
        <v>232</v>
      </c>
      <c r="S50">
        <v>0.45</v>
      </c>
      <c r="T50">
        <v>0.47</v>
      </c>
    </row>
    <row r="51" spans="1:21" x14ac:dyDescent="0.25">
      <c r="A51" s="2">
        <v>45316.493750000001</v>
      </c>
      <c r="B51" t="s">
        <v>309</v>
      </c>
      <c r="C51" t="s">
        <v>219</v>
      </c>
      <c r="D51">
        <v>3</v>
      </c>
      <c r="E51" t="s">
        <v>25</v>
      </c>
      <c r="F51" t="s">
        <v>388</v>
      </c>
      <c r="G51">
        <v>0</v>
      </c>
      <c r="H51">
        <v>0.15220700200000001</v>
      </c>
      <c r="I51">
        <v>0.15220700200000001</v>
      </c>
      <c r="J51">
        <v>99.847792999999996</v>
      </c>
      <c r="K51">
        <v>0.8</v>
      </c>
      <c r="L51">
        <v>0.2</v>
      </c>
      <c r="M51">
        <v>0.7</v>
      </c>
      <c r="N51">
        <v>656</v>
      </c>
      <c r="O51">
        <v>0</v>
      </c>
      <c r="P51">
        <v>1</v>
      </c>
      <c r="Q51">
        <v>0.15</v>
      </c>
      <c r="R51" t="s">
        <v>218</v>
      </c>
      <c r="S51">
        <v>3.22</v>
      </c>
      <c r="T51">
        <v>4.63</v>
      </c>
    </row>
    <row r="52" spans="1:21" x14ac:dyDescent="0.25">
      <c r="A52" s="2">
        <v>45320.822222222225</v>
      </c>
      <c r="B52" t="s">
        <v>309</v>
      </c>
      <c r="C52" t="s">
        <v>221</v>
      </c>
      <c r="D52">
        <v>2</v>
      </c>
      <c r="E52" t="s">
        <v>25</v>
      </c>
      <c r="F52" t="s">
        <v>388</v>
      </c>
      <c r="G52">
        <v>0.64308681700000003</v>
      </c>
      <c r="H52">
        <v>0</v>
      </c>
      <c r="I52">
        <v>0.64308681700000003</v>
      </c>
      <c r="J52">
        <v>99.356913180000006</v>
      </c>
      <c r="K52">
        <v>0.8</v>
      </c>
      <c r="L52">
        <v>0.3</v>
      </c>
      <c r="M52">
        <v>0.7</v>
      </c>
      <c r="N52">
        <v>618</v>
      </c>
      <c r="O52">
        <v>4</v>
      </c>
      <c r="P52">
        <v>0</v>
      </c>
      <c r="Q52">
        <v>0.64</v>
      </c>
      <c r="R52" t="s">
        <v>233</v>
      </c>
      <c r="S52">
        <v>0.02</v>
      </c>
      <c r="T52">
        <v>0.03</v>
      </c>
    </row>
    <row r="53" spans="1:21" x14ac:dyDescent="0.25">
      <c r="A53" t="s">
        <v>19</v>
      </c>
      <c r="B53" t="s">
        <v>20</v>
      </c>
      <c r="C53" t="s">
        <v>306</v>
      </c>
      <c r="D53">
        <v>3</v>
      </c>
      <c r="E53" t="s">
        <v>25</v>
      </c>
      <c r="F53" t="s">
        <v>388</v>
      </c>
      <c r="G53">
        <v>0</v>
      </c>
      <c r="H53">
        <v>0</v>
      </c>
      <c r="I53">
        <f>G53+H53</f>
        <v>0</v>
      </c>
      <c r="J53">
        <f>100-G53-H53</f>
        <v>100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>
        <f>I53</f>
        <v>0</v>
      </c>
      <c r="R53" t="s">
        <v>19</v>
      </c>
      <c r="S53" t="s">
        <v>19</v>
      </c>
      <c r="T53" t="s">
        <v>19</v>
      </c>
    </row>
    <row r="54" spans="1:21" x14ac:dyDescent="0.25">
      <c r="A54" t="s">
        <v>19</v>
      </c>
      <c r="B54" t="s">
        <v>20</v>
      </c>
      <c r="C54" t="s">
        <v>320</v>
      </c>
      <c r="D54">
        <v>3</v>
      </c>
      <c r="E54" t="s">
        <v>25</v>
      </c>
      <c r="F54" t="s">
        <v>388</v>
      </c>
      <c r="G54">
        <v>0</v>
      </c>
      <c r="H54">
        <v>0</v>
      </c>
      <c r="I54">
        <f>100-J54</f>
        <v>0</v>
      </c>
      <c r="J54">
        <f>100-G54-H54</f>
        <v>100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>
        <f>I54</f>
        <v>0</v>
      </c>
      <c r="R54" t="s">
        <v>19</v>
      </c>
      <c r="S54" t="s">
        <v>19</v>
      </c>
      <c r="T54" t="s">
        <v>19</v>
      </c>
    </row>
    <row r="55" spans="1:21" x14ac:dyDescent="0.25">
      <c r="A55" s="2">
        <v>45323.508611111109</v>
      </c>
      <c r="B55" t="s">
        <v>309</v>
      </c>
      <c r="C55" t="s">
        <v>322</v>
      </c>
      <c r="D55">
        <v>3</v>
      </c>
      <c r="E55" t="s">
        <v>25</v>
      </c>
      <c r="F55" t="s">
        <v>388</v>
      </c>
      <c r="G55">
        <f>(O55/(N55+O55+P55))*100</f>
        <v>0.48780487804878048</v>
      </c>
      <c r="H55">
        <f>(P55/(O55+P55+N55))*100</f>
        <v>0</v>
      </c>
      <c r="I55">
        <f>((O55+P55)/(P55+O55+N55))*100</f>
        <v>0.48780487804878048</v>
      </c>
      <c r="J55">
        <f>(N55/(P55+O55+N55))*100</f>
        <v>99.512195121951223</v>
      </c>
      <c r="K55">
        <v>0.8</v>
      </c>
      <c r="L55">
        <v>0.3</v>
      </c>
      <c r="M55">
        <v>0.7</v>
      </c>
      <c r="N55">
        <v>612</v>
      </c>
      <c r="O55">
        <v>3</v>
      </c>
      <c r="P55">
        <v>0</v>
      </c>
      <c r="Q55">
        <v>0.49</v>
      </c>
      <c r="R55" t="s">
        <v>234</v>
      </c>
      <c r="S55">
        <v>2.4</v>
      </c>
      <c r="T55">
        <v>3.17</v>
      </c>
      <c r="U55">
        <v>15</v>
      </c>
    </row>
    <row r="56" spans="1:21" x14ac:dyDescent="0.25">
      <c r="A56" s="2">
        <v>45323.508483796293</v>
      </c>
      <c r="B56" t="s">
        <v>309</v>
      </c>
      <c r="C56" t="s">
        <v>322</v>
      </c>
      <c r="D56">
        <v>3</v>
      </c>
      <c r="E56" t="s">
        <v>25</v>
      </c>
      <c r="F56" t="s">
        <v>388</v>
      </c>
      <c r="G56">
        <f>(O56/(N56+O56+P56))*100</f>
        <v>0.64935064935064934</v>
      </c>
      <c r="H56">
        <f>(P56/(O56+P56+N56))*100</f>
        <v>0</v>
      </c>
      <c r="I56">
        <v>0.65</v>
      </c>
      <c r="J56">
        <f>(N56/(P56+O56+N56))*100</f>
        <v>99.350649350649363</v>
      </c>
      <c r="K56">
        <v>0.7</v>
      </c>
      <c r="L56">
        <v>0.3</v>
      </c>
      <c r="M56">
        <v>0.7</v>
      </c>
      <c r="N56">
        <v>612</v>
      </c>
      <c r="O56">
        <v>4</v>
      </c>
      <c r="P56">
        <v>0</v>
      </c>
      <c r="Q56">
        <v>0.65</v>
      </c>
      <c r="R56" t="s">
        <v>238</v>
      </c>
      <c r="S56">
        <v>2.4</v>
      </c>
      <c r="T56">
        <v>3.17</v>
      </c>
      <c r="U56">
        <v>14</v>
      </c>
    </row>
    <row r="57" spans="1:21" x14ac:dyDescent="0.25">
      <c r="A57" s="2">
        <v>45324.937037037038</v>
      </c>
      <c r="B57" t="s">
        <v>309</v>
      </c>
      <c r="C57" t="s">
        <v>368</v>
      </c>
      <c r="D57">
        <v>2</v>
      </c>
      <c r="E57" t="s">
        <v>25</v>
      </c>
      <c r="F57" t="s">
        <v>388</v>
      </c>
      <c r="G57">
        <f>(O57/(N57+O57+P57))*100</f>
        <v>0.65897858319604619</v>
      </c>
      <c r="H57">
        <f>(P57/(O57+P57+N57))*100</f>
        <v>0</v>
      </c>
      <c r="I57">
        <v>0.66</v>
      </c>
      <c r="J57">
        <f>(N57/(P57+O57+N57))*100</f>
        <v>99.341021416803954</v>
      </c>
      <c r="K57">
        <v>0.8</v>
      </c>
      <c r="L57">
        <v>0.3</v>
      </c>
      <c r="M57">
        <v>0.7</v>
      </c>
      <c r="N57">
        <v>603</v>
      </c>
      <c r="O57">
        <v>4</v>
      </c>
      <c r="P57">
        <v>0</v>
      </c>
      <c r="Q57">
        <v>0.66</v>
      </c>
      <c r="R57" t="s">
        <v>258</v>
      </c>
      <c r="S57">
        <v>0.04</v>
      </c>
      <c r="T57">
        <v>0.05</v>
      </c>
    </row>
    <row r="58" spans="1:21" x14ac:dyDescent="0.25">
      <c r="A58" t="s">
        <v>19</v>
      </c>
      <c r="B58" t="s">
        <v>20</v>
      </c>
      <c r="C58" t="s">
        <v>308</v>
      </c>
      <c r="D58">
        <v>3</v>
      </c>
      <c r="E58" t="s">
        <v>26</v>
      </c>
      <c r="F58" t="s">
        <v>388</v>
      </c>
      <c r="G58">
        <v>25</v>
      </c>
      <c r="H58">
        <v>30</v>
      </c>
      <c r="I58">
        <f>G58+H58</f>
        <v>55</v>
      </c>
      <c r="J58">
        <f>100-G58-H58</f>
        <v>45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>
        <f>I58</f>
        <v>55</v>
      </c>
      <c r="R58" t="s">
        <v>19</v>
      </c>
      <c r="S58" t="s">
        <v>19</v>
      </c>
      <c r="T58" t="s">
        <v>19</v>
      </c>
    </row>
    <row r="59" spans="1:21" x14ac:dyDescent="0.25">
      <c r="A59" t="s">
        <v>19</v>
      </c>
      <c r="B59" t="s">
        <v>20</v>
      </c>
      <c r="C59" t="s">
        <v>22</v>
      </c>
      <c r="D59">
        <v>3</v>
      </c>
      <c r="E59" t="s">
        <v>26</v>
      </c>
      <c r="F59" t="s">
        <v>388</v>
      </c>
      <c r="G59">
        <v>10</v>
      </c>
      <c r="H59">
        <v>40</v>
      </c>
      <c r="I59">
        <f>G59+H59</f>
        <v>50</v>
      </c>
      <c r="J59">
        <f>100-G59-H59</f>
        <v>50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>
        <f>I59</f>
        <v>50</v>
      </c>
      <c r="R59" t="s">
        <v>19</v>
      </c>
      <c r="S59" t="s">
        <v>19</v>
      </c>
      <c r="T59" t="s">
        <v>19</v>
      </c>
    </row>
    <row r="60" spans="1:21" x14ac:dyDescent="0.25">
      <c r="A60" t="s">
        <v>19</v>
      </c>
      <c r="B60" t="s">
        <v>20</v>
      </c>
      <c r="C60" t="s">
        <v>305</v>
      </c>
      <c r="D60">
        <v>3</v>
      </c>
      <c r="E60" t="s">
        <v>26</v>
      </c>
      <c r="F60" t="s">
        <v>388</v>
      </c>
      <c r="G60">
        <v>10</v>
      </c>
      <c r="H60">
        <v>30</v>
      </c>
      <c r="I60">
        <f>G60+H60</f>
        <v>40</v>
      </c>
      <c r="J60">
        <f>100-G60-H60</f>
        <v>60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>
        <f>I60</f>
        <v>40</v>
      </c>
      <c r="R60" t="s">
        <v>19</v>
      </c>
      <c r="S60" t="s">
        <v>19</v>
      </c>
      <c r="T60" t="s">
        <v>19</v>
      </c>
    </row>
    <row r="61" spans="1:21" x14ac:dyDescent="0.25">
      <c r="A61" t="s">
        <v>19</v>
      </c>
      <c r="B61" t="s">
        <v>20</v>
      </c>
      <c r="C61" t="s">
        <v>307</v>
      </c>
      <c r="D61">
        <v>3</v>
      </c>
      <c r="E61" t="s">
        <v>26</v>
      </c>
      <c r="F61" t="s">
        <v>388</v>
      </c>
      <c r="G61">
        <v>2</v>
      </c>
      <c r="H61">
        <v>7</v>
      </c>
      <c r="I61">
        <f>G61+H61</f>
        <v>9</v>
      </c>
      <c r="J61">
        <f>100-G61-H61</f>
        <v>91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>
        <f>I61</f>
        <v>9</v>
      </c>
      <c r="R61" t="s">
        <v>19</v>
      </c>
      <c r="S61" t="s">
        <v>19</v>
      </c>
      <c r="T61" t="s">
        <v>19</v>
      </c>
    </row>
    <row r="62" spans="1:21" x14ac:dyDescent="0.25">
      <c r="A62" s="2">
        <v>45253.509027777778</v>
      </c>
      <c r="B62" t="s">
        <v>309</v>
      </c>
      <c r="C62" t="s">
        <v>213</v>
      </c>
      <c r="D62">
        <v>3</v>
      </c>
      <c r="E62" t="s">
        <v>26</v>
      </c>
      <c r="F62" t="s">
        <v>388</v>
      </c>
      <c r="G62">
        <v>1.111111111</v>
      </c>
      <c r="H62">
        <v>23.809523810000002</v>
      </c>
      <c r="I62">
        <v>24.920634920000001</v>
      </c>
      <c r="J62">
        <v>75.079365080000002</v>
      </c>
      <c r="K62">
        <v>0.8</v>
      </c>
      <c r="L62">
        <v>0.2</v>
      </c>
      <c r="M62">
        <v>0.7</v>
      </c>
      <c r="N62">
        <v>473</v>
      </c>
      <c r="O62">
        <v>7</v>
      </c>
      <c r="P62">
        <v>150</v>
      </c>
      <c r="Q62">
        <v>24.92</v>
      </c>
      <c r="R62" t="s">
        <v>234</v>
      </c>
      <c r="S62">
        <v>2.72</v>
      </c>
      <c r="T62">
        <v>3.3</v>
      </c>
    </row>
    <row r="63" spans="1:21" x14ac:dyDescent="0.25">
      <c r="A63" s="2">
        <v>45253.816666666666</v>
      </c>
      <c r="B63" t="s">
        <v>309</v>
      </c>
      <c r="C63" t="s">
        <v>215</v>
      </c>
      <c r="D63">
        <v>2</v>
      </c>
      <c r="E63" t="s">
        <v>26</v>
      </c>
      <c r="F63" t="s">
        <v>388</v>
      </c>
      <c r="G63">
        <v>12.95180723</v>
      </c>
      <c r="H63">
        <v>0</v>
      </c>
      <c r="I63">
        <v>12.95180723</v>
      </c>
      <c r="J63">
        <v>87.04819277</v>
      </c>
      <c r="K63">
        <v>0.8</v>
      </c>
      <c r="L63">
        <v>0.2</v>
      </c>
      <c r="M63">
        <v>0.7</v>
      </c>
      <c r="N63">
        <v>578</v>
      </c>
      <c r="O63">
        <v>86</v>
      </c>
      <c r="P63">
        <v>0</v>
      </c>
      <c r="Q63">
        <v>12.95</v>
      </c>
      <c r="R63" t="s">
        <v>227</v>
      </c>
      <c r="S63">
        <v>0.34</v>
      </c>
      <c r="T63">
        <v>0.37</v>
      </c>
    </row>
    <row r="64" spans="1:21" x14ac:dyDescent="0.25">
      <c r="A64" s="2">
        <v>45253.981944444444</v>
      </c>
      <c r="B64" t="s">
        <v>309</v>
      </c>
      <c r="C64" t="s">
        <v>217</v>
      </c>
      <c r="D64">
        <v>2</v>
      </c>
      <c r="E64" t="s">
        <v>26</v>
      </c>
      <c r="F64" t="s">
        <v>388</v>
      </c>
      <c r="G64">
        <v>16.488549620000001</v>
      </c>
      <c r="H64">
        <v>0</v>
      </c>
      <c r="I64">
        <v>16.488549620000001</v>
      </c>
      <c r="J64">
        <v>83.511450379999999</v>
      </c>
      <c r="K64">
        <v>0.8</v>
      </c>
      <c r="L64">
        <v>0.2</v>
      </c>
      <c r="M64">
        <v>0.7</v>
      </c>
      <c r="N64">
        <v>547</v>
      </c>
      <c r="O64">
        <v>108</v>
      </c>
      <c r="P64">
        <v>0</v>
      </c>
      <c r="Q64">
        <v>16.489999999999998</v>
      </c>
      <c r="R64" t="s">
        <v>232</v>
      </c>
      <c r="S64">
        <v>0.44</v>
      </c>
      <c r="T64">
        <v>0.47</v>
      </c>
    </row>
    <row r="65" spans="1:21" x14ac:dyDescent="0.25">
      <c r="A65" s="2">
        <v>45316.495138888888</v>
      </c>
      <c r="B65" t="s">
        <v>309</v>
      </c>
      <c r="C65" t="s">
        <v>219</v>
      </c>
      <c r="D65">
        <v>3</v>
      </c>
      <c r="E65" t="s">
        <v>26</v>
      </c>
      <c r="F65" t="s">
        <v>388</v>
      </c>
      <c r="G65">
        <v>2.3423423419999998</v>
      </c>
      <c r="H65">
        <v>28.10810811</v>
      </c>
      <c r="I65">
        <v>30.450450450000002</v>
      </c>
      <c r="J65">
        <v>69.549549549999995</v>
      </c>
      <c r="K65">
        <v>0.8</v>
      </c>
      <c r="L65">
        <v>0.2</v>
      </c>
      <c r="M65">
        <v>0.7</v>
      </c>
      <c r="N65">
        <v>386</v>
      </c>
      <c r="O65">
        <v>13</v>
      </c>
      <c r="P65">
        <v>156</v>
      </c>
      <c r="Q65">
        <v>30.45</v>
      </c>
      <c r="R65" t="s">
        <v>225</v>
      </c>
      <c r="S65">
        <v>3.21</v>
      </c>
      <c r="T65">
        <v>4.55</v>
      </c>
    </row>
    <row r="66" spans="1:21" x14ac:dyDescent="0.25">
      <c r="A66" s="2">
        <v>45320.823611111111</v>
      </c>
      <c r="B66" t="s">
        <v>309</v>
      </c>
      <c r="C66" t="s">
        <v>221</v>
      </c>
      <c r="D66">
        <v>2</v>
      </c>
      <c r="E66" t="s">
        <v>26</v>
      </c>
      <c r="F66" t="s">
        <v>388</v>
      </c>
      <c r="G66">
        <v>36.209553159999999</v>
      </c>
      <c r="H66">
        <v>0</v>
      </c>
      <c r="I66">
        <v>36.209553159999999</v>
      </c>
      <c r="J66">
        <v>63.790446840000001</v>
      </c>
      <c r="K66">
        <v>0.8</v>
      </c>
      <c r="L66">
        <v>0.3</v>
      </c>
      <c r="M66">
        <v>0.7</v>
      </c>
      <c r="N66">
        <v>414</v>
      </c>
      <c r="O66">
        <v>235</v>
      </c>
      <c r="P66">
        <v>0</v>
      </c>
      <c r="Q66">
        <v>36.21</v>
      </c>
      <c r="R66" t="s">
        <v>233</v>
      </c>
      <c r="S66">
        <v>0.98</v>
      </c>
      <c r="T66">
        <v>1.08</v>
      </c>
    </row>
    <row r="67" spans="1:21" x14ac:dyDescent="0.25">
      <c r="A67" t="s">
        <v>19</v>
      </c>
      <c r="B67" t="s">
        <v>20</v>
      </c>
      <c r="C67" t="s">
        <v>306</v>
      </c>
      <c r="D67">
        <v>3</v>
      </c>
      <c r="E67" t="s">
        <v>26</v>
      </c>
      <c r="F67" t="s">
        <v>388</v>
      </c>
      <c r="G67">
        <v>10</v>
      </c>
      <c r="H67">
        <v>25</v>
      </c>
      <c r="I67">
        <f>G67+H67</f>
        <v>35</v>
      </c>
      <c r="J67">
        <f>100-G67-H67</f>
        <v>65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>
        <f>I67</f>
        <v>35</v>
      </c>
      <c r="R67" t="s">
        <v>19</v>
      </c>
      <c r="S67" t="s">
        <v>19</v>
      </c>
      <c r="T67" t="s">
        <v>19</v>
      </c>
    </row>
    <row r="68" spans="1:21" x14ac:dyDescent="0.25">
      <c r="A68" t="s">
        <v>19</v>
      </c>
      <c r="B68" t="s">
        <v>20</v>
      </c>
      <c r="C68" t="s">
        <v>320</v>
      </c>
      <c r="D68">
        <v>3</v>
      </c>
      <c r="E68" t="s">
        <v>26</v>
      </c>
      <c r="F68" t="s">
        <v>388</v>
      </c>
      <c r="G68">
        <v>5</v>
      </c>
      <c r="H68">
        <v>25</v>
      </c>
      <c r="I68">
        <f>100-J68</f>
        <v>30</v>
      </c>
      <c r="J68">
        <f>100-G68-H68</f>
        <v>70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>
        <f>I68</f>
        <v>30</v>
      </c>
      <c r="R68" t="s">
        <v>19</v>
      </c>
      <c r="S68" t="s">
        <v>19</v>
      </c>
      <c r="T68" t="s">
        <v>19</v>
      </c>
    </row>
    <row r="69" spans="1:21" x14ac:dyDescent="0.25">
      <c r="A69" s="2">
        <v>45323.510196759256</v>
      </c>
      <c r="B69" t="s">
        <v>309</v>
      </c>
      <c r="C69" t="s">
        <v>322</v>
      </c>
      <c r="D69">
        <v>3</v>
      </c>
      <c r="E69" t="s">
        <v>26</v>
      </c>
      <c r="F69" t="s">
        <v>388</v>
      </c>
      <c r="G69">
        <f>(O69/(N69+O69+P69))*100</f>
        <v>6.6052227342549923</v>
      </c>
      <c r="H69">
        <f>(P69/(O69+P69+N69))*100</f>
        <v>24.577572964669738</v>
      </c>
      <c r="I69">
        <f>((O69+P69)/(P69+O69+N69))*100</f>
        <v>31.182795698924732</v>
      </c>
      <c r="J69">
        <f>(N69/(P69+O69+N69))*100</f>
        <v>68.817204301075279</v>
      </c>
      <c r="K69">
        <v>0.8</v>
      </c>
      <c r="L69">
        <v>0.3</v>
      </c>
      <c r="M69">
        <v>0.7</v>
      </c>
      <c r="N69">
        <v>448</v>
      </c>
      <c r="O69">
        <v>43</v>
      </c>
      <c r="P69">
        <v>160</v>
      </c>
      <c r="Q69">
        <v>31.18</v>
      </c>
      <c r="R69" t="s">
        <v>339</v>
      </c>
      <c r="S69">
        <v>2.57</v>
      </c>
      <c r="T69">
        <v>3.87</v>
      </c>
      <c r="U69">
        <v>48</v>
      </c>
    </row>
    <row r="70" spans="1:21" x14ac:dyDescent="0.25">
      <c r="A70" s="2">
        <v>45323.509953703702</v>
      </c>
      <c r="B70" t="s">
        <v>309</v>
      </c>
      <c r="C70" t="s">
        <v>322</v>
      </c>
      <c r="D70">
        <v>3</v>
      </c>
      <c r="E70" t="s">
        <v>26</v>
      </c>
      <c r="F70" t="s">
        <v>388</v>
      </c>
      <c r="G70">
        <f>(O70/(N70+O70+P70))*100</f>
        <v>8.0181543116490168</v>
      </c>
      <c r="H70">
        <f>(P70/(O70+P70+N70))*100</f>
        <v>25.567322239031771</v>
      </c>
      <c r="I70">
        <v>33.590000000000003</v>
      </c>
      <c r="J70">
        <f>(N70/(P70+O70+N70))*100</f>
        <v>66.414523449319219</v>
      </c>
      <c r="K70">
        <v>0.7</v>
      </c>
      <c r="L70">
        <v>0.3</v>
      </c>
      <c r="M70">
        <v>0.7</v>
      </c>
      <c r="N70">
        <v>439</v>
      </c>
      <c r="O70">
        <v>53</v>
      </c>
      <c r="P70">
        <v>169</v>
      </c>
      <c r="Q70">
        <v>33.590000000000003</v>
      </c>
      <c r="R70" t="s">
        <v>236</v>
      </c>
      <c r="S70">
        <v>2.57</v>
      </c>
      <c r="T70">
        <v>3.87</v>
      </c>
      <c r="U70">
        <v>38</v>
      </c>
    </row>
    <row r="71" spans="1:21" x14ac:dyDescent="0.25">
      <c r="A71" s="2">
        <v>45324.938460648147</v>
      </c>
      <c r="B71" t="s">
        <v>309</v>
      </c>
      <c r="C71" t="s">
        <v>368</v>
      </c>
      <c r="D71">
        <v>2</v>
      </c>
      <c r="E71" t="s">
        <v>26</v>
      </c>
      <c r="F71" t="s">
        <v>388</v>
      </c>
      <c r="G71">
        <f>(O71/(N71+O71+P71))*100</f>
        <v>40</v>
      </c>
      <c r="H71">
        <f>(P71/(O71+P71+N71))*100</f>
        <v>0</v>
      </c>
      <c r="I71">
        <v>40</v>
      </c>
      <c r="J71">
        <f>(N71/(P71+O71+N71))*100</f>
        <v>60</v>
      </c>
      <c r="K71">
        <v>0.8</v>
      </c>
      <c r="L71">
        <v>0.3</v>
      </c>
      <c r="M71">
        <v>0.7</v>
      </c>
      <c r="N71">
        <v>387</v>
      </c>
      <c r="O71">
        <v>258</v>
      </c>
      <c r="P71">
        <v>0</v>
      </c>
      <c r="Q71">
        <v>40</v>
      </c>
      <c r="R71" t="s">
        <v>246</v>
      </c>
      <c r="S71">
        <v>1.01</v>
      </c>
      <c r="T71">
        <v>1.1100000000000001</v>
      </c>
    </row>
    <row r="72" spans="1:21" x14ac:dyDescent="0.25">
      <c r="A72" t="s">
        <v>19</v>
      </c>
      <c r="B72" t="s">
        <v>20</v>
      </c>
      <c r="C72" t="s">
        <v>306</v>
      </c>
      <c r="D72">
        <v>3</v>
      </c>
      <c r="E72" t="s">
        <v>27</v>
      </c>
      <c r="F72" t="s">
        <v>373</v>
      </c>
      <c r="G72">
        <v>1</v>
      </c>
      <c r="H72">
        <v>0</v>
      </c>
      <c r="I72">
        <f>G72+H72</f>
        <v>1</v>
      </c>
      <c r="J72">
        <f>100-G72-H72</f>
        <v>99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>
        <f>I72</f>
        <v>1</v>
      </c>
      <c r="R72" t="s">
        <v>19</v>
      </c>
      <c r="S72" t="s">
        <v>19</v>
      </c>
      <c r="T72" t="s">
        <v>19</v>
      </c>
    </row>
    <row r="73" spans="1:21" x14ac:dyDescent="0.25">
      <c r="A73" t="s">
        <v>19</v>
      </c>
      <c r="B73" t="s">
        <v>20</v>
      </c>
      <c r="C73" t="s">
        <v>308</v>
      </c>
      <c r="D73">
        <v>3</v>
      </c>
      <c r="E73" t="s">
        <v>27</v>
      </c>
      <c r="F73" t="s">
        <v>373</v>
      </c>
      <c r="G73">
        <v>1</v>
      </c>
      <c r="H73">
        <v>0</v>
      </c>
      <c r="I73">
        <f>G73+H73</f>
        <v>1</v>
      </c>
      <c r="J73">
        <f>100-G73-H73</f>
        <v>99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>
        <f>I73</f>
        <v>1</v>
      </c>
      <c r="R73" t="s">
        <v>19</v>
      </c>
      <c r="S73" t="s">
        <v>19</v>
      </c>
      <c r="T73" t="s">
        <v>19</v>
      </c>
    </row>
    <row r="74" spans="1:21" x14ac:dyDescent="0.25">
      <c r="A74" t="s">
        <v>19</v>
      </c>
      <c r="B74" t="s">
        <v>20</v>
      </c>
      <c r="C74" t="s">
        <v>22</v>
      </c>
      <c r="D74">
        <v>3</v>
      </c>
      <c r="E74" t="s">
        <v>27</v>
      </c>
      <c r="F74" t="s">
        <v>373</v>
      </c>
      <c r="G74">
        <v>0</v>
      </c>
      <c r="H74">
        <v>0</v>
      </c>
      <c r="I74">
        <f>G74+H74</f>
        <v>0</v>
      </c>
      <c r="J74">
        <f>100-G74-H74</f>
        <v>100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>
        <f>I74</f>
        <v>0</v>
      </c>
      <c r="R74" t="s">
        <v>19</v>
      </c>
      <c r="S74" t="s">
        <v>19</v>
      </c>
      <c r="T74" t="s">
        <v>19</v>
      </c>
    </row>
    <row r="75" spans="1:21" x14ac:dyDescent="0.25">
      <c r="A75" t="s">
        <v>19</v>
      </c>
      <c r="B75" t="s">
        <v>20</v>
      </c>
      <c r="C75" t="s">
        <v>305</v>
      </c>
      <c r="D75">
        <v>3</v>
      </c>
      <c r="E75" t="s">
        <v>27</v>
      </c>
      <c r="F75" t="s">
        <v>373</v>
      </c>
      <c r="G75">
        <v>0</v>
      </c>
      <c r="H75">
        <v>0</v>
      </c>
      <c r="I75">
        <f>G75+H75</f>
        <v>0</v>
      </c>
      <c r="J75">
        <f>100-G75-H75</f>
        <v>100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>
        <f>I75</f>
        <v>0</v>
      </c>
      <c r="R75" t="s">
        <v>19</v>
      </c>
      <c r="S75" t="s">
        <v>19</v>
      </c>
      <c r="T75" t="s">
        <v>19</v>
      </c>
    </row>
    <row r="76" spans="1:21" x14ac:dyDescent="0.25">
      <c r="A76" t="s">
        <v>19</v>
      </c>
      <c r="B76" t="s">
        <v>20</v>
      </c>
      <c r="C76" t="s">
        <v>307</v>
      </c>
      <c r="D76">
        <v>3</v>
      </c>
      <c r="E76" t="s">
        <v>27</v>
      </c>
      <c r="F76" t="s">
        <v>373</v>
      </c>
      <c r="G76">
        <v>0</v>
      </c>
      <c r="H76">
        <v>0</v>
      </c>
      <c r="I76">
        <f>G76+H76</f>
        <v>0</v>
      </c>
      <c r="J76">
        <f>100-G76-H76</f>
        <v>100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>
        <f>I76</f>
        <v>0</v>
      </c>
      <c r="R76" t="s">
        <v>19</v>
      </c>
      <c r="S76" t="s">
        <v>19</v>
      </c>
      <c r="T76" t="s">
        <v>19</v>
      </c>
    </row>
    <row r="77" spans="1:21" x14ac:dyDescent="0.25">
      <c r="A77" s="2">
        <v>45253.67083333333</v>
      </c>
      <c r="B77" t="s">
        <v>309</v>
      </c>
      <c r="C77" t="s">
        <v>213</v>
      </c>
      <c r="D77">
        <v>3</v>
      </c>
      <c r="E77" t="s">
        <v>27</v>
      </c>
      <c r="F77" t="s">
        <v>373</v>
      </c>
      <c r="G77">
        <v>0.70621468899999995</v>
      </c>
      <c r="H77">
        <v>0.98870056500000003</v>
      </c>
      <c r="I77">
        <v>1.6949152540000001</v>
      </c>
      <c r="J77">
        <v>98.305084750000006</v>
      </c>
      <c r="K77">
        <v>0.8</v>
      </c>
      <c r="L77">
        <v>0.2</v>
      </c>
      <c r="M77">
        <v>0.7</v>
      </c>
      <c r="N77">
        <v>696</v>
      </c>
      <c r="O77">
        <v>5</v>
      </c>
      <c r="P77">
        <v>7</v>
      </c>
      <c r="Q77">
        <v>1.69</v>
      </c>
      <c r="R77" t="s">
        <v>214</v>
      </c>
      <c r="S77">
        <v>2.77</v>
      </c>
      <c r="T77">
        <v>3.14</v>
      </c>
    </row>
    <row r="78" spans="1:21" x14ac:dyDescent="0.25">
      <c r="A78" s="2">
        <v>45253.90347222222</v>
      </c>
      <c r="B78" t="s">
        <v>309</v>
      </c>
      <c r="C78" t="s">
        <v>215</v>
      </c>
      <c r="D78">
        <v>2</v>
      </c>
      <c r="E78" t="s">
        <v>27</v>
      </c>
      <c r="F78" t="s">
        <v>373</v>
      </c>
      <c r="G78">
        <v>11.26760563</v>
      </c>
      <c r="H78">
        <v>0</v>
      </c>
      <c r="I78">
        <v>11.26760563</v>
      </c>
      <c r="J78">
        <v>88.732394369999994</v>
      </c>
      <c r="K78">
        <v>0.8</v>
      </c>
      <c r="L78">
        <v>0.2</v>
      </c>
      <c r="M78">
        <v>0.7</v>
      </c>
      <c r="N78">
        <v>567</v>
      </c>
      <c r="O78">
        <v>72</v>
      </c>
      <c r="P78">
        <v>0</v>
      </c>
      <c r="Q78">
        <v>11.27</v>
      </c>
      <c r="R78" t="s">
        <v>226</v>
      </c>
      <c r="S78">
        <v>0.3</v>
      </c>
      <c r="T78">
        <v>0.33</v>
      </c>
    </row>
    <row r="79" spans="1:21" x14ac:dyDescent="0.25">
      <c r="A79" s="2">
        <v>45254.075694444444</v>
      </c>
      <c r="B79" t="s">
        <v>309</v>
      </c>
      <c r="C79" t="s">
        <v>217</v>
      </c>
      <c r="D79">
        <v>2</v>
      </c>
      <c r="E79" t="s">
        <v>27</v>
      </c>
      <c r="F79" t="s">
        <v>373</v>
      </c>
      <c r="G79">
        <v>6.847133758</v>
      </c>
      <c r="H79">
        <v>0</v>
      </c>
      <c r="I79">
        <v>6.847133758</v>
      </c>
      <c r="J79">
        <v>93.152866239999994</v>
      </c>
      <c r="K79">
        <v>0.8</v>
      </c>
      <c r="L79">
        <v>0.2</v>
      </c>
      <c r="M79">
        <v>0.7</v>
      </c>
      <c r="N79">
        <v>585</v>
      </c>
      <c r="O79">
        <v>43</v>
      </c>
      <c r="P79">
        <v>0</v>
      </c>
      <c r="Q79">
        <v>6.85</v>
      </c>
      <c r="R79" t="s">
        <v>235</v>
      </c>
      <c r="S79">
        <v>0.27</v>
      </c>
      <c r="T79">
        <v>0.28999999999999998</v>
      </c>
    </row>
    <row r="80" spans="1:21" x14ac:dyDescent="0.25">
      <c r="A80" s="2">
        <v>45316.412499999999</v>
      </c>
      <c r="B80" t="s">
        <v>309</v>
      </c>
      <c r="C80" t="s">
        <v>219</v>
      </c>
      <c r="D80">
        <v>3</v>
      </c>
      <c r="E80" t="s">
        <v>27</v>
      </c>
      <c r="F80" t="s">
        <v>373</v>
      </c>
      <c r="G80">
        <v>0.14184397200000001</v>
      </c>
      <c r="H80">
        <v>1.1347517730000001</v>
      </c>
      <c r="I80">
        <v>1.2765957450000001</v>
      </c>
      <c r="J80">
        <v>98.723404259999995</v>
      </c>
      <c r="K80">
        <v>0.8</v>
      </c>
      <c r="L80">
        <v>0.2</v>
      </c>
      <c r="M80">
        <v>0.7</v>
      </c>
      <c r="N80">
        <v>696</v>
      </c>
      <c r="O80">
        <v>1</v>
      </c>
      <c r="P80">
        <v>8</v>
      </c>
      <c r="Q80">
        <v>1.28</v>
      </c>
      <c r="R80" t="s">
        <v>220</v>
      </c>
      <c r="S80">
        <v>2.97</v>
      </c>
      <c r="T80">
        <v>3.91</v>
      </c>
    </row>
    <row r="81" spans="1:21" x14ac:dyDescent="0.25">
      <c r="A81" s="2">
        <v>45320.931944444441</v>
      </c>
      <c r="B81" t="s">
        <v>309</v>
      </c>
      <c r="C81" t="s">
        <v>221</v>
      </c>
      <c r="D81">
        <v>2</v>
      </c>
      <c r="E81" t="s">
        <v>27</v>
      </c>
      <c r="F81" t="s">
        <v>373</v>
      </c>
      <c r="G81">
        <v>0.58823529399999996</v>
      </c>
      <c r="H81">
        <v>0</v>
      </c>
      <c r="I81">
        <v>0.58823529399999996</v>
      </c>
      <c r="J81">
        <v>99.41176471</v>
      </c>
      <c r="K81">
        <v>0.8</v>
      </c>
      <c r="L81">
        <v>0.3</v>
      </c>
      <c r="M81">
        <v>0.7</v>
      </c>
      <c r="N81">
        <v>676</v>
      </c>
      <c r="O81">
        <v>4</v>
      </c>
      <c r="P81">
        <v>0</v>
      </c>
      <c r="Q81">
        <v>0.59</v>
      </c>
      <c r="R81" t="s">
        <v>229</v>
      </c>
      <c r="S81">
        <v>0.06</v>
      </c>
      <c r="T81">
        <v>0.06</v>
      </c>
    </row>
    <row r="82" spans="1:21" x14ac:dyDescent="0.25">
      <c r="A82" t="s">
        <v>19</v>
      </c>
      <c r="B82" t="s">
        <v>20</v>
      </c>
      <c r="C82" t="s">
        <v>320</v>
      </c>
      <c r="D82">
        <v>3</v>
      </c>
      <c r="E82" t="s">
        <v>27</v>
      </c>
      <c r="F82" t="s">
        <v>373</v>
      </c>
      <c r="G82">
        <v>0</v>
      </c>
      <c r="H82">
        <v>0</v>
      </c>
      <c r="I82">
        <f>100-J82</f>
        <v>0</v>
      </c>
      <c r="J82">
        <f>100-G82-H82</f>
        <v>100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>
        <f>I82</f>
        <v>0</v>
      </c>
      <c r="R82" t="s">
        <v>19</v>
      </c>
      <c r="S82" t="s">
        <v>19</v>
      </c>
      <c r="T82" t="s">
        <v>19</v>
      </c>
    </row>
    <row r="83" spans="1:21" x14ac:dyDescent="0.25">
      <c r="A83" s="2">
        <v>45323.510057870371</v>
      </c>
      <c r="B83" t="s">
        <v>309</v>
      </c>
      <c r="C83" t="s">
        <v>322</v>
      </c>
      <c r="D83">
        <v>3</v>
      </c>
      <c r="E83" t="s">
        <v>27</v>
      </c>
      <c r="F83" t="s">
        <v>373</v>
      </c>
      <c r="G83">
        <f>(O83/(N83+O83+P83))*100</f>
        <v>0.85227272727272718</v>
      </c>
      <c r="H83">
        <f>(P83/(O83+P83+N83))*100</f>
        <v>0</v>
      </c>
      <c r="I83">
        <f>((O83+P83)/(P83+O83+N83))*100</f>
        <v>0.85227272727272718</v>
      </c>
      <c r="J83">
        <f>(N83/(P83+O83+N83))*100</f>
        <v>99.147727272727266</v>
      </c>
      <c r="K83">
        <v>0.8</v>
      </c>
      <c r="L83">
        <v>0.3</v>
      </c>
      <c r="M83">
        <v>0.7</v>
      </c>
      <c r="N83">
        <v>698</v>
      </c>
      <c r="O83">
        <v>6</v>
      </c>
      <c r="P83">
        <v>0</v>
      </c>
      <c r="Q83">
        <v>0.85</v>
      </c>
      <c r="R83" t="s">
        <v>234</v>
      </c>
      <c r="S83">
        <v>2.6</v>
      </c>
      <c r="T83">
        <v>2.95</v>
      </c>
      <c r="U83">
        <v>11</v>
      </c>
    </row>
    <row r="84" spans="1:21" x14ac:dyDescent="0.25">
      <c r="A84" s="2">
        <v>45323.510300925926</v>
      </c>
      <c r="B84" t="s">
        <v>309</v>
      </c>
      <c r="C84" t="s">
        <v>322</v>
      </c>
      <c r="D84">
        <v>3</v>
      </c>
      <c r="E84" t="s">
        <v>27</v>
      </c>
      <c r="F84" t="s">
        <v>373</v>
      </c>
      <c r="G84">
        <f>(O84/(N84+O84+P84))*100</f>
        <v>1.1331444759206799</v>
      </c>
      <c r="H84">
        <f>(P84/(O84+P84+N84))*100</f>
        <v>0</v>
      </c>
      <c r="I84">
        <f>((O84+P84)/(P84+O84+N84))*100</f>
        <v>1.1331444759206799</v>
      </c>
      <c r="J84">
        <f>(N84/(P84+O84+N84))*100</f>
        <v>98.866855524079327</v>
      </c>
      <c r="K84">
        <v>0.7</v>
      </c>
      <c r="L84">
        <v>0.3</v>
      </c>
      <c r="M84">
        <v>0.7</v>
      </c>
      <c r="N84">
        <v>698</v>
      </c>
      <c r="O84">
        <v>8</v>
      </c>
      <c r="P84">
        <v>0</v>
      </c>
      <c r="Q84">
        <v>1.1299999999999999</v>
      </c>
      <c r="R84" t="s">
        <v>338</v>
      </c>
      <c r="S84">
        <v>2.6</v>
      </c>
      <c r="T84">
        <v>2.95</v>
      </c>
      <c r="U84">
        <v>9</v>
      </c>
    </row>
    <row r="85" spans="1:21" x14ac:dyDescent="0.25">
      <c r="A85" s="2">
        <v>45325.091932870368</v>
      </c>
      <c r="B85" t="s">
        <v>309</v>
      </c>
      <c r="C85" t="s">
        <v>368</v>
      </c>
      <c r="D85">
        <v>2</v>
      </c>
      <c r="E85" t="s">
        <v>27</v>
      </c>
      <c r="F85" t="s">
        <v>373</v>
      </c>
      <c r="G85">
        <f>(O85/(N85+O85+P85))*100</f>
        <v>0.56497175141242939</v>
      </c>
      <c r="H85">
        <f>(P85/(O85+P85+N85))*100</f>
        <v>0</v>
      </c>
      <c r="I85">
        <v>0.56000000000000005</v>
      </c>
      <c r="J85">
        <f>(N85/(P85+O85+N85))*100</f>
        <v>99.435028248587571</v>
      </c>
      <c r="K85">
        <v>0.8</v>
      </c>
      <c r="L85">
        <v>0.3</v>
      </c>
      <c r="M85">
        <v>0.7</v>
      </c>
      <c r="N85">
        <v>704</v>
      </c>
      <c r="O85">
        <v>4</v>
      </c>
      <c r="P85">
        <v>0</v>
      </c>
      <c r="Q85">
        <v>0.56000000000000005</v>
      </c>
      <c r="R85" t="s">
        <v>276</v>
      </c>
      <c r="S85">
        <v>0.02</v>
      </c>
      <c r="T85">
        <v>0.02</v>
      </c>
    </row>
    <row r="86" spans="1:21" x14ac:dyDescent="0.25">
      <c r="A86" t="s">
        <v>19</v>
      </c>
      <c r="B86" t="s">
        <v>20</v>
      </c>
      <c r="C86" t="s">
        <v>306</v>
      </c>
      <c r="D86">
        <v>3</v>
      </c>
      <c r="E86" t="s">
        <v>28</v>
      </c>
      <c r="F86" t="s">
        <v>373</v>
      </c>
      <c r="G86">
        <v>25</v>
      </c>
      <c r="H86">
        <v>5</v>
      </c>
      <c r="I86">
        <f>G86+H86</f>
        <v>30</v>
      </c>
      <c r="J86">
        <f>100-G86-H86</f>
        <v>70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>
        <f>I86</f>
        <v>30</v>
      </c>
      <c r="R86" t="s">
        <v>19</v>
      </c>
      <c r="S86" t="s">
        <v>19</v>
      </c>
      <c r="T86" t="s">
        <v>19</v>
      </c>
    </row>
    <row r="87" spans="1:21" x14ac:dyDescent="0.25">
      <c r="A87" t="s">
        <v>19</v>
      </c>
      <c r="B87" t="s">
        <v>20</v>
      </c>
      <c r="C87" t="s">
        <v>308</v>
      </c>
      <c r="D87">
        <v>3</v>
      </c>
      <c r="E87" t="s">
        <v>28</v>
      </c>
      <c r="F87" t="s">
        <v>373</v>
      </c>
      <c r="G87">
        <v>15</v>
      </c>
      <c r="H87">
        <v>3</v>
      </c>
      <c r="I87">
        <f>G87+H87</f>
        <v>18</v>
      </c>
      <c r="J87">
        <f>100-G87-H87</f>
        <v>82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>
        <f>I87</f>
        <v>18</v>
      </c>
      <c r="R87" t="s">
        <v>19</v>
      </c>
      <c r="S87" t="s">
        <v>19</v>
      </c>
      <c r="T87" t="s">
        <v>19</v>
      </c>
    </row>
    <row r="88" spans="1:21" x14ac:dyDescent="0.25">
      <c r="A88" t="s">
        <v>19</v>
      </c>
      <c r="B88" t="s">
        <v>20</v>
      </c>
      <c r="C88" t="s">
        <v>22</v>
      </c>
      <c r="D88">
        <v>3</v>
      </c>
      <c r="E88" t="s">
        <v>28</v>
      </c>
      <c r="F88" t="s">
        <v>373</v>
      </c>
      <c r="G88">
        <v>50</v>
      </c>
      <c r="H88">
        <v>15</v>
      </c>
      <c r="I88">
        <f>G88+H88</f>
        <v>65</v>
      </c>
      <c r="J88">
        <f>100-G88-H88</f>
        <v>35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>
        <f>I88</f>
        <v>65</v>
      </c>
      <c r="R88" t="s">
        <v>19</v>
      </c>
      <c r="S88" t="s">
        <v>19</v>
      </c>
      <c r="T88" t="s">
        <v>19</v>
      </c>
    </row>
    <row r="89" spans="1:21" x14ac:dyDescent="0.25">
      <c r="A89" t="s">
        <v>19</v>
      </c>
      <c r="B89" t="s">
        <v>20</v>
      </c>
      <c r="C89" t="s">
        <v>305</v>
      </c>
      <c r="D89">
        <v>3</v>
      </c>
      <c r="E89" t="s">
        <v>28</v>
      </c>
      <c r="F89" t="s">
        <v>373</v>
      </c>
      <c r="G89">
        <v>13</v>
      </c>
      <c r="H89">
        <v>2</v>
      </c>
      <c r="I89">
        <f>G89+H89</f>
        <v>15</v>
      </c>
      <c r="J89">
        <f>100-G89-H89</f>
        <v>85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>
        <f>I89</f>
        <v>15</v>
      </c>
      <c r="R89" t="s">
        <v>19</v>
      </c>
      <c r="S89" t="s">
        <v>19</v>
      </c>
      <c r="T89" t="s">
        <v>19</v>
      </c>
    </row>
    <row r="90" spans="1:21" x14ac:dyDescent="0.25">
      <c r="A90" t="s">
        <v>19</v>
      </c>
      <c r="B90" t="s">
        <v>20</v>
      </c>
      <c r="C90" t="s">
        <v>307</v>
      </c>
      <c r="D90">
        <v>3</v>
      </c>
      <c r="E90" t="s">
        <v>28</v>
      </c>
      <c r="F90" t="s">
        <v>373</v>
      </c>
      <c r="G90">
        <v>2</v>
      </c>
      <c r="H90">
        <v>1</v>
      </c>
      <c r="I90">
        <f>G90+H90</f>
        <v>3</v>
      </c>
      <c r="J90">
        <f>100-G90-H90</f>
        <v>97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>
        <f>I90</f>
        <v>3</v>
      </c>
      <c r="R90" t="s">
        <v>19</v>
      </c>
      <c r="S90" t="s">
        <v>19</v>
      </c>
      <c r="T90" t="s">
        <v>19</v>
      </c>
    </row>
    <row r="91" spans="1:21" x14ac:dyDescent="0.25">
      <c r="A91" s="2">
        <v>45253.672222222223</v>
      </c>
      <c r="B91" t="s">
        <v>309</v>
      </c>
      <c r="C91" t="s">
        <v>213</v>
      </c>
      <c r="D91">
        <v>3</v>
      </c>
      <c r="E91" t="s">
        <v>28</v>
      </c>
      <c r="F91" t="s">
        <v>373</v>
      </c>
      <c r="G91">
        <v>25.96153846</v>
      </c>
      <c r="H91">
        <v>0</v>
      </c>
      <c r="I91">
        <v>25.96153846</v>
      </c>
      <c r="J91">
        <v>74.03846154</v>
      </c>
      <c r="K91">
        <v>0.8</v>
      </c>
      <c r="L91">
        <v>0.2</v>
      </c>
      <c r="M91">
        <v>0.7</v>
      </c>
      <c r="N91">
        <v>385</v>
      </c>
      <c r="O91">
        <v>135</v>
      </c>
      <c r="P91">
        <v>0</v>
      </c>
      <c r="Q91">
        <v>25.96</v>
      </c>
      <c r="R91" t="s">
        <v>236</v>
      </c>
      <c r="S91">
        <v>2.66</v>
      </c>
      <c r="T91">
        <v>3.03</v>
      </c>
    </row>
    <row r="92" spans="1:21" x14ac:dyDescent="0.25">
      <c r="A92" s="2">
        <v>45253.904166666667</v>
      </c>
      <c r="B92" t="s">
        <v>309</v>
      </c>
      <c r="C92" t="s">
        <v>215</v>
      </c>
      <c r="D92">
        <v>2</v>
      </c>
      <c r="E92" t="s">
        <v>28</v>
      </c>
      <c r="F92" t="s">
        <v>373</v>
      </c>
      <c r="G92">
        <v>2.7656477439999998</v>
      </c>
      <c r="H92">
        <v>0</v>
      </c>
      <c r="I92">
        <v>2.7656477439999998</v>
      </c>
      <c r="J92">
        <v>97.234352259999994</v>
      </c>
      <c r="K92">
        <v>0.8</v>
      </c>
      <c r="L92">
        <v>0.2</v>
      </c>
      <c r="M92">
        <v>0.7</v>
      </c>
      <c r="N92">
        <v>668</v>
      </c>
      <c r="O92">
        <v>19</v>
      </c>
      <c r="P92">
        <v>0</v>
      </c>
      <c r="Q92">
        <v>2.77</v>
      </c>
      <c r="R92" t="s">
        <v>224</v>
      </c>
      <c r="S92">
        <v>0.11</v>
      </c>
      <c r="T92">
        <v>0.12</v>
      </c>
    </row>
    <row r="93" spans="1:21" x14ac:dyDescent="0.25">
      <c r="A93" s="2">
        <v>45254.07708333333</v>
      </c>
      <c r="B93" t="s">
        <v>309</v>
      </c>
      <c r="C93" t="s">
        <v>217</v>
      </c>
      <c r="D93">
        <v>2</v>
      </c>
      <c r="E93" t="s">
        <v>28</v>
      </c>
      <c r="F93" t="s">
        <v>373</v>
      </c>
      <c r="G93">
        <v>10.618066560000001</v>
      </c>
      <c r="H93">
        <v>0</v>
      </c>
      <c r="I93">
        <v>10.618066560000001</v>
      </c>
      <c r="J93">
        <v>89.381933439999997</v>
      </c>
      <c r="K93">
        <v>0.8</v>
      </c>
      <c r="L93">
        <v>0.2</v>
      </c>
      <c r="M93">
        <v>0.7</v>
      </c>
      <c r="N93">
        <v>564</v>
      </c>
      <c r="O93">
        <v>67</v>
      </c>
      <c r="P93">
        <v>0</v>
      </c>
      <c r="Q93">
        <v>10.62</v>
      </c>
      <c r="R93" t="s">
        <v>235</v>
      </c>
      <c r="S93">
        <v>0.34</v>
      </c>
      <c r="T93">
        <v>0.35</v>
      </c>
    </row>
    <row r="94" spans="1:21" x14ac:dyDescent="0.25">
      <c r="A94" s="2">
        <v>45316.413888888892</v>
      </c>
      <c r="B94" t="s">
        <v>309</v>
      </c>
      <c r="C94" t="s">
        <v>219</v>
      </c>
      <c r="D94">
        <v>3</v>
      </c>
      <c r="E94" t="s">
        <v>28</v>
      </c>
      <c r="F94" t="s">
        <v>373</v>
      </c>
      <c r="G94">
        <v>38.93557423</v>
      </c>
      <c r="H94">
        <v>0.28011204499999998</v>
      </c>
      <c r="I94">
        <v>39.215686269999999</v>
      </c>
      <c r="J94">
        <v>60.784313730000001</v>
      </c>
      <c r="K94">
        <v>0.8</v>
      </c>
      <c r="L94">
        <v>0.2</v>
      </c>
      <c r="M94">
        <v>0.7</v>
      </c>
      <c r="N94">
        <v>217</v>
      </c>
      <c r="O94">
        <v>139</v>
      </c>
      <c r="P94">
        <v>1</v>
      </c>
      <c r="Q94">
        <v>39.22</v>
      </c>
      <c r="R94" t="s">
        <v>226</v>
      </c>
      <c r="S94">
        <v>3.1</v>
      </c>
      <c r="T94">
        <v>4.0599999999999996</v>
      </c>
    </row>
    <row r="95" spans="1:21" x14ac:dyDescent="0.25">
      <c r="A95" s="2">
        <v>45320.933333333334</v>
      </c>
      <c r="B95" t="s">
        <v>309</v>
      </c>
      <c r="C95" t="s">
        <v>221</v>
      </c>
      <c r="D95">
        <v>2</v>
      </c>
      <c r="E95" t="s">
        <v>28</v>
      </c>
      <c r="F95" t="s">
        <v>373</v>
      </c>
      <c r="G95">
        <v>19.536423840000001</v>
      </c>
      <c r="H95">
        <v>0</v>
      </c>
      <c r="I95">
        <v>19.536423840000001</v>
      </c>
      <c r="J95">
        <v>80.463576160000002</v>
      </c>
      <c r="K95">
        <v>0.8</v>
      </c>
      <c r="L95">
        <v>0.3</v>
      </c>
      <c r="M95">
        <v>0.7</v>
      </c>
      <c r="N95">
        <v>486</v>
      </c>
      <c r="O95">
        <v>118</v>
      </c>
      <c r="P95">
        <v>0</v>
      </c>
      <c r="Q95">
        <v>19.54</v>
      </c>
      <c r="R95" t="s">
        <v>237</v>
      </c>
      <c r="S95">
        <v>0.59</v>
      </c>
      <c r="T95">
        <v>0.62</v>
      </c>
    </row>
    <row r="96" spans="1:21" x14ac:dyDescent="0.25">
      <c r="A96" t="s">
        <v>19</v>
      </c>
      <c r="B96" t="s">
        <v>20</v>
      </c>
      <c r="C96" t="s">
        <v>320</v>
      </c>
      <c r="D96">
        <v>3</v>
      </c>
      <c r="E96" t="s">
        <v>28</v>
      </c>
      <c r="F96" t="s">
        <v>373</v>
      </c>
      <c r="G96">
        <v>12</v>
      </c>
      <c r="H96">
        <v>0</v>
      </c>
      <c r="I96">
        <f>100-J96</f>
        <v>12</v>
      </c>
      <c r="J96">
        <f>100-G96-H96</f>
        <v>88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>
        <f>I96</f>
        <v>12</v>
      </c>
      <c r="R96" t="s">
        <v>19</v>
      </c>
      <c r="S96" t="s">
        <v>19</v>
      </c>
      <c r="T96" t="s">
        <v>19</v>
      </c>
    </row>
    <row r="97" spans="1:21" x14ac:dyDescent="0.25">
      <c r="A97" s="2">
        <v>45323.511643518519</v>
      </c>
      <c r="B97" t="s">
        <v>309</v>
      </c>
      <c r="C97" t="s">
        <v>322</v>
      </c>
      <c r="D97">
        <v>3</v>
      </c>
      <c r="E97" t="s">
        <v>28</v>
      </c>
      <c r="F97" t="s">
        <v>373</v>
      </c>
      <c r="G97">
        <f>(O97/(N97+O97+P97))*100</f>
        <v>19.597989949748744</v>
      </c>
      <c r="H97">
        <f>(P97/(O97+P97+N97))*100</f>
        <v>0</v>
      </c>
      <c r="I97">
        <f>((O97+P97)/(P97+O97+N97))*100</f>
        <v>19.597989949748744</v>
      </c>
      <c r="J97">
        <f>(N97/(P97+O97+N97))*100</f>
        <v>80.402010050251263</v>
      </c>
      <c r="K97">
        <v>0.8</v>
      </c>
      <c r="L97">
        <v>0.3</v>
      </c>
      <c r="M97">
        <v>0.7</v>
      </c>
      <c r="N97">
        <v>480</v>
      </c>
      <c r="O97">
        <v>117</v>
      </c>
      <c r="P97">
        <v>0</v>
      </c>
      <c r="Q97">
        <v>19.600000000000001</v>
      </c>
      <c r="R97" t="s">
        <v>330</v>
      </c>
      <c r="S97">
        <v>2.5299999999999998</v>
      </c>
      <c r="T97">
        <v>2.83</v>
      </c>
      <c r="U97">
        <v>92</v>
      </c>
    </row>
    <row r="98" spans="1:21" x14ac:dyDescent="0.25">
      <c r="A98" s="2">
        <v>45323.512037037035</v>
      </c>
      <c r="B98" t="s">
        <v>309</v>
      </c>
      <c r="C98" t="s">
        <v>322</v>
      </c>
      <c r="D98">
        <v>3</v>
      </c>
      <c r="E98" t="s">
        <v>28</v>
      </c>
      <c r="F98" t="s">
        <v>373</v>
      </c>
      <c r="G98">
        <f>(O98/(N98+O98+P98))*100</f>
        <v>21.696574225122351</v>
      </c>
      <c r="H98">
        <f>(P98/(O98+P98+N98))*100</f>
        <v>0</v>
      </c>
      <c r="I98">
        <f>((O98+P98)/(P98+O98+N98))*100</f>
        <v>21.696574225122351</v>
      </c>
      <c r="J98">
        <f>(N98/(P98+O98+N98))*100</f>
        <v>78.303425774877653</v>
      </c>
      <c r="K98">
        <v>0.7</v>
      </c>
      <c r="L98">
        <v>0.3</v>
      </c>
      <c r="M98">
        <v>0.7</v>
      </c>
      <c r="N98">
        <v>480</v>
      </c>
      <c r="O98">
        <v>133</v>
      </c>
      <c r="P98">
        <v>0</v>
      </c>
      <c r="Q98">
        <v>21.7</v>
      </c>
      <c r="R98" t="s">
        <v>354</v>
      </c>
      <c r="S98">
        <v>2.5299999999999998</v>
      </c>
      <c r="T98">
        <v>2.83</v>
      </c>
      <c r="U98">
        <v>76</v>
      </c>
    </row>
    <row r="99" spans="1:21" x14ac:dyDescent="0.25">
      <c r="A99" s="2">
        <v>45325.093240740738</v>
      </c>
      <c r="B99" t="s">
        <v>309</v>
      </c>
      <c r="C99" t="s">
        <v>368</v>
      </c>
      <c r="D99">
        <v>2</v>
      </c>
      <c r="E99" t="s">
        <v>28</v>
      </c>
      <c r="F99" t="s">
        <v>373</v>
      </c>
      <c r="G99">
        <f>(O99/(N99+O99+P99))*100</f>
        <v>18.867924528301888</v>
      </c>
      <c r="H99">
        <f>(P99/(O99+P99+N99))*100</f>
        <v>0</v>
      </c>
      <c r="I99">
        <v>18.87</v>
      </c>
      <c r="J99">
        <f>(N99/(P99+O99+N99))*100</f>
        <v>81.132075471698116</v>
      </c>
      <c r="K99">
        <v>0.8</v>
      </c>
      <c r="L99">
        <v>0.3</v>
      </c>
      <c r="M99">
        <v>0.7</v>
      </c>
      <c r="N99">
        <v>473</v>
      </c>
      <c r="O99">
        <v>110</v>
      </c>
      <c r="P99">
        <v>0</v>
      </c>
      <c r="Q99">
        <v>18.87</v>
      </c>
      <c r="R99" t="s">
        <v>369</v>
      </c>
      <c r="S99">
        <v>0.6</v>
      </c>
      <c r="T99">
        <v>0.64</v>
      </c>
    </row>
    <row r="100" spans="1:21" x14ac:dyDescent="0.25">
      <c r="A100" t="s">
        <v>19</v>
      </c>
      <c r="B100" t="s">
        <v>20</v>
      </c>
      <c r="C100" t="s">
        <v>306</v>
      </c>
      <c r="D100">
        <v>3</v>
      </c>
      <c r="E100" t="s">
        <v>29</v>
      </c>
      <c r="F100" t="s">
        <v>373</v>
      </c>
      <c r="G100">
        <v>31</v>
      </c>
      <c r="H100">
        <v>9</v>
      </c>
      <c r="I100">
        <f>G100+H100</f>
        <v>40</v>
      </c>
      <c r="J100">
        <f>100-G100-H100</f>
        <v>60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>
        <f>I100</f>
        <v>40</v>
      </c>
      <c r="R100" t="s">
        <v>19</v>
      </c>
      <c r="S100" t="s">
        <v>19</v>
      </c>
      <c r="T100" t="s">
        <v>19</v>
      </c>
    </row>
    <row r="101" spans="1:21" x14ac:dyDescent="0.25">
      <c r="A101" t="s">
        <v>19</v>
      </c>
      <c r="B101" t="s">
        <v>20</v>
      </c>
      <c r="C101" t="s">
        <v>308</v>
      </c>
      <c r="D101">
        <v>3</v>
      </c>
      <c r="E101" t="s">
        <v>29</v>
      </c>
      <c r="F101" t="s">
        <v>373</v>
      </c>
      <c r="G101">
        <v>20</v>
      </c>
      <c r="H101">
        <v>5</v>
      </c>
      <c r="I101">
        <f>G101+H101</f>
        <v>25</v>
      </c>
      <c r="J101">
        <f>100-G101-H101</f>
        <v>75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  <c r="Q101">
        <f>I101</f>
        <v>25</v>
      </c>
      <c r="R101" t="s">
        <v>19</v>
      </c>
      <c r="S101" t="s">
        <v>19</v>
      </c>
      <c r="T101" t="s">
        <v>19</v>
      </c>
    </row>
    <row r="102" spans="1:21" x14ac:dyDescent="0.25">
      <c r="A102" t="s">
        <v>19</v>
      </c>
      <c r="B102" t="s">
        <v>20</v>
      </c>
      <c r="C102" t="s">
        <v>22</v>
      </c>
      <c r="D102">
        <v>3</v>
      </c>
      <c r="E102" t="s">
        <v>29</v>
      </c>
      <c r="F102" t="s">
        <v>373</v>
      </c>
      <c r="G102">
        <v>35</v>
      </c>
      <c r="H102">
        <v>3</v>
      </c>
      <c r="I102">
        <f>G102+H102</f>
        <v>38</v>
      </c>
      <c r="J102">
        <f>100-G102-H102</f>
        <v>62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>
        <f>I102</f>
        <v>38</v>
      </c>
      <c r="R102" t="s">
        <v>19</v>
      </c>
      <c r="S102" t="s">
        <v>19</v>
      </c>
      <c r="T102" t="s">
        <v>19</v>
      </c>
    </row>
    <row r="103" spans="1:21" x14ac:dyDescent="0.25">
      <c r="A103" t="s">
        <v>19</v>
      </c>
      <c r="B103" t="s">
        <v>20</v>
      </c>
      <c r="C103" t="s">
        <v>305</v>
      </c>
      <c r="D103">
        <v>3</v>
      </c>
      <c r="E103" t="s">
        <v>29</v>
      </c>
      <c r="F103" t="s">
        <v>373</v>
      </c>
      <c r="G103">
        <v>30</v>
      </c>
      <c r="H103">
        <v>5</v>
      </c>
      <c r="I103">
        <f>G103+H103</f>
        <v>35</v>
      </c>
      <c r="J103">
        <f>100-G103-H103</f>
        <v>65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>
        <f>I103</f>
        <v>35</v>
      </c>
      <c r="R103" t="s">
        <v>19</v>
      </c>
      <c r="S103" t="s">
        <v>19</v>
      </c>
      <c r="T103" t="s">
        <v>19</v>
      </c>
    </row>
    <row r="104" spans="1:21" x14ac:dyDescent="0.25">
      <c r="A104" t="s">
        <v>19</v>
      </c>
      <c r="B104" t="s">
        <v>20</v>
      </c>
      <c r="C104" t="s">
        <v>307</v>
      </c>
      <c r="D104">
        <v>3</v>
      </c>
      <c r="E104" t="s">
        <v>29</v>
      </c>
      <c r="F104" t="s">
        <v>373</v>
      </c>
      <c r="G104">
        <v>3</v>
      </c>
      <c r="H104">
        <v>2</v>
      </c>
      <c r="I104">
        <f>G104+H104</f>
        <v>5</v>
      </c>
      <c r="J104">
        <f>100-G104-H104</f>
        <v>95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>
        <f>I104</f>
        <v>5</v>
      </c>
      <c r="R104" t="s">
        <v>19</v>
      </c>
      <c r="S104" t="s">
        <v>19</v>
      </c>
      <c r="T104" t="s">
        <v>19</v>
      </c>
    </row>
    <row r="105" spans="1:21" x14ac:dyDescent="0.25">
      <c r="A105" s="2">
        <v>45253.673611111109</v>
      </c>
      <c r="B105" t="s">
        <v>309</v>
      </c>
      <c r="C105" t="s">
        <v>213</v>
      </c>
      <c r="D105">
        <v>3</v>
      </c>
      <c r="E105" t="s">
        <v>29</v>
      </c>
      <c r="F105" t="s">
        <v>373</v>
      </c>
      <c r="G105">
        <v>13.562386979999999</v>
      </c>
      <c r="H105">
        <v>1.446654611</v>
      </c>
      <c r="I105">
        <v>15.009041590000001</v>
      </c>
      <c r="J105">
        <v>84.990958410000005</v>
      </c>
      <c r="K105">
        <v>0.8</v>
      </c>
      <c r="L105">
        <v>0.2</v>
      </c>
      <c r="M105">
        <v>0.7</v>
      </c>
      <c r="N105">
        <v>470</v>
      </c>
      <c r="O105">
        <v>75</v>
      </c>
      <c r="P105">
        <v>8</v>
      </c>
      <c r="Q105">
        <v>15.01</v>
      </c>
      <c r="R105" t="s">
        <v>238</v>
      </c>
      <c r="S105">
        <v>2.84</v>
      </c>
      <c r="T105">
        <v>3.11</v>
      </c>
    </row>
    <row r="106" spans="1:21" x14ac:dyDescent="0.25">
      <c r="A106" s="2">
        <v>45253.904861111114</v>
      </c>
      <c r="B106" t="s">
        <v>309</v>
      </c>
      <c r="C106" t="s">
        <v>215</v>
      </c>
      <c r="D106">
        <v>2</v>
      </c>
      <c r="E106" t="s">
        <v>29</v>
      </c>
      <c r="F106" t="s">
        <v>373</v>
      </c>
      <c r="G106">
        <v>8.1168831170000004</v>
      </c>
      <c r="H106">
        <v>0</v>
      </c>
      <c r="I106">
        <v>8.1168831170000004</v>
      </c>
      <c r="J106">
        <v>91.883116880000003</v>
      </c>
      <c r="K106">
        <v>0.8</v>
      </c>
      <c r="L106">
        <v>0.2</v>
      </c>
      <c r="M106">
        <v>0.7</v>
      </c>
      <c r="N106">
        <v>566</v>
      </c>
      <c r="O106">
        <v>50</v>
      </c>
      <c r="P106">
        <v>0</v>
      </c>
      <c r="Q106">
        <v>8.1199999999999992</v>
      </c>
      <c r="R106" t="s">
        <v>227</v>
      </c>
      <c r="S106">
        <v>0.25</v>
      </c>
      <c r="T106">
        <v>0.27</v>
      </c>
    </row>
    <row r="107" spans="1:21" x14ac:dyDescent="0.25">
      <c r="A107" s="2">
        <v>45254.077777777777</v>
      </c>
      <c r="B107" t="s">
        <v>309</v>
      </c>
      <c r="C107" t="s">
        <v>217</v>
      </c>
      <c r="D107">
        <v>2</v>
      </c>
      <c r="E107" t="s">
        <v>29</v>
      </c>
      <c r="F107" t="s">
        <v>373</v>
      </c>
      <c r="G107">
        <v>9.5389507150000004</v>
      </c>
      <c r="H107">
        <v>0</v>
      </c>
      <c r="I107">
        <v>9.5389507150000004</v>
      </c>
      <c r="J107">
        <v>90.461049279999997</v>
      </c>
      <c r="K107">
        <v>0.8</v>
      </c>
      <c r="L107">
        <v>0.2</v>
      </c>
      <c r="M107">
        <v>0.7</v>
      </c>
      <c r="N107">
        <v>569</v>
      </c>
      <c r="O107">
        <v>60</v>
      </c>
      <c r="P107">
        <v>0</v>
      </c>
      <c r="Q107">
        <v>9.5399999999999991</v>
      </c>
      <c r="R107" t="s">
        <v>225</v>
      </c>
      <c r="S107">
        <v>0.28999999999999998</v>
      </c>
      <c r="T107">
        <v>0.3</v>
      </c>
    </row>
    <row r="108" spans="1:21" x14ac:dyDescent="0.25">
      <c r="A108" s="2">
        <v>45316.414583333331</v>
      </c>
      <c r="B108" t="s">
        <v>309</v>
      </c>
      <c r="C108" t="s">
        <v>219</v>
      </c>
      <c r="D108">
        <v>3</v>
      </c>
      <c r="E108" t="s">
        <v>29</v>
      </c>
      <c r="F108" t="s">
        <v>373</v>
      </c>
      <c r="G108">
        <v>11.158798279999999</v>
      </c>
      <c r="H108">
        <v>0.85836909900000002</v>
      </c>
      <c r="I108">
        <v>12.01716738</v>
      </c>
      <c r="J108">
        <v>87.982832619999996</v>
      </c>
      <c r="K108">
        <v>0.8</v>
      </c>
      <c r="L108">
        <v>0.2</v>
      </c>
      <c r="M108">
        <v>0.7</v>
      </c>
      <c r="N108">
        <v>410</v>
      </c>
      <c r="O108">
        <v>52</v>
      </c>
      <c r="P108">
        <v>4</v>
      </c>
      <c r="Q108">
        <v>12.02</v>
      </c>
      <c r="R108" t="s">
        <v>231</v>
      </c>
      <c r="S108">
        <v>3.27</v>
      </c>
      <c r="T108">
        <v>4.58</v>
      </c>
    </row>
    <row r="109" spans="1:21" x14ac:dyDescent="0.25">
      <c r="A109" s="2">
        <v>45320.934027777781</v>
      </c>
      <c r="B109" t="s">
        <v>309</v>
      </c>
      <c r="C109" t="s">
        <v>221</v>
      </c>
      <c r="D109">
        <v>2</v>
      </c>
      <c r="E109" t="s">
        <v>29</v>
      </c>
      <c r="F109" t="s">
        <v>373</v>
      </c>
      <c r="G109">
        <v>23.817567570000001</v>
      </c>
      <c r="H109">
        <v>0</v>
      </c>
      <c r="I109">
        <v>23.817567570000001</v>
      </c>
      <c r="J109">
        <v>76.182432430000006</v>
      </c>
      <c r="K109">
        <v>0.8</v>
      </c>
      <c r="L109">
        <v>0.3</v>
      </c>
      <c r="M109">
        <v>0.7</v>
      </c>
      <c r="N109">
        <v>451</v>
      </c>
      <c r="O109">
        <v>141</v>
      </c>
      <c r="P109">
        <v>0</v>
      </c>
      <c r="Q109">
        <v>23.82</v>
      </c>
      <c r="R109" t="s">
        <v>239</v>
      </c>
      <c r="S109">
        <v>0.7</v>
      </c>
      <c r="T109">
        <v>0.73</v>
      </c>
    </row>
    <row r="110" spans="1:21" x14ac:dyDescent="0.25">
      <c r="A110" t="s">
        <v>19</v>
      </c>
      <c r="B110" t="s">
        <v>20</v>
      </c>
      <c r="C110" t="s">
        <v>320</v>
      </c>
      <c r="D110">
        <v>3</v>
      </c>
      <c r="E110" t="s">
        <v>29</v>
      </c>
      <c r="F110" t="s">
        <v>373</v>
      </c>
      <c r="G110">
        <v>30</v>
      </c>
      <c r="H110">
        <v>0.05</v>
      </c>
      <c r="I110">
        <f>100-J110</f>
        <v>30.049999999999997</v>
      </c>
      <c r="J110">
        <f>100-G110-H110</f>
        <v>69.95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>
        <f>I110</f>
        <v>30.049999999999997</v>
      </c>
      <c r="R110" t="s">
        <v>19</v>
      </c>
      <c r="S110" t="s">
        <v>19</v>
      </c>
      <c r="T110" t="s">
        <v>19</v>
      </c>
    </row>
    <row r="111" spans="1:21" x14ac:dyDescent="0.25">
      <c r="A111" s="2">
        <v>45323.513275462959</v>
      </c>
      <c r="B111" t="s">
        <v>309</v>
      </c>
      <c r="C111" t="s">
        <v>322</v>
      </c>
      <c r="D111">
        <v>3</v>
      </c>
      <c r="E111" t="s">
        <v>29</v>
      </c>
      <c r="F111" t="s">
        <v>373</v>
      </c>
      <c r="G111">
        <f>(O111/(N111+O111+P111))*100</f>
        <v>21.1864406779661</v>
      </c>
      <c r="H111">
        <f>(P111/(O111+P111+N111))*100</f>
        <v>0.84745762711864403</v>
      </c>
      <c r="I111">
        <f>((O111+P111)/(P111+O111+N111))*100</f>
        <v>22.033898305084744</v>
      </c>
      <c r="J111">
        <f>(N111/(P111+O111+N111))*100</f>
        <v>77.966101694915253</v>
      </c>
      <c r="K111">
        <v>0.8</v>
      </c>
      <c r="L111">
        <v>0.3</v>
      </c>
      <c r="M111">
        <v>0.7</v>
      </c>
      <c r="N111">
        <v>460</v>
      </c>
      <c r="O111">
        <v>125</v>
      </c>
      <c r="P111">
        <v>5</v>
      </c>
      <c r="Q111">
        <v>22.03</v>
      </c>
      <c r="R111" t="s">
        <v>248</v>
      </c>
      <c r="S111">
        <v>2.61</v>
      </c>
      <c r="T111">
        <v>2.97</v>
      </c>
      <c r="U111">
        <v>74</v>
      </c>
    </row>
    <row r="112" spans="1:21" x14ac:dyDescent="0.25">
      <c r="A112" s="2">
        <v>45323.513865740744</v>
      </c>
      <c r="B112" t="s">
        <v>309</v>
      </c>
      <c r="C112" t="s">
        <v>322</v>
      </c>
      <c r="D112">
        <v>3</v>
      </c>
      <c r="E112" t="s">
        <v>29</v>
      </c>
      <c r="F112" t="s">
        <v>373</v>
      </c>
      <c r="G112">
        <f>(O112/(N112+O112+P112))*100</f>
        <v>22.885572139303484</v>
      </c>
      <c r="H112">
        <f>(P112/(O112+P112+N112))*100</f>
        <v>0.99502487562189057</v>
      </c>
      <c r="I112">
        <f>((O112+P112)/(P112+O112+N112))*100</f>
        <v>23.880597014925371</v>
      </c>
      <c r="J112">
        <f>(N112/(P112+O112+N112))*100</f>
        <v>76.119402985074629</v>
      </c>
      <c r="K112">
        <v>0.7</v>
      </c>
      <c r="L112">
        <v>0.3</v>
      </c>
      <c r="M112">
        <v>0.7</v>
      </c>
      <c r="N112">
        <v>459</v>
      </c>
      <c r="O112">
        <v>138</v>
      </c>
      <c r="P112">
        <v>6</v>
      </c>
      <c r="Q112">
        <v>23.88</v>
      </c>
      <c r="R112" t="s">
        <v>240</v>
      </c>
      <c r="S112">
        <v>2.61</v>
      </c>
      <c r="T112">
        <v>2.97</v>
      </c>
      <c r="U112">
        <v>61</v>
      </c>
    </row>
    <row r="113" spans="1:21" x14ac:dyDescent="0.25">
      <c r="A113" s="2">
        <v>45325.094571759262</v>
      </c>
      <c r="B113" t="s">
        <v>309</v>
      </c>
      <c r="C113" t="s">
        <v>368</v>
      </c>
      <c r="D113">
        <v>2</v>
      </c>
      <c r="E113" t="s">
        <v>29</v>
      </c>
      <c r="F113" t="s">
        <v>373</v>
      </c>
      <c r="G113">
        <f>(O113/(N113+O113+P113))*100</f>
        <v>25.801011804384487</v>
      </c>
      <c r="H113">
        <f>(P113/(O113+P113+N113))*100</f>
        <v>0</v>
      </c>
      <c r="I113">
        <v>25.8</v>
      </c>
      <c r="J113">
        <f>(N113/(P113+O113+N113))*100</f>
        <v>74.198988195615513</v>
      </c>
      <c r="K113">
        <v>0.8</v>
      </c>
      <c r="L113">
        <v>0.3</v>
      </c>
      <c r="M113">
        <v>0.7</v>
      </c>
      <c r="N113">
        <v>440</v>
      </c>
      <c r="O113">
        <v>153</v>
      </c>
      <c r="P113">
        <v>0</v>
      </c>
      <c r="Q113">
        <v>25.8</v>
      </c>
      <c r="R113" t="s">
        <v>367</v>
      </c>
      <c r="S113">
        <v>0.73</v>
      </c>
      <c r="T113">
        <v>0.76</v>
      </c>
    </row>
    <row r="114" spans="1:21" x14ac:dyDescent="0.25">
      <c r="A114" t="s">
        <v>19</v>
      </c>
      <c r="B114" t="s">
        <v>20</v>
      </c>
      <c r="C114" t="s">
        <v>308</v>
      </c>
      <c r="D114">
        <v>3</v>
      </c>
      <c r="E114" t="s">
        <v>30</v>
      </c>
      <c r="F114" t="s">
        <v>388</v>
      </c>
      <c r="G114">
        <v>0</v>
      </c>
      <c r="H114">
        <v>0</v>
      </c>
      <c r="I114">
        <f>G114+H114</f>
        <v>0</v>
      </c>
      <c r="J114">
        <f>100-G114-H114</f>
        <v>100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>
        <f>I114</f>
        <v>0</v>
      </c>
      <c r="R114" t="s">
        <v>19</v>
      </c>
      <c r="S114" t="s">
        <v>19</v>
      </c>
      <c r="T114" t="s">
        <v>19</v>
      </c>
    </row>
    <row r="115" spans="1:21" x14ac:dyDescent="0.25">
      <c r="A115" t="s">
        <v>19</v>
      </c>
      <c r="B115" t="s">
        <v>20</v>
      </c>
      <c r="C115" t="s">
        <v>22</v>
      </c>
      <c r="D115">
        <v>3</v>
      </c>
      <c r="E115" t="s">
        <v>30</v>
      </c>
      <c r="F115" t="s">
        <v>388</v>
      </c>
      <c r="G115">
        <v>0</v>
      </c>
      <c r="H115">
        <v>0</v>
      </c>
      <c r="I115">
        <f>G115+H115</f>
        <v>0</v>
      </c>
      <c r="J115">
        <f>100-G115-H115</f>
        <v>100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>
        <f>I115</f>
        <v>0</v>
      </c>
      <c r="R115" t="s">
        <v>19</v>
      </c>
      <c r="S115" t="s">
        <v>19</v>
      </c>
      <c r="T115" t="s">
        <v>19</v>
      </c>
    </row>
    <row r="116" spans="1:21" x14ac:dyDescent="0.25">
      <c r="A116" t="s">
        <v>19</v>
      </c>
      <c r="B116" t="s">
        <v>20</v>
      </c>
      <c r="C116" t="s">
        <v>305</v>
      </c>
      <c r="D116">
        <v>3</v>
      </c>
      <c r="E116" t="s">
        <v>30</v>
      </c>
      <c r="F116" t="s">
        <v>388</v>
      </c>
      <c r="G116">
        <v>0</v>
      </c>
      <c r="H116">
        <v>0</v>
      </c>
      <c r="I116">
        <f>G116+H116</f>
        <v>0</v>
      </c>
      <c r="J116">
        <f>100-G116-H116</f>
        <v>100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>
        <f>I116</f>
        <v>0</v>
      </c>
      <c r="R116" t="s">
        <v>19</v>
      </c>
      <c r="S116" t="s">
        <v>19</v>
      </c>
      <c r="T116" t="s">
        <v>19</v>
      </c>
    </row>
    <row r="117" spans="1:21" x14ac:dyDescent="0.25">
      <c r="A117" t="s">
        <v>19</v>
      </c>
      <c r="B117" t="s">
        <v>20</v>
      </c>
      <c r="C117" t="s">
        <v>307</v>
      </c>
      <c r="D117">
        <v>3</v>
      </c>
      <c r="E117" t="s">
        <v>30</v>
      </c>
      <c r="F117" t="s">
        <v>388</v>
      </c>
      <c r="G117">
        <v>0</v>
      </c>
      <c r="H117">
        <v>0</v>
      </c>
      <c r="I117">
        <f>G117+H117</f>
        <v>0</v>
      </c>
      <c r="J117">
        <f>100-G117-H117</f>
        <v>100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>
        <f>I117</f>
        <v>0</v>
      </c>
      <c r="R117" t="s">
        <v>19</v>
      </c>
      <c r="S117" t="s">
        <v>19</v>
      </c>
      <c r="T117" t="s">
        <v>19</v>
      </c>
    </row>
    <row r="118" spans="1:21" x14ac:dyDescent="0.25">
      <c r="A118" s="2">
        <v>45253.511111111111</v>
      </c>
      <c r="B118" t="s">
        <v>309</v>
      </c>
      <c r="C118" t="s">
        <v>213</v>
      </c>
      <c r="D118">
        <v>3</v>
      </c>
      <c r="E118" t="s">
        <v>30</v>
      </c>
      <c r="F118" t="s">
        <v>388</v>
      </c>
      <c r="G118">
        <v>0</v>
      </c>
      <c r="H118">
        <v>0.14044943800000001</v>
      </c>
      <c r="I118">
        <v>0.14044943800000001</v>
      </c>
      <c r="J118">
        <v>99.859550560000002</v>
      </c>
      <c r="K118">
        <v>0.8</v>
      </c>
      <c r="L118">
        <v>0.2</v>
      </c>
      <c r="M118">
        <v>0.7</v>
      </c>
      <c r="N118">
        <v>711</v>
      </c>
      <c r="O118">
        <v>0</v>
      </c>
      <c r="P118">
        <v>1</v>
      </c>
      <c r="Q118">
        <v>0.14000000000000001</v>
      </c>
      <c r="R118" t="s">
        <v>240</v>
      </c>
      <c r="S118">
        <v>2.52</v>
      </c>
      <c r="T118">
        <v>3.69</v>
      </c>
    </row>
    <row r="119" spans="1:21" x14ac:dyDescent="0.25">
      <c r="A119" s="2">
        <v>45253.818055555559</v>
      </c>
      <c r="B119" t="s">
        <v>309</v>
      </c>
      <c r="C119" t="s">
        <v>215</v>
      </c>
      <c r="D119">
        <v>2</v>
      </c>
      <c r="E119" t="s">
        <v>30</v>
      </c>
      <c r="F119" t="s">
        <v>388</v>
      </c>
      <c r="G119">
        <v>2.8023598820000002</v>
      </c>
      <c r="H119">
        <v>0</v>
      </c>
      <c r="I119">
        <v>2.8023598820000002</v>
      </c>
      <c r="J119">
        <v>97.197640120000003</v>
      </c>
      <c r="K119">
        <v>0.8</v>
      </c>
      <c r="L119">
        <v>0.2</v>
      </c>
      <c r="M119">
        <v>0.7</v>
      </c>
      <c r="N119">
        <v>659</v>
      </c>
      <c r="O119">
        <v>19</v>
      </c>
      <c r="P119">
        <v>0</v>
      </c>
      <c r="Q119">
        <v>2.8</v>
      </c>
      <c r="R119" t="s">
        <v>224</v>
      </c>
      <c r="S119">
        <v>0.1</v>
      </c>
      <c r="T119">
        <v>0.11</v>
      </c>
    </row>
    <row r="120" spans="1:21" x14ac:dyDescent="0.25">
      <c r="A120" s="2">
        <v>45253.982638888891</v>
      </c>
      <c r="B120" t="s">
        <v>309</v>
      </c>
      <c r="C120" t="s">
        <v>217</v>
      </c>
      <c r="D120">
        <v>2</v>
      </c>
      <c r="E120" t="s">
        <v>30</v>
      </c>
      <c r="F120" t="s">
        <v>388</v>
      </c>
      <c r="G120">
        <v>12.45954693</v>
      </c>
      <c r="H120">
        <v>0</v>
      </c>
      <c r="I120">
        <v>12.45954693</v>
      </c>
      <c r="J120">
        <v>87.540453069999998</v>
      </c>
      <c r="K120">
        <v>0.8</v>
      </c>
      <c r="L120">
        <v>0.2</v>
      </c>
      <c r="M120">
        <v>0.7</v>
      </c>
      <c r="N120">
        <v>541</v>
      </c>
      <c r="O120">
        <v>77</v>
      </c>
      <c r="P120">
        <v>0</v>
      </c>
      <c r="Q120">
        <v>12.46</v>
      </c>
      <c r="R120" t="s">
        <v>229</v>
      </c>
      <c r="S120">
        <v>0.34</v>
      </c>
      <c r="T120">
        <v>0.34</v>
      </c>
    </row>
    <row r="121" spans="1:21" x14ac:dyDescent="0.25">
      <c r="A121" s="2">
        <v>45316.495833333334</v>
      </c>
      <c r="B121" t="s">
        <v>309</v>
      </c>
      <c r="C121" t="s">
        <v>219</v>
      </c>
      <c r="D121">
        <v>3</v>
      </c>
      <c r="E121" t="s">
        <v>30</v>
      </c>
      <c r="F121" t="s">
        <v>388</v>
      </c>
      <c r="G121">
        <v>0</v>
      </c>
      <c r="H121">
        <v>0.28449502100000001</v>
      </c>
      <c r="I121">
        <v>0.28449502100000001</v>
      </c>
      <c r="J121">
        <v>99.715504980000006</v>
      </c>
      <c r="K121">
        <v>0.8</v>
      </c>
      <c r="L121">
        <v>0.2</v>
      </c>
      <c r="M121">
        <v>0.7</v>
      </c>
      <c r="N121">
        <v>701</v>
      </c>
      <c r="O121">
        <v>0</v>
      </c>
      <c r="P121">
        <v>2</v>
      </c>
      <c r="Q121">
        <v>0.28000000000000003</v>
      </c>
      <c r="R121" t="s">
        <v>226</v>
      </c>
      <c r="S121">
        <v>3.23</v>
      </c>
      <c r="T121">
        <v>5.15</v>
      </c>
    </row>
    <row r="122" spans="1:21" x14ac:dyDescent="0.25">
      <c r="A122" s="2">
        <v>45320.824305555558</v>
      </c>
      <c r="B122" t="s">
        <v>309</v>
      </c>
      <c r="C122" t="s">
        <v>221</v>
      </c>
      <c r="D122">
        <v>2</v>
      </c>
      <c r="E122" t="s">
        <v>30</v>
      </c>
      <c r="F122" t="s">
        <v>388</v>
      </c>
      <c r="G122">
        <v>0.148809524</v>
      </c>
      <c r="H122">
        <v>0</v>
      </c>
      <c r="I122">
        <v>0.148809524</v>
      </c>
      <c r="J122">
        <v>99.85119048</v>
      </c>
      <c r="K122">
        <v>0.8</v>
      </c>
      <c r="L122">
        <v>0.3</v>
      </c>
      <c r="M122">
        <v>0.7</v>
      </c>
      <c r="N122">
        <v>671</v>
      </c>
      <c r="O122">
        <v>1</v>
      </c>
      <c r="P122">
        <v>0</v>
      </c>
      <c r="Q122">
        <v>0.15</v>
      </c>
      <c r="R122" t="s">
        <v>228</v>
      </c>
      <c r="S122">
        <v>0.01</v>
      </c>
      <c r="T122">
        <v>0.01</v>
      </c>
    </row>
    <row r="123" spans="1:21" x14ac:dyDescent="0.25">
      <c r="A123" t="s">
        <v>19</v>
      </c>
      <c r="B123" t="s">
        <v>20</v>
      </c>
      <c r="C123" t="s">
        <v>306</v>
      </c>
      <c r="D123">
        <v>3</v>
      </c>
      <c r="E123" t="s">
        <v>30</v>
      </c>
      <c r="F123" t="s">
        <v>388</v>
      </c>
      <c r="G123">
        <v>0</v>
      </c>
      <c r="H123">
        <v>0</v>
      </c>
      <c r="I123">
        <f>G123+H123</f>
        <v>0</v>
      </c>
      <c r="J123">
        <f>100-G123-H123</f>
        <v>100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>
        <f>I123</f>
        <v>0</v>
      </c>
      <c r="R123" t="s">
        <v>19</v>
      </c>
      <c r="S123" t="s">
        <v>19</v>
      </c>
      <c r="T123" t="s">
        <v>19</v>
      </c>
    </row>
    <row r="124" spans="1:21" x14ac:dyDescent="0.25">
      <c r="A124" t="s">
        <v>19</v>
      </c>
      <c r="B124" t="s">
        <v>20</v>
      </c>
      <c r="C124" t="s">
        <v>320</v>
      </c>
      <c r="D124">
        <v>3</v>
      </c>
      <c r="E124" t="s">
        <v>30</v>
      </c>
      <c r="F124" t="s">
        <v>388</v>
      </c>
      <c r="G124">
        <v>0</v>
      </c>
      <c r="H124">
        <v>0</v>
      </c>
      <c r="I124">
        <f>100-J124</f>
        <v>0</v>
      </c>
      <c r="J124">
        <f>100-G124-H124</f>
        <v>100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>
        <f>I124</f>
        <v>0</v>
      </c>
      <c r="R124" t="s">
        <v>19</v>
      </c>
      <c r="S124" t="s">
        <v>19</v>
      </c>
      <c r="T124" t="s">
        <v>19</v>
      </c>
    </row>
    <row r="125" spans="1:21" x14ac:dyDescent="0.25">
      <c r="A125" s="2">
        <v>45323.511840277781</v>
      </c>
      <c r="B125" t="s">
        <v>309</v>
      </c>
      <c r="C125" t="s">
        <v>322</v>
      </c>
      <c r="D125">
        <v>3</v>
      </c>
      <c r="E125" t="s">
        <v>30</v>
      </c>
      <c r="F125" t="s">
        <v>388</v>
      </c>
      <c r="G125">
        <f>(O125/(N125+O125+P125))*100</f>
        <v>0</v>
      </c>
      <c r="H125">
        <f>(P125/(O125+P125+N125))*100</f>
        <v>0</v>
      </c>
      <c r="I125">
        <f>((O125+P125)/(P125+O125+N125))*100</f>
        <v>0</v>
      </c>
      <c r="J125">
        <f>(N125/(P125+O125+N125))*100</f>
        <v>100</v>
      </c>
      <c r="K125">
        <v>0.8</v>
      </c>
      <c r="L125">
        <v>0.3</v>
      </c>
      <c r="M125">
        <v>0.7</v>
      </c>
      <c r="N125">
        <v>672</v>
      </c>
      <c r="O125">
        <v>0</v>
      </c>
      <c r="P125">
        <v>0</v>
      </c>
      <c r="Q125">
        <v>0</v>
      </c>
      <c r="R125" t="s">
        <v>332</v>
      </c>
      <c r="S125">
        <v>2.36</v>
      </c>
      <c r="T125">
        <v>3.88</v>
      </c>
      <c r="U125">
        <v>5</v>
      </c>
    </row>
    <row r="126" spans="1:21" x14ac:dyDescent="0.25">
      <c r="A126" s="2">
        <v>45323.511458333334</v>
      </c>
      <c r="B126" t="s">
        <v>309</v>
      </c>
      <c r="C126" t="s">
        <v>322</v>
      </c>
      <c r="D126">
        <v>3</v>
      </c>
      <c r="E126" t="s">
        <v>30</v>
      </c>
      <c r="F126" t="s">
        <v>388</v>
      </c>
      <c r="G126">
        <f>(O126/(N126+O126+P126))*100</f>
        <v>0.14858841010401189</v>
      </c>
      <c r="H126">
        <f>(P126/(O126+P126+N126))*100</f>
        <v>0</v>
      </c>
      <c r="I126">
        <v>0.15</v>
      </c>
      <c r="J126">
        <f>(N126/(P126+O126+N126))*100</f>
        <v>99.851411589895989</v>
      </c>
      <c r="K126">
        <v>0.7</v>
      </c>
      <c r="L126">
        <v>0.3</v>
      </c>
      <c r="M126">
        <v>0.7</v>
      </c>
      <c r="N126">
        <v>672</v>
      </c>
      <c r="O126">
        <v>1</v>
      </c>
      <c r="P126">
        <v>0</v>
      </c>
      <c r="Q126">
        <v>0.15</v>
      </c>
      <c r="R126" t="s">
        <v>255</v>
      </c>
      <c r="S126">
        <v>2.36</v>
      </c>
      <c r="T126">
        <v>3.88</v>
      </c>
      <c r="U126">
        <v>4</v>
      </c>
    </row>
    <row r="127" spans="1:21" x14ac:dyDescent="0.25">
      <c r="A127" s="2">
        <v>45324.939884259256</v>
      </c>
      <c r="B127" t="s">
        <v>309</v>
      </c>
      <c r="C127" t="s">
        <v>368</v>
      </c>
      <c r="D127">
        <v>2</v>
      </c>
      <c r="E127" t="s">
        <v>30</v>
      </c>
      <c r="F127" t="s">
        <v>388</v>
      </c>
      <c r="G127">
        <f>(O127/(N127+O127+P127))*100</f>
        <v>0</v>
      </c>
      <c r="H127">
        <f>(P127/(O127+P127+N127))*100</f>
        <v>0</v>
      </c>
      <c r="I127">
        <v>0</v>
      </c>
      <c r="J127">
        <f>(N127/(P127+O127+N127))*100</f>
        <v>100</v>
      </c>
      <c r="K127">
        <v>0.8</v>
      </c>
      <c r="L127">
        <v>0.3</v>
      </c>
      <c r="M127">
        <v>0.7</v>
      </c>
      <c r="N127">
        <v>676</v>
      </c>
      <c r="O127">
        <v>0</v>
      </c>
      <c r="P127">
        <v>0</v>
      </c>
      <c r="Q127">
        <v>0</v>
      </c>
      <c r="R127" t="s">
        <v>369</v>
      </c>
      <c r="S127">
        <v>0</v>
      </c>
      <c r="T127">
        <v>0</v>
      </c>
    </row>
    <row r="128" spans="1:21" x14ac:dyDescent="0.25">
      <c r="A128" t="s">
        <v>19</v>
      </c>
      <c r="B128" t="s">
        <v>20</v>
      </c>
      <c r="C128" t="s">
        <v>308</v>
      </c>
      <c r="D128">
        <v>3</v>
      </c>
      <c r="E128" t="s">
        <v>31</v>
      </c>
      <c r="F128" t="s">
        <v>388</v>
      </c>
      <c r="G128">
        <v>2</v>
      </c>
      <c r="H128">
        <v>5</v>
      </c>
      <c r="I128">
        <f>G128+H128</f>
        <v>7</v>
      </c>
      <c r="J128">
        <f>100-G128-H128</f>
        <v>93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>
        <f>I128</f>
        <v>7</v>
      </c>
      <c r="R128" t="s">
        <v>19</v>
      </c>
      <c r="S128" t="s">
        <v>19</v>
      </c>
      <c r="T128" t="s">
        <v>19</v>
      </c>
    </row>
    <row r="129" spans="1:21" x14ac:dyDescent="0.25">
      <c r="A129" t="s">
        <v>19</v>
      </c>
      <c r="B129" t="s">
        <v>20</v>
      </c>
      <c r="C129" t="s">
        <v>22</v>
      </c>
      <c r="D129">
        <v>3</v>
      </c>
      <c r="E129" t="s">
        <v>31</v>
      </c>
      <c r="F129" t="s">
        <v>388</v>
      </c>
      <c r="G129">
        <v>2</v>
      </c>
      <c r="H129">
        <v>3</v>
      </c>
      <c r="I129">
        <f>G129+H129</f>
        <v>5</v>
      </c>
      <c r="J129">
        <f>100-G129-H129</f>
        <v>95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>
        <f>I129</f>
        <v>5</v>
      </c>
      <c r="R129" t="s">
        <v>19</v>
      </c>
      <c r="S129" t="s">
        <v>19</v>
      </c>
      <c r="T129" t="s">
        <v>19</v>
      </c>
    </row>
    <row r="130" spans="1:21" x14ac:dyDescent="0.25">
      <c r="A130" t="s">
        <v>19</v>
      </c>
      <c r="B130" t="s">
        <v>20</v>
      </c>
      <c r="C130" t="s">
        <v>305</v>
      </c>
      <c r="D130">
        <v>3</v>
      </c>
      <c r="E130" t="s">
        <v>31</v>
      </c>
      <c r="F130" t="s">
        <v>388</v>
      </c>
      <c r="G130">
        <v>2</v>
      </c>
      <c r="H130">
        <v>2</v>
      </c>
      <c r="I130">
        <f>G130+H130</f>
        <v>4</v>
      </c>
      <c r="J130">
        <f>100-G130-H130</f>
        <v>96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>
        <f>I130</f>
        <v>4</v>
      </c>
      <c r="R130" t="s">
        <v>19</v>
      </c>
      <c r="S130" t="s">
        <v>19</v>
      </c>
      <c r="T130" t="s">
        <v>19</v>
      </c>
    </row>
    <row r="131" spans="1:21" x14ac:dyDescent="0.25">
      <c r="A131" t="s">
        <v>19</v>
      </c>
      <c r="B131" t="s">
        <v>20</v>
      </c>
      <c r="C131" t="s">
        <v>307</v>
      </c>
      <c r="D131">
        <v>3</v>
      </c>
      <c r="E131" t="s">
        <v>31</v>
      </c>
      <c r="F131" t="s">
        <v>388</v>
      </c>
      <c r="G131">
        <v>1</v>
      </c>
      <c r="H131">
        <v>1</v>
      </c>
      <c r="I131">
        <f>G131+H131</f>
        <v>2</v>
      </c>
      <c r="J131">
        <f>100-G131-H131</f>
        <v>98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>
        <f>I131</f>
        <v>2</v>
      </c>
      <c r="R131" t="s">
        <v>19</v>
      </c>
      <c r="S131" t="s">
        <v>19</v>
      </c>
      <c r="T131" t="s">
        <v>19</v>
      </c>
    </row>
    <row r="132" spans="1:21" x14ac:dyDescent="0.25">
      <c r="A132" s="2">
        <v>45253.512499999997</v>
      </c>
      <c r="B132" t="s">
        <v>309</v>
      </c>
      <c r="C132" t="s">
        <v>213</v>
      </c>
      <c r="D132">
        <v>3</v>
      </c>
      <c r="E132" t="s">
        <v>31</v>
      </c>
      <c r="F132" t="s">
        <v>388</v>
      </c>
      <c r="G132">
        <v>0.32573289900000002</v>
      </c>
      <c r="H132">
        <v>1.3029315960000001</v>
      </c>
      <c r="I132">
        <v>1.628664495</v>
      </c>
      <c r="J132">
        <v>98.371335500000001</v>
      </c>
      <c r="K132">
        <v>0.8</v>
      </c>
      <c r="L132">
        <v>0.2</v>
      </c>
      <c r="M132">
        <v>0.7</v>
      </c>
      <c r="N132">
        <v>604</v>
      </c>
      <c r="O132">
        <v>2</v>
      </c>
      <c r="P132">
        <v>8</v>
      </c>
      <c r="Q132">
        <v>1.63</v>
      </c>
      <c r="R132" t="s">
        <v>214</v>
      </c>
      <c r="S132">
        <v>2.68</v>
      </c>
      <c r="T132">
        <v>3.2</v>
      </c>
    </row>
    <row r="133" spans="1:21" x14ac:dyDescent="0.25">
      <c r="A133" s="2">
        <v>45253.818749999999</v>
      </c>
      <c r="B133" t="s">
        <v>309</v>
      </c>
      <c r="C133" t="s">
        <v>215</v>
      </c>
      <c r="D133">
        <v>2</v>
      </c>
      <c r="E133" t="s">
        <v>31</v>
      </c>
      <c r="F133" t="s">
        <v>388</v>
      </c>
      <c r="G133">
        <v>0.93457943899999996</v>
      </c>
      <c r="H133">
        <v>0</v>
      </c>
      <c r="I133">
        <v>0.93457943899999996</v>
      </c>
      <c r="J133">
        <v>99.065420560000007</v>
      </c>
      <c r="K133">
        <v>0.8</v>
      </c>
      <c r="L133">
        <v>0.2</v>
      </c>
      <c r="M133">
        <v>0.7</v>
      </c>
      <c r="N133">
        <v>742</v>
      </c>
      <c r="O133">
        <v>7</v>
      </c>
      <c r="P133">
        <v>0</v>
      </c>
      <c r="Q133">
        <v>0.93</v>
      </c>
      <c r="R133" t="s">
        <v>216</v>
      </c>
      <c r="S133">
        <v>0.03</v>
      </c>
      <c r="T133">
        <v>0.03</v>
      </c>
    </row>
    <row r="134" spans="1:21" x14ac:dyDescent="0.25">
      <c r="A134" s="2">
        <v>45253.984027777777</v>
      </c>
      <c r="B134" t="s">
        <v>309</v>
      </c>
      <c r="C134" t="s">
        <v>217</v>
      </c>
      <c r="D134">
        <v>2</v>
      </c>
      <c r="E134" t="s">
        <v>31</v>
      </c>
      <c r="F134" t="s">
        <v>388</v>
      </c>
      <c r="G134">
        <v>0.40053404500000001</v>
      </c>
      <c r="H134">
        <v>0</v>
      </c>
      <c r="I134">
        <v>0.40053404500000001</v>
      </c>
      <c r="J134">
        <v>99.599465949999995</v>
      </c>
      <c r="K134">
        <v>0.8</v>
      </c>
      <c r="L134">
        <v>0.2</v>
      </c>
      <c r="M134">
        <v>0.7</v>
      </c>
      <c r="N134">
        <v>746</v>
      </c>
      <c r="O134">
        <v>3</v>
      </c>
      <c r="P134">
        <v>0</v>
      </c>
      <c r="Q134">
        <v>0.4</v>
      </c>
      <c r="R134" t="s">
        <v>225</v>
      </c>
      <c r="S134">
        <v>0.02</v>
      </c>
      <c r="T134">
        <v>0.02</v>
      </c>
    </row>
    <row r="135" spans="1:21" x14ac:dyDescent="0.25">
      <c r="A135" s="2">
        <v>45316.496527777781</v>
      </c>
      <c r="B135" t="s">
        <v>309</v>
      </c>
      <c r="C135" t="s">
        <v>219</v>
      </c>
      <c r="D135">
        <v>3</v>
      </c>
      <c r="E135" t="s">
        <v>31</v>
      </c>
      <c r="F135" t="s">
        <v>388</v>
      </c>
      <c r="G135">
        <v>0.186219739</v>
      </c>
      <c r="H135">
        <v>0.55865921799999996</v>
      </c>
      <c r="I135">
        <v>0.74487895699999995</v>
      </c>
      <c r="J135">
        <v>99.255121040000006</v>
      </c>
      <c r="K135">
        <v>0.8</v>
      </c>
      <c r="L135">
        <v>0.2</v>
      </c>
      <c r="M135">
        <v>0.7</v>
      </c>
      <c r="N135">
        <v>533</v>
      </c>
      <c r="O135">
        <v>1</v>
      </c>
      <c r="P135">
        <v>3</v>
      </c>
      <c r="Q135">
        <v>0.74</v>
      </c>
      <c r="R135" t="s">
        <v>218</v>
      </c>
      <c r="S135">
        <v>3.26</v>
      </c>
      <c r="T135">
        <v>4.54</v>
      </c>
    </row>
    <row r="136" spans="1:21" x14ac:dyDescent="0.25">
      <c r="A136" s="2">
        <v>45320.825694444444</v>
      </c>
      <c r="B136" t="s">
        <v>309</v>
      </c>
      <c r="C136" t="s">
        <v>221</v>
      </c>
      <c r="D136">
        <v>2</v>
      </c>
      <c r="E136" t="s">
        <v>31</v>
      </c>
      <c r="F136" t="s">
        <v>388</v>
      </c>
      <c r="G136">
        <v>6.8062827229999998</v>
      </c>
      <c r="H136">
        <v>0</v>
      </c>
      <c r="I136">
        <v>6.8062827229999998</v>
      </c>
      <c r="J136">
        <v>93.193717280000001</v>
      </c>
      <c r="K136">
        <v>0.8</v>
      </c>
      <c r="L136">
        <v>0.3</v>
      </c>
      <c r="M136">
        <v>0.7</v>
      </c>
      <c r="N136">
        <v>534</v>
      </c>
      <c r="O136">
        <v>39</v>
      </c>
      <c r="P136">
        <v>0</v>
      </c>
      <c r="Q136">
        <v>6.81</v>
      </c>
      <c r="R136" t="s">
        <v>241</v>
      </c>
      <c r="S136">
        <v>0.22</v>
      </c>
      <c r="T136">
        <v>0.24</v>
      </c>
    </row>
    <row r="137" spans="1:21" x14ac:dyDescent="0.25">
      <c r="A137" t="s">
        <v>19</v>
      </c>
      <c r="B137" t="s">
        <v>20</v>
      </c>
      <c r="C137" t="s">
        <v>306</v>
      </c>
      <c r="D137">
        <v>3</v>
      </c>
      <c r="E137" t="s">
        <v>31</v>
      </c>
      <c r="F137" t="s">
        <v>388</v>
      </c>
      <c r="G137">
        <v>5</v>
      </c>
      <c r="H137">
        <v>3</v>
      </c>
      <c r="I137">
        <f>G137+H137</f>
        <v>8</v>
      </c>
      <c r="J137">
        <f>100-G137-H137</f>
        <v>92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>
        <f>I137</f>
        <v>8</v>
      </c>
      <c r="R137" t="s">
        <v>19</v>
      </c>
      <c r="S137" t="s">
        <v>19</v>
      </c>
      <c r="T137" t="s">
        <v>19</v>
      </c>
    </row>
    <row r="138" spans="1:21" x14ac:dyDescent="0.25">
      <c r="A138" t="s">
        <v>19</v>
      </c>
      <c r="B138" t="s">
        <v>20</v>
      </c>
      <c r="C138" t="s">
        <v>320</v>
      </c>
      <c r="D138">
        <v>3</v>
      </c>
      <c r="E138" t="s">
        <v>31</v>
      </c>
      <c r="F138" t="s">
        <v>388</v>
      </c>
      <c r="G138">
        <v>0</v>
      </c>
      <c r="H138">
        <v>0</v>
      </c>
      <c r="I138">
        <f>100-J138</f>
        <v>0</v>
      </c>
      <c r="J138">
        <f>100-G138-H138</f>
        <v>100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>
        <f>I138</f>
        <v>0</v>
      </c>
      <c r="R138" t="s">
        <v>19</v>
      </c>
      <c r="S138" t="s">
        <v>19</v>
      </c>
      <c r="T138" t="s">
        <v>19</v>
      </c>
    </row>
    <row r="139" spans="1:21" x14ac:dyDescent="0.25">
      <c r="A139" s="2">
        <v>45323.513541666667</v>
      </c>
      <c r="B139" t="s">
        <v>309</v>
      </c>
      <c r="C139" t="s">
        <v>322</v>
      </c>
      <c r="D139">
        <v>3</v>
      </c>
      <c r="E139" t="s">
        <v>31</v>
      </c>
      <c r="F139" t="s">
        <v>388</v>
      </c>
      <c r="G139">
        <f>(O139/(N139+O139+P139))*100</f>
        <v>2.9900332225913622</v>
      </c>
      <c r="H139">
        <f>(P139/(O139+P139+N139))*100</f>
        <v>0.49833887043189368</v>
      </c>
      <c r="I139">
        <f>((O139+P139)/(P139+O139+N139))*100</f>
        <v>3.4883720930232558</v>
      </c>
      <c r="J139">
        <f>(N139/(P139+O139+N139))*100</f>
        <v>96.511627906976756</v>
      </c>
      <c r="K139">
        <v>0.8</v>
      </c>
      <c r="L139">
        <v>0.3</v>
      </c>
      <c r="M139">
        <v>0.7</v>
      </c>
      <c r="N139">
        <v>581</v>
      </c>
      <c r="O139">
        <v>18</v>
      </c>
      <c r="P139">
        <v>3</v>
      </c>
      <c r="Q139">
        <v>3.49</v>
      </c>
      <c r="R139" t="s">
        <v>260</v>
      </c>
      <c r="S139">
        <v>2.34</v>
      </c>
      <c r="T139">
        <v>4.25</v>
      </c>
      <c r="U139">
        <v>74</v>
      </c>
    </row>
    <row r="140" spans="1:21" x14ac:dyDescent="0.25">
      <c r="A140" s="2">
        <v>45323.513020833336</v>
      </c>
      <c r="B140" t="s">
        <v>309</v>
      </c>
      <c r="C140" t="s">
        <v>322</v>
      </c>
      <c r="D140">
        <v>3</v>
      </c>
      <c r="E140" t="s">
        <v>31</v>
      </c>
      <c r="F140" t="s">
        <v>388</v>
      </c>
      <c r="G140">
        <f>(O140/(N140+O140+P140))*100</f>
        <v>4.5751633986928102</v>
      </c>
      <c r="H140">
        <f>(P140/(O140+P140+N140))*100</f>
        <v>0.65359477124183007</v>
      </c>
      <c r="I140">
        <v>5.23</v>
      </c>
      <c r="J140">
        <f>(N140/(P140+O140+N140))*100</f>
        <v>94.77124183006535</v>
      </c>
      <c r="K140">
        <v>0.7</v>
      </c>
      <c r="L140">
        <v>0.3</v>
      </c>
      <c r="M140">
        <v>0.7</v>
      </c>
      <c r="N140">
        <v>580</v>
      </c>
      <c r="O140">
        <v>28</v>
      </c>
      <c r="P140">
        <v>4</v>
      </c>
      <c r="Q140">
        <v>5.23</v>
      </c>
      <c r="R140" t="s">
        <v>248</v>
      </c>
      <c r="S140">
        <v>2.34</v>
      </c>
      <c r="T140">
        <v>4.25</v>
      </c>
      <c r="U140">
        <v>64</v>
      </c>
    </row>
    <row r="141" spans="1:21" x14ac:dyDescent="0.25">
      <c r="A141" s="2">
        <v>45324.94121527778</v>
      </c>
      <c r="B141" t="s">
        <v>309</v>
      </c>
      <c r="C141" t="s">
        <v>368</v>
      </c>
      <c r="D141">
        <v>2</v>
      </c>
      <c r="E141" t="s">
        <v>31</v>
      </c>
      <c r="F141" t="s">
        <v>388</v>
      </c>
      <c r="G141">
        <f>(O141/(N141+O141+P141))*100</f>
        <v>27.835051546391753</v>
      </c>
      <c r="H141">
        <f>(P141/(O141+P141+N141))*100</f>
        <v>0</v>
      </c>
      <c r="I141">
        <v>27.84</v>
      </c>
      <c r="J141">
        <f>(N141/(P141+O141+N141))*100</f>
        <v>72.164948453608247</v>
      </c>
      <c r="K141">
        <v>0.8</v>
      </c>
      <c r="L141">
        <v>0.3</v>
      </c>
      <c r="M141">
        <v>0.7</v>
      </c>
      <c r="N141">
        <v>210</v>
      </c>
      <c r="O141">
        <v>81</v>
      </c>
      <c r="P141">
        <v>0</v>
      </c>
      <c r="Q141">
        <v>27.84</v>
      </c>
      <c r="R141" t="s">
        <v>223</v>
      </c>
      <c r="S141">
        <v>1</v>
      </c>
      <c r="T141">
        <v>1.06</v>
      </c>
    </row>
    <row r="142" spans="1:21" x14ac:dyDescent="0.25">
      <c r="A142" t="s">
        <v>19</v>
      </c>
      <c r="B142" t="s">
        <v>20</v>
      </c>
      <c r="C142" t="s">
        <v>306</v>
      </c>
      <c r="D142">
        <v>3</v>
      </c>
      <c r="E142" t="s">
        <v>32</v>
      </c>
      <c r="F142" t="s">
        <v>373</v>
      </c>
      <c r="G142">
        <v>0</v>
      </c>
      <c r="H142">
        <v>0</v>
      </c>
      <c r="I142">
        <f>G142+H142</f>
        <v>0</v>
      </c>
      <c r="J142">
        <f>100-G142-H142</f>
        <v>100</v>
      </c>
      <c r="K142" t="s">
        <v>19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>
        <f>I142</f>
        <v>0</v>
      </c>
      <c r="R142" t="s">
        <v>19</v>
      </c>
      <c r="S142" t="s">
        <v>19</v>
      </c>
      <c r="T142" t="s">
        <v>19</v>
      </c>
    </row>
    <row r="143" spans="1:21" x14ac:dyDescent="0.25">
      <c r="A143" t="s">
        <v>19</v>
      </c>
      <c r="B143" t="s">
        <v>20</v>
      </c>
      <c r="C143" t="s">
        <v>308</v>
      </c>
      <c r="D143">
        <v>3</v>
      </c>
      <c r="E143" t="s">
        <v>32</v>
      </c>
      <c r="F143" t="s">
        <v>373</v>
      </c>
      <c r="G143">
        <v>0</v>
      </c>
      <c r="H143">
        <v>0</v>
      </c>
      <c r="I143">
        <f>G143+H143</f>
        <v>0</v>
      </c>
      <c r="J143">
        <f>100-G143-H143</f>
        <v>100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>
        <f>I143</f>
        <v>0</v>
      </c>
      <c r="R143" t="s">
        <v>19</v>
      </c>
      <c r="S143" t="s">
        <v>19</v>
      </c>
      <c r="T143" t="s">
        <v>19</v>
      </c>
    </row>
    <row r="144" spans="1:21" x14ac:dyDescent="0.25">
      <c r="A144" t="s">
        <v>19</v>
      </c>
      <c r="B144" t="s">
        <v>20</v>
      </c>
      <c r="C144" t="s">
        <v>22</v>
      </c>
      <c r="D144">
        <v>3</v>
      </c>
      <c r="E144" t="s">
        <v>32</v>
      </c>
      <c r="F144" t="s">
        <v>373</v>
      </c>
      <c r="G144">
        <v>0</v>
      </c>
      <c r="H144">
        <v>0</v>
      </c>
      <c r="I144">
        <f>G144+H144</f>
        <v>0</v>
      </c>
      <c r="J144">
        <f>100-G144-H144</f>
        <v>100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  <c r="Q144">
        <f>I144</f>
        <v>0</v>
      </c>
      <c r="R144" t="s">
        <v>19</v>
      </c>
      <c r="S144" t="s">
        <v>19</v>
      </c>
      <c r="T144" t="s">
        <v>19</v>
      </c>
    </row>
    <row r="145" spans="1:21" x14ac:dyDescent="0.25">
      <c r="A145" t="s">
        <v>19</v>
      </c>
      <c r="B145" t="s">
        <v>20</v>
      </c>
      <c r="C145" t="s">
        <v>305</v>
      </c>
      <c r="D145">
        <v>3</v>
      </c>
      <c r="E145" t="s">
        <v>32</v>
      </c>
      <c r="F145" t="s">
        <v>373</v>
      </c>
      <c r="G145">
        <v>0</v>
      </c>
      <c r="H145">
        <v>0</v>
      </c>
      <c r="I145">
        <f>G145+H145</f>
        <v>0</v>
      </c>
      <c r="J145">
        <f>100-G145-H145</f>
        <v>100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>
        <f>I145</f>
        <v>0</v>
      </c>
      <c r="R145" t="s">
        <v>19</v>
      </c>
      <c r="S145" t="s">
        <v>19</v>
      </c>
      <c r="T145" t="s">
        <v>19</v>
      </c>
    </row>
    <row r="146" spans="1:21" x14ac:dyDescent="0.25">
      <c r="A146" t="s">
        <v>19</v>
      </c>
      <c r="B146" t="s">
        <v>20</v>
      </c>
      <c r="C146" t="s">
        <v>307</v>
      </c>
      <c r="D146">
        <v>3</v>
      </c>
      <c r="E146" t="s">
        <v>32</v>
      </c>
      <c r="F146" t="s">
        <v>373</v>
      </c>
      <c r="G146">
        <v>0</v>
      </c>
      <c r="H146">
        <v>0</v>
      </c>
      <c r="I146">
        <f>G146+H146</f>
        <v>0</v>
      </c>
      <c r="J146">
        <f>100-G146-H146</f>
        <v>100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>
        <f>I146</f>
        <v>0</v>
      </c>
      <c r="R146" t="s">
        <v>19</v>
      </c>
      <c r="S146" t="s">
        <v>19</v>
      </c>
      <c r="T146" t="s">
        <v>19</v>
      </c>
    </row>
    <row r="147" spans="1:21" x14ac:dyDescent="0.25">
      <c r="A147" s="2">
        <v>45253.675000000003</v>
      </c>
      <c r="B147" t="s">
        <v>309</v>
      </c>
      <c r="C147" t="s">
        <v>213</v>
      </c>
      <c r="D147">
        <v>3</v>
      </c>
      <c r="E147" t="s">
        <v>32</v>
      </c>
      <c r="F147" t="s">
        <v>373</v>
      </c>
      <c r="G147">
        <v>0</v>
      </c>
      <c r="H147">
        <v>0.136798906</v>
      </c>
      <c r="I147">
        <v>0.136798906</v>
      </c>
      <c r="J147">
        <v>99.863201090000004</v>
      </c>
      <c r="K147">
        <v>0.8</v>
      </c>
      <c r="L147">
        <v>0.2</v>
      </c>
      <c r="M147">
        <v>0.7</v>
      </c>
      <c r="N147">
        <v>730</v>
      </c>
      <c r="O147">
        <v>0</v>
      </c>
      <c r="P147">
        <v>1</v>
      </c>
      <c r="Q147">
        <v>0.14000000000000001</v>
      </c>
      <c r="R147" t="s">
        <v>214</v>
      </c>
      <c r="S147">
        <v>2.78</v>
      </c>
      <c r="T147">
        <v>3.72</v>
      </c>
    </row>
    <row r="148" spans="1:21" x14ac:dyDescent="0.25">
      <c r="A148" s="2">
        <v>45253.90625</v>
      </c>
      <c r="B148" t="s">
        <v>309</v>
      </c>
      <c r="C148" t="s">
        <v>215</v>
      </c>
      <c r="D148">
        <v>2</v>
      </c>
      <c r="E148" t="s">
        <v>32</v>
      </c>
      <c r="F148" t="s">
        <v>373</v>
      </c>
      <c r="G148">
        <v>1.106500692</v>
      </c>
      <c r="H148">
        <v>0</v>
      </c>
      <c r="I148">
        <v>1.106500692</v>
      </c>
      <c r="J148">
        <v>98.893499309999996</v>
      </c>
      <c r="K148">
        <v>0.8</v>
      </c>
      <c r="L148">
        <v>0.2</v>
      </c>
      <c r="M148">
        <v>0.7</v>
      </c>
      <c r="N148">
        <v>715</v>
      </c>
      <c r="O148">
        <v>8</v>
      </c>
      <c r="P148">
        <v>0</v>
      </c>
      <c r="Q148">
        <v>1.1100000000000001</v>
      </c>
      <c r="R148" t="s">
        <v>224</v>
      </c>
      <c r="S148">
        <v>0.03</v>
      </c>
      <c r="T148">
        <v>0.04</v>
      </c>
    </row>
    <row r="149" spans="1:21" x14ac:dyDescent="0.25">
      <c r="A149" s="2">
        <v>45254.078472222223</v>
      </c>
      <c r="B149" t="s">
        <v>309</v>
      </c>
      <c r="C149" t="s">
        <v>217</v>
      </c>
      <c r="D149">
        <v>2</v>
      </c>
      <c r="E149" t="s">
        <v>32</v>
      </c>
      <c r="F149" t="s">
        <v>373</v>
      </c>
      <c r="G149">
        <v>1.114206128</v>
      </c>
      <c r="H149">
        <v>0</v>
      </c>
      <c r="I149">
        <v>1.114206128</v>
      </c>
      <c r="J149">
        <v>98.885793870000001</v>
      </c>
      <c r="K149">
        <v>0.8</v>
      </c>
      <c r="L149">
        <v>0.2</v>
      </c>
      <c r="M149">
        <v>0.7</v>
      </c>
      <c r="N149">
        <v>710</v>
      </c>
      <c r="O149">
        <v>8</v>
      </c>
      <c r="P149">
        <v>0</v>
      </c>
      <c r="Q149">
        <v>1.1100000000000001</v>
      </c>
      <c r="R149" t="s">
        <v>231</v>
      </c>
      <c r="S149">
        <v>0.04</v>
      </c>
      <c r="T149">
        <v>0.04</v>
      </c>
    </row>
    <row r="150" spans="1:21" x14ac:dyDescent="0.25">
      <c r="A150" s="2">
        <v>45316.415277777778</v>
      </c>
      <c r="B150" t="s">
        <v>309</v>
      </c>
      <c r="C150" t="s">
        <v>219</v>
      </c>
      <c r="D150">
        <v>3</v>
      </c>
      <c r="E150" t="s">
        <v>32</v>
      </c>
      <c r="F150" t="s">
        <v>373</v>
      </c>
      <c r="G150">
        <v>0</v>
      </c>
      <c r="H150">
        <v>0.153139357</v>
      </c>
      <c r="I150">
        <v>0.153139357</v>
      </c>
      <c r="J150">
        <v>99.846860640000003</v>
      </c>
      <c r="K150">
        <v>0.8</v>
      </c>
      <c r="L150">
        <v>0.2</v>
      </c>
      <c r="M150">
        <v>0.7</v>
      </c>
      <c r="N150">
        <v>652</v>
      </c>
      <c r="O150">
        <v>0</v>
      </c>
      <c r="P150">
        <v>1</v>
      </c>
      <c r="Q150">
        <v>0.15</v>
      </c>
      <c r="R150" t="s">
        <v>218</v>
      </c>
      <c r="S150">
        <v>3.31</v>
      </c>
      <c r="T150">
        <v>4.75</v>
      </c>
    </row>
    <row r="151" spans="1:21" x14ac:dyDescent="0.25">
      <c r="A151" s="2">
        <v>45320.93472222222</v>
      </c>
      <c r="B151" t="s">
        <v>309</v>
      </c>
      <c r="C151" t="s">
        <v>221</v>
      </c>
      <c r="D151">
        <v>2</v>
      </c>
      <c r="E151" t="s">
        <v>32</v>
      </c>
      <c r="F151" t="s">
        <v>373</v>
      </c>
      <c r="G151">
        <v>0.29895366200000001</v>
      </c>
      <c r="H151">
        <v>0</v>
      </c>
      <c r="I151">
        <v>0.29895366200000001</v>
      </c>
      <c r="J151">
        <v>99.701046340000005</v>
      </c>
      <c r="K151">
        <v>0.8</v>
      </c>
      <c r="L151">
        <v>0.3</v>
      </c>
      <c r="M151">
        <v>0.7</v>
      </c>
      <c r="N151">
        <v>667</v>
      </c>
      <c r="O151">
        <v>2</v>
      </c>
      <c r="P151">
        <v>0</v>
      </c>
      <c r="Q151">
        <v>0.3</v>
      </c>
      <c r="R151" t="s">
        <v>235</v>
      </c>
      <c r="S151">
        <v>0.02</v>
      </c>
      <c r="T151">
        <v>0.02</v>
      </c>
    </row>
    <row r="152" spans="1:21" x14ac:dyDescent="0.25">
      <c r="A152" t="s">
        <v>19</v>
      </c>
      <c r="B152" t="s">
        <v>20</v>
      </c>
      <c r="C152" t="s">
        <v>320</v>
      </c>
      <c r="D152">
        <v>3</v>
      </c>
      <c r="E152" t="s">
        <v>32</v>
      </c>
      <c r="F152" t="s">
        <v>373</v>
      </c>
      <c r="G152">
        <v>0</v>
      </c>
      <c r="H152">
        <v>0</v>
      </c>
      <c r="I152">
        <f>100-J152</f>
        <v>0</v>
      </c>
      <c r="J152">
        <f>100-G152-H152</f>
        <v>100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>
        <f>I152</f>
        <v>0</v>
      </c>
      <c r="R152" t="s">
        <v>19</v>
      </c>
      <c r="S152" t="s">
        <v>19</v>
      </c>
      <c r="T152" t="s">
        <v>19</v>
      </c>
    </row>
    <row r="153" spans="1:21" x14ac:dyDescent="0.25">
      <c r="A153" s="2">
        <v>45323.514745370368</v>
      </c>
      <c r="B153" t="s">
        <v>309</v>
      </c>
      <c r="C153" t="s">
        <v>322</v>
      </c>
      <c r="D153">
        <v>3</v>
      </c>
      <c r="E153" t="s">
        <v>32</v>
      </c>
      <c r="F153" t="s">
        <v>373</v>
      </c>
      <c r="G153">
        <f>(O153/(N153+O153+P153))*100</f>
        <v>0.29542097488921715</v>
      </c>
      <c r="H153">
        <f>(P153/(O153+P153+N153))*100</f>
        <v>0</v>
      </c>
      <c r="I153">
        <f>((O153+P153)/(P153+O153+N153))*100</f>
        <v>0.29542097488921715</v>
      </c>
      <c r="J153">
        <f>(N153/(P153+O153+N153))*100</f>
        <v>99.704579025110789</v>
      </c>
      <c r="K153">
        <v>0.8</v>
      </c>
      <c r="L153">
        <v>0.3</v>
      </c>
      <c r="M153">
        <v>0.7</v>
      </c>
      <c r="N153">
        <v>675</v>
      </c>
      <c r="O153">
        <v>2</v>
      </c>
      <c r="P153">
        <v>0</v>
      </c>
      <c r="Q153">
        <v>0.3</v>
      </c>
      <c r="R153" t="s">
        <v>240</v>
      </c>
      <c r="S153">
        <v>2.48</v>
      </c>
      <c r="T153">
        <v>3.42</v>
      </c>
      <c r="U153">
        <v>4</v>
      </c>
    </row>
    <row r="154" spans="1:21" x14ac:dyDescent="0.25">
      <c r="A154" s="2">
        <v>45323.5153587963</v>
      </c>
      <c r="B154" t="s">
        <v>309</v>
      </c>
      <c r="C154" t="s">
        <v>322</v>
      </c>
      <c r="D154">
        <v>3</v>
      </c>
      <c r="E154" t="s">
        <v>32</v>
      </c>
      <c r="F154" t="s">
        <v>373</v>
      </c>
      <c r="G154">
        <f>(O154/(N154+O154+P154))*100</f>
        <v>0.44247787610619471</v>
      </c>
      <c r="H154">
        <f>(P154/(O154+P154+N154))*100</f>
        <v>0</v>
      </c>
      <c r="I154">
        <f>((O154+P154)/(P154+O154+N154))*100</f>
        <v>0.44247787610619471</v>
      </c>
      <c r="J154">
        <f>(N154/(P154+O154+N154))*100</f>
        <v>99.557522123893804</v>
      </c>
      <c r="K154">
        <v>0.7</v>
      </c>
      <c r="L154">
        <v>0.3</v>
      </c>
      <c r="M154">
        <v>0.7</v>
      </c>
      <c r="N154">
        <v>675</v>
      </c>
      <c r="O154">
        <v>3</v>
      </c>
      <c r="P154">
        <v>0</v>
      </c>
      <c r="Q154">
        <v>0.44</v>
      </c>
      <c r="R154" t="s">
        <v>330</v>
      </c>
      <c r="S154">
        <v>2.48</v>
      </c>
      <c r="T154">
        <v>3.42</v>
      </c>
      <c r="U154">
        <v>3</v>
      </c>
    </row>
    <row r="155" spans="1:21" x14ac:dyDescent="0.25">
      <c r="A155" s="2">
        <v>45325.095925925925</v>
      </c>
      <c r="B155" t="s">
        <v>309</v>
      </c>
      <c r="C155" t="s">
        <v>368</v>
      </c>
      <c r="D155">
        <v>2</v>
      </c>
      <c r="E155" t="s">
        <v>32</v>
      </c>
      <c r="F155" t="s">
        <v>373</v>
      </c>
      <c r="G155">
        <f>(O155/(N155+O155+P155))*100</f>
        <v>0.4497751124437781</v>
      </c>
      <c r="H155">
        <f>(P155/(O155+P155+N155))*100</f>
        <v>0</v>
      </c>
      <c r="I155">
        <v>0.45</v>
      </c>
      <c r="J155">
        <f>(N155/(P155+O155+N155))*100</f>
        <v>99.550224887556226</v>
      </c>
      <c r="K155">
        <v>0.8</v>
      </c>
      <c r="L155">
        <v>0.3</v>
      </c>
      <c r="M155">
        <v>0.7</v>
      </c>
      <c r="N155">
        <v>664</v>
      </c>
      <c r="O155">
        <v>3</v>
      </c>
      <c r="P155">
        <v>0</v>
      </c>
      <c r="Q155">
        <v>0.45</v>
      </c>
      <c r="R155" t="s">
        <v>271</v>
      </c>
      <c r="S155">
        <v>0.02</v>
      </c>
      <c r="T155">
        <v>0.02</v>
      </c>
    </row>
    <row r="156" spans="1:21" x14ac:dyDescent="0.25">
      <c r="A156" t="s">
        <v>19</v>
      </c>
      <c r="B156" t="s">
        <v>20</v>
      </c>
      <c r="C156" t="s">
        <v>308</v>
      </c>
      <c r="D156">
        <v>3</v>
      </c>
      <c r="E156" t="s">
        <v>33</v>
      </c>
      <c r="F156" t="s">
        <v>388</v>
      </c>
      <c r="G156">
        <v>25</v>
      </c>
      <c r="H156">
        <v>15</v>
      </c>
      <c r="I156">
        <f>G156+H156</f>
        <v>40</v>
      </c>
      <c r="J156">
        <f>100-G156-H156</f>
        <v>60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>
        <f>I156</f>
        <v>40</v>
      </c>
      <c r="R156" t="s">
        <v>19</v>
      </c>
      <c r="S156" t="s">
        <v>19</v>
      </c>
      <c r="T156" t="s">
        <v>19</v>
      </c>
    </row>
    <row r="157" spans="1:21" x14ac:dyDescent="0.25">
      <c r="A157" t="s">
        <v>19</v>
      </c>
      <c r="B157" t="s">
        <v>20</v>
      </c>
      <c r="C157" t="s">
        <v>22</v>
      </c>
      <c r="D157">
        <v>3</v>
      </c>
      <c r="E157" t="s">
        <v>33</v>
      </c>
      <c r="F157" t="s">
        <v>388</v>
      </c>
      <c r="G157">
        <v>15</v>
      </c>
      <c r="H157">
        <v>10</v>
      </c>
      <c r="I157">
        <f>G157+H157</f>
        <v>25</v>
      </c>
      <c r="J157">
        <f>100-G157-H157</f>
        <v>75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>
        <f>I157</f>
        <v>25</v>
      </c>
      <c r="R157" t="s">
        <v>19</v>
      </c>
      <c r="S157" t="s">
        <v>19</v>
      </c>
      <c r="T157" t="s">
        <v>19</v>
      </c>
    </row>
    <row r="158" spans="1:21" x14ac:dyDescent="0.25">
      <c r="A158" t="s">
        <v>19</v>
      </c>
      <c r="B158" t="s">
        <v>20</v>
      </c>
      <c r="C158" t="s">
        <v>305</v>
      </c>
      <c r="D158">
        <v>3</v>
      </c>
      <c r="E158" t="s">
        <v>33</v>
      </c>
      <c r="F158" t="s">
        <v>388</v>
      </c>
      <c r="G158">
        <v>20</v>
      </c>
      <c r="H158">
        <v>15</v>
      </c>
      <c r="I158">
        <f>G158+H158</f>
        <v>35</v>
      </c>
      <c r="J158">
        <f>100-G158-H158</f>
        <v>65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>
        <f>I158</f>
        <v>35</v>
      </c>
      <c r="R158" t="s">
        <v>19</v>
      </c>
      <c r="S158" t="s">
        <v>19</v>
      </c>
      <c r="T158" t="s">
        <v>19</v>
      </c>
    </row>
    <row r="159" spans="1:21" x14ac:dyDescent="0.25">
      <c r="A159" t="s">
        <v>19</v>
      </c>
      <c r="B159" t="s">
        <v>20</v>
      </c>
      <c r="C159" t="s">
        <v>307</v>
      </c>
      <c r="D159">
        <v>3</v>
      </c>
      <c r="E159" t="s">
        <v>33</v>
      </c>
      <c r="F159" t="s">
        <v>388</v>
      </c>
      <c r="G159">
        <v>2</v>
      </c>
      <c r="H159">
        <v>3</v>
      </c>
      <c r="I159">
        <f>G159+H159</f>
        <v>5</v>
      </c>
      <c r="J159">
        <f>100-G159-H159</f>
        <v>95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>
        <f>I159</f>
        <v>5</v>
      </c>
      <c r="R159" t="s">
        <v>19</v>
      </c>
      <c r="S159" t="s">
        <v>19</v>
      </c>
      <c r="T159" t="s">
        <v>19</v>
      </c>
    </row>
    <row r="160" spans="1:21" x14ac:dyDescent="0.25">
      <c r="A160" s="2">
        <v>45253.513888888891</v>
      </c>
      <c r="B160" t="s">
        <v>309</v>
      </c>
      <c r="C160" t="s">
        <v>213</v>
      </c>
      <c r="D160">
        <v>3</v>
      </c>
      <c r="E160" t="s">
        <v>33</v>
      </c>
      <c r="F160" t="s">
        <v>388</v>
      </c>
      <c r="G160">
        <v>0.87336244500000004</v>
      </c>
      <c r="H160">
        <v>15.574963609999999</v>
      </c>
      <c r="I160">
        <v>16.448326059999999</v>
      </c>
      <c r="J160">
        <v>83.551673940000001</v>
      </c>
      <c r="K160">
        <v>0.8</v>
      </c>
      <c r="L160">
        <v>0.2</v>
      </c>
      <c r="M160">
        <v>0.7</v>
      </c>
      <c r="N160">
        <v>574</v>
      </c>
      <c r="O160">
        <v>6</v>
      </c>
      <c r="P160">
        <v>107</v>
      </c>
      <c r="Q160">
        <v>16.45</v>
      </c>
      <c r="R160" t="s">
        <v>214</v>
      </c>
      <c r="S160">
        <v>2.6</v>
      </c>
      <c r="T160">
        <v>2.95</v>
      </c>
    </row>
    <row r="161" spans="1:21" x14ac:dyDescent="0.25">
      <c r="A161" s="2">
        <v>45253.819444444445</v>
      </c>
      <c r="B161" t="s">
        <v>309</v>
      </c>
      <c r="C161" t="s">
        <v>215</v>
      </c>
      <c r="D161">
        <v>2</v>
      </c>
      <c r="E161" t="s">
        <v>33</v>
      </c>
      <c r="F161" t="s">
        <v>388</v>
      </c>
      <c r="G161">
        <v>38.366718030000001</v>
      </c>
      <c r="H161">
        <v>0</v>
      </c>
      <c r="I161">
        <v>38.366718030000001</v>
      </c>
      <c r="J161">
        <v>61.633281969999999</v>
      </c>
      <c r="K161">
        <v>0.8</v>
      </c>
      <c r="L161">
        <v>0.2</v>
      </c>
      <c r="M161">
        <v>0.7</v>
      </c>
      <c r="N161">
        <v>400</v>
      </c>
      <c r="O161">
        <v>249</v>
      </c>
      <c r="P161">
        <v>0</v>
      </c>
      <c r="Q161">
        <v>38.369999999999997</v>
      </c>
      <c r="R161" t="s">
        <v>220</v>
      </c>
      <c r="S161">
        <v>0.86</v>
      </c>
      <c r="T161">
        <v>0.93</v>
      </c>
    </row>
    <row r="162" spans="1:21" x14ac:dyDescent="0.25">
      <c r="A162" s="2">
        <v>45253.984722222223</v>
      </c>
      <c r="B162" t="s">
        <v>309</v>
      </c>
      <c r="C162" t="s">
        <v>217</v>
      </c>
      <c r="D162">
        <v>2</v>
      </c>
      <c r="E162" t="s">
        <v>33</v>
      </c>
      <c r="F162" t="s">
        <v>388</v>
      </c>
      <c r="G162">
        <v>45.718654430000001</v>
      </c>
      <c r="H162">
        <v>0</v>
      </c>
      <c r="I162">
        <v>45.718654430000001</v>
      </c>
      <c r="J162">
        <v>54.281345569999999</v>
      </c>
      <c r="K162">
        <v>0.8</v>
      </c>
      <c r="L162">
        <v>0.2</v>
      </c>
      <c r="M162">
        <v>0.7</v>
      </c>
      <c r="N162">
        <v>355</v>
      </c>
      <c r="O162">
        <v>299</v>
      </c>
      <c r="P162">
        <v>0</v>
      </c>
      <c r="Q162">
        <v>45.72</v>
      </c>
      <c r="R162" t="s">
        <v>239</v>
      </c>
      <c r="S162">
        <v>1.1000000000000001</v>
      </c>
      <c r="T162">
        <v>1.18</v>
      </c>
    </row>
    <row r="163" spans="1:21" x14ac:dyDescent="0.25">
      <c r="A163" s="2">
        <v>45316.49722222222</v>
      </c>
      <c r="B163" t="s">
        <v>309</v>
      </c>
      <c r="C163" t="s">
        <v>219</v>
      </c>
      <c r="D163">
        <v>3</v>
      </c>
      <c r="E163" t="s">
        <v>33</v>
      </c>
      <c r="F163" t="s">
        <v>388</v>
      </c>
      <c r="G163">
        <v>1.048951049</v>
      </c>
      <c r="H163">
        <v>14.68531469</v>
      </c>
      <c r="I163">
        <v>15.734265730000001</v>
      </c>
      <c r="J163">
        <v>84.265734269999996</v>
      </c>
      <c r="K163">
        <v>0.8</v>
      </c>
      <c r="L163">
        <v>0.2</v>
      </c>
      <c r="M163">
        <v>0.7</v>
      </c>
      <c r="N163">
        <v>482</v>
      </c>
      <c r="O163">
        <v>6</v>
      </c>
      <c r="P163">
        <v>84</v>
      </c>
      <c r="Q163">
        <v>15.73</v>
      </c>
      <c r="R163" t="s">
        <v>229</v>
      </c>
      <c r="S163">
        <v>3.1</v>
      </c>
      <c r="T163">
        <v>4.4000000000000004</v>
      </c>
    </row>
    <row r="164" spans="1:21" x14ac:dyDescent="0.25">
      <c r="A164" s="2">
        <v>45320.826388888891</v>
      </c>
      <c r="B164" t="s">
        <v>309</v>
      </c>
      <c r="C164" t="s">
        <v>221</v>
      </c>
      <c r="D164">
        <v>2</v>
      </c>
      <c r="E164" t="s">
        <v>33</v>
      </c>
      <c r="F164" t="s">
        <v>388</v>
      </c>
      <c r="G164">
        <v>26.393442619999998</v>
      </c>
      <c r="H164">
        <v>0</v>
      </c>
      <c r="I164">
        <v>26.393442619999998</v>
      </c>
      <c r="J164">
        <v>73.606557379999998</v>
      </c>
      <c r="K164">
        <v>0.8</v>
      </c>
      <c r="L164">
        <v>0.3</v>
      </c>
      <c r="M164">
        <v>0.7</v>
      </c>
      <c r="N164">
        <v>449</v>
      </c>
      <c r="O164">
        <v>161</v>
      </c>
      <c r="P164">
        <v>0</v>
      </c>
      <c r="Q164">
        <v>26.39</v>
      </c>
      <c r="R164" t="s">
        <v>242</v>
      </c>
      <c r="S164">
        <v>0.76</v>
      </c>
      <c r="T164">
        <v>0.83</v>
      </c>
    </row>
    <row r="165" spans="1:21" x14ac:dyDescent="0.25">
      <c r="A165" t="s">
        <v>19</v>
      </c>
      <c r="B165" t="s">
        <v>20</v>
      </c>
      <c r="C165" t="s">
        <v>306</v>
      </c>
      <c r="D165">
        <v>3</v>
      </c>
      <c r="E165" t="s">
        <v>33</v>
      </c>
      <c r="F165" t="s">
        <v>388</v>
      </c>
      <c r="G165">
        <v>30</v>
      </c>
      <c r="H165">
        <v>20</v>
      </c>
      <c r="I165">
        <f>G165+H165</f>
        <v>50</v>
      </c>
      <c r="J165">
        <f>100-G165-H165</f>
        <v>50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  <c r="Q165">
        <f>I165</f>
        <v>50</v>
      </c>
      <c r="R165" t="s">
        <v>19</v>
      </c>
      <c r="S165" t="s">
        <v>19</v>
      </c>
      <c r="T165" t="s">
        <v>19</v>
      </c>
    </row>
    <row r="166" spans="1:21" x14ac:dyDescent="0.25">
      <c r="A166" t="s">
        <v>19</v>
      </c>
      <c r="B166" t="s">
        <v>20</v>
      </c>
      <c r="C166" t="s">
        <v>320</v>
      </c>
      <c r="D166">
        <v>3</v>
      </c>
      <c r="E166" t="s">
        <v>33</v>
      </c>
      <c r="F166" t="s">
        <v>388</v>
      </c>
      <c r="G166">
        <v>10</v>
      </c>
      <c r="H166">
        <v>20</v>
      </c>
      <c r="I166">
        <f>100-J166</f>
        <v>30</v>
      </c>
      <c r="J166">
        <f>100-G166-H166</f>
        <v>70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>
        <f>I166</f>
        <v>30</v>
      </c>
      <c r="R166" t="s">
        <v>19</v>
      </c>
      <c r="S166" t="s">
        <v>19</v>
      </c>
      <c r="T166" t="s">
        <v>19</v>
      </c>
    </row>
    <row r="167" spans="1:21" x14ac:dyDescent="0.25">
      <c r="A167" s="2">
        <v>45323.514976851853</v>
      </c>
      <c r="B167" t="s">
        <v>309</v>
      </c>
      <c r="C167" t="s">
        <v>322</v>
      </c>
      <c r="D167">
        <v>3</v>
      </c>
      <c r="E167" t="s">
        <v>33</v>
      </c>
      <c r="F167" t="s">
        <v>388</v>
      </c>
      <c r="G167">
        <f>(O167/(N167+O167+P167))*100</f>
        <v>7.2981366459627326</v>
      </c>
      <c r="H167">
        <f>(P167/(O167+P167+N167))*100</f>
        <v>12.422360248447205</v>
      </c>
      <c r="I167">
        <f>((O167+P167)/(P167+O167+N167))*100</f>
        <v>19.720496894409941</v>
      </c>
      <c r="J167">
        <f>(N167/(P167+O167+N167))*100</f>
        <v>80.279503105590067</v>
      </c>
      <c r="K167">
        <v>0.8</v>
      </c>
      <c r="L167">
        <v>0.3</v>
      </c>
      <c r="M167">
        <v>0.7</v>
      </c>
      <c r="N167">
        <v>517</v>
      </c>
      <c r="O167">
        <v>47</v>
      </c>
      <c r="P167">
        <v>80</v>
      </c>
      <c r="Q167">
        <v>19.72</v>
      </c>
      <c r="R167" t="s">
        <v>245</v>
      </c>
      <c r="S167">
        <v>2.4500000000000002</v>
      </c>
      <c r="T167">
        <v>3.35</v>
      </c>
      <c r="U167">
        <v>80</v>
      </c>
    </row>
    <row r="168" spans="1:21" x14ac:dyDescent="0.25">
      <c r="A168" s="2">
        <v>45323.514490740738</v>
      </c>
      <c r="B168" t="s">
        <v>309</v>
      </c>
      <c r="C168" t="s">
        <v>322</v>
      </c>
      <c r="D168">
        <v>3</v>
      </c>
      <c r="E168" t="s">
        <v>33</v>
      </c>
      <c r="F168" t="s">
        <v>388</v>
      </c>
      <c r="G168">
        <f>(O168/(N168+O168+P168))*100</f>
        <v>8.1538461538461533</v>
      </c>
      <c r="H168">
        <f>(P168/(O168+P168+N168))*100</f>
        <v>13.384615384615383</v>
      </c>
      <c r="I168">
        <v>21.54</v>
      </c>
      <c r="J168">
        <f>(N168/(P168+O168+N168))*100</f>
        <v>78.461538461538467</v>
      </c>
      <c r="K168">
        <v>0.7</v>
      </c>
      <c r="L168">
        <v>0.3</v>
      </c>
      <c r="M168">
        <v>0.7</v>
      </c>
      <c r="N168">
        <v>510</v>
      </c>
      <c r="O168">
        <v>53</v>
      </c>
      <c r="P168">
        <v>87</v>
      </c>
      <c r="Q168">
        <v>21.54</v>
      </c>
      <c r="R168" t="s">
        <v>255</v>
      </c>
      <c r="S168">
        <v>2.4500000000000002</v>
      </c>
      <c r="T168">
        <v>3.35</v>
      </c>
      <c r="U168">
        <v>74</v>
      </c>
    </row>
    <row r="169" spans="1:21" x14ac:dyDescent="0.25">
      <c r="A169" s="2">
        <v>45324.942719907405</v>
      </c>
      <c r="B169" t="s">
        <v>309</v>
      </c>
      <c r="C169" t="s">
        <v>368</v>
      </c>
      <c r="D169">
        <v>2</v>
      </c>
      <c r="E169" t="s">
        <v>33</v>
      </c>
      <c r="F169" t="s">
        <v>388</v>
      </c>
      <c r="G169">
        <f>(O169/(N169+O169+P169))*100</f>
        <v>21.09256449165402</v>
      </c>
      <c r="H169">
        <f>(P169/(O169+P169+N169))*100</f>
        <v>0</v>
      </c>
      <c r="I169">
        <v>21.09</v>
      </c>
      <c r="J169">
        <f>(N169/(P169+O169+N169))*100</f>
        <v>78.907435508345984</v>
      </c>
      <c r="K169">
        <v>0.8</v>
      </c>
      <c r="L169">
        <v>0.3</v>
      </c>
      <c r="M169">
        <v>0.7</v>
      </c>
      <c r="N169">
        <v>520</v>
      </c>
      <c r="O169">
        <v>139</v>
      </c>
      <c r="P169">
        <v>0</v>
      </c>
      <c r="Q169">
        <v>21.09</v>
      </c>
      <c r="R169" t="s">
        <v>214</v>
      </c>
      <c r="S169">
        <v>0.59</v>
      </c>
      <c r="T169">
        <v>0.64</v>
      </c>
    </row>
    <row r="170" spans="1:21" x14ac:dyDescent="0.25">
      <c r="A170" t="s">
        <v>19</v>
      </c>
      <c r="B170" t="s">
        <v>20</v>
      </c>
      <c r="C170" t="s">
        <v>306</v>
      </c>
      <c r="D170">
        <v>3</v>
      </c>
      <c r="E170" t="s">
        <v>34</v>
      </c>
      <c r="F170" t="s">
        <v>373</v>
      </c>
      <c r="G170">
        <v>35</v>
      </c>
      <c r="H170">
        <v>0</v>
      </c>
      <c r="I170">
        <f>G170+H170</f>
        <v>35</v>
      </c>
      <c r="J170">
        <f>100-G170-H170</f>
        <v>65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>
        <f>I170</f>
        <v>35</v>
      </c>
      <c r="R170" t="s">
        <v>19</v>
      </c>
      <c r="S170" t="s">
        <v>19</v>
      </c>
      <c r="T170" t="s">
        <v>19</v>
      </c>
    </row>
    <row r="171" spans="1:21" x14ac:dyDescent="0.25">
      <c r="A171" t="s">
        <v>19</v>
      </c>
      <c r="B171" t="s">
        <v>20</v>
      </c>
      <c r="C171" t="s">
        <v>308</v>
      </c>
      <c r="D171">
        <v>3</v>
      </c>
      <c r="E171" t="s">
        <v>34</v>
      </c>
      <c r="F171" t="s">
        <v>373</v>
      </c>
      <c r="G171">
        <v>15</v>
      </c>
      <c r="H171">
        <v>0</v>
      </c>
      <c r="I171">
        <f>G171+H171</f>
        <v>15</v>
      </c>
      <c r="J171">
        <f>100-G171-H171</f>
        <v>85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>
        <f>I171</f>
        <v>15</v>
      </c>
      <c r="R171" t="s">
        <v>19</v>
      </c>
      <c r="S171" t="s">
        <v>19</v>
      </c>
      <c r="T171" t="s">
        <v>19</v>
      </c>
    </row>
    <row r="172" spans="1:21" x14ac:dyDescent="0.25">
      <c r="A172" t="s">
        <v>19</v>
      </c>
      <c r="B172" t="s">
        <v>20</v>
      </c>
      <c r="C172" t="s">
        <v>22</v>
      </c>
      <c r="D172">
        <v>3</v>
      </c>
      <c r="E172" t="s">
        <v>34</v>
      </c>
      <c r="F172" t="s">
        <v>373</v>
      </c>
      <c r="G172">
        <v>13</v>
      </c>
      <c r="H172">
        <v>0</v>
      </c>
      <c r="I172">
        <f>G172+H172</f>
        <v>13</v>
      </c>
      <c r="J172">
        <f>100-G172-H172</f>
        <v>87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>
        <f>I172</f>
        <v>13</v>
      </c>
      <c r="R172" t="s">
        <v>19</v>
      </c>
      <c r="S172" t="s">
        <v>19</v>
      </c>
      <c r="T172" t="s">
        <v>19</v>
      </c>
    </row>
    <row r="173" spans="1:21" x14ac:dyDescent="0.25">
      <c r="A173" t="s">
        <v>19</v>
      </c>
      <c r="B173" t="s">
        <v>20</v>
      </c>
      <c r="C173" t="s">
        <v>305</v>
      </c>
      <c r="D173">
        <v>3</v>
      </c>
      <c r="E173" t="s">
        <v>34</v>
      </c>
      <c r="F173" t="s">
        <v>373</v>
      </c>
      <c r="G173">
        <v>8</v>
      </c>
      <c r="H173">
        <v>0</v>
      </c>
      <c r="I173">
        <f>G173+H173</f>
        <v>8</v>
      </c>
      <c r="J173">
        <f>100-G173-H173</f>
        <v>92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>
        <f>I173</f>
        <v>8</v>
      </c>
      <c r="R173" t="s">
        <v>19</v>
      </c>
      <c r="S173" t="s">
        <v>19</v>
      </c>
      <c r="T173" t="s">
        <v>19</v>
      </c>
    </row>
    <row r="174" spans="1:21" x14ac:dyDescent="0.25">
      <c r="A174" t="s">
        <v>19</v>
      </c>
      <c r="B174" t="s">
        <v>20</v>
      </c>
      <c r="C174" t="s">
        <v>307</v>
      </c>
      <c r="D174">
        <v>3</v>
      </c>
      <c r="E174" t="s">
        <v>34</v>
      </c>
      <c r="F174" t="s">
        <v>373</v>
      </c>
      <c r="G174">
        <v>0</v>
      </c>
      <c r="H174">
        <v>1</v>
      </c>
      <c r="I174">
        <f>G174+H174</f>
        <v>1</v>
      </c>
      <c r="J174">
        <f>100-G174-H174</f>
        <v>99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>
        <f>I174</f>
        <v>1</v>
      </c>
      <c r="R174" t="s">
        <v>19</v>
      </c>
      <c r="S174" t="s">
        <v>19</v>
      </c>
      <c r="T174" t="s">
        <v>19</v>
      </c>
    </row>
    <row r="175" spans="1:21" x14ac:dyDescent="0.25">
      <c r="A175" s="2">
        <v>45253.676388888889</v>
      </c>
      <c r="B175" t="s">
        <v>309</v>
      </c>
      <c r="C175" t="s">
        <v>213</v>
      </c>
      <c r="D175">
        <v>3</v>
      </c>
      <c r="E175" t="s">
        <v>34</v>
      </c>
      <c r="F175" t="s">
        <v>373</v>
      </c>
      <c r="G175">
        <v>20.97378277</v>
      </c>
      <c r="H175">
        <v>0</v>
      </c>
      <c r="I175">
        <v>20.97378277</v>
      </c>
      <c r="J175">
        <v>79.02621723</v>
      </c>
      <c r="K175">
        <v>0.8</v>
      </c>
      <c r="L175">
        <v>0.2</v>
      </c>
      <c r="M175">
        <v>0.7</v>
      </c>
      <c r="N175">
        <v>422</v>
      </c>
      <c r="O175">
        <v>112</v>
      </c>
      <c r="P175">
        <v>0</v>
      </c>
      <c r="Q175">
        <v>20.97</v>
      </c>
      <c r="R175" t="s">
        <v>223</v>
      </c>
      <c r="S175">
        <v>2.67</v>
      </c>
      <c r="T175">
        <v>3.01</v>
      </c>
    </row>
    <row r="176" spans="1:21" x14ac:dyDescent="0.25">
      <c r="A176" s="2">
        <v>45253.906944444447</v>
      </c>
      <c r="B176" t="s">
        <v>309</v>
      </c>
      <c r="C176" t="s">
        <v>215</v>
      </c>
      <c r="D176">
        <v>2</v>
      </c>
      <c r="E176" t="s">
        <v>34</v>
      </c>
      <c r="F176" t="s">
        <v>373</v>
      </c>
      <c r="G176">
        <v>15.439856369999999</v>
      </c>
      <c r="H176">
        <v>0</v>
      </c>
      <c r="I176">
        <v>15.439856369999999</v>
      </c>
      <c r="J176">
        <v>84.560143629999999</v>
      </c>
      <c r="K176">
        <v>0.8</v>
      </c>
      <c r="L176">
        <v>0.2</v>
      </c>
      <c r="M176">
        <v>0.7</v>
      </c>
      <c r="N176">
        <v>471</v>
      </c>
      <c r="O176">
        <v>86</v>
      </c>
      <c r="P176">
        <v>0</v>
      </c>
      <c r="Q176">
        <v>15.44</v>
      </c>
      <c r="R176" t="s">
        <v>226</v>
      </c>
      <c r="S176">
        <v>0.46</v>
      </c>
      <c r="T176">
        <v>0.49</v>
      </c>
    </row>
    <row r="177" spans="1:21" x14ac:dyDescent="0.25">
      <c r="A177" s="2">
        <v>45254.07916666667</v>
      </c>
      <c r="B177" t="s">
        <v>309</v>
      </c>
      <c r="C177" t="s">
        <v>217</v>
      </c>
      <c r="D177">
        <v>2</v>
      </c>
      <c r="E177" t="s">
        <v>34</v>
      </c>
      <c r="F177" t="s">
        <v>373</v>
      </c>
      <c r="G177">
        <v>18.760757309999999</v>
      </c>
      <c r="H177">
        <v>0</v>
      </c>
      <c r="I177">
        <v>18.760757309999999</v>
      </c>
      <c r="J177">
        <v>81.239242689999998</v>
      </c>
      <c r="K177">
        <v>0.8</v>
      </c>
      <c r="L177">
        <v>0.2</v>
      </c>
      <c r="M177">
        <v>0.7</v>
      </c>
      <c r="N177">
        <v>472</v>
      </c>
      <c r="O177">
        <v>109</v>
      </c>
      <c r="P177">
        <v>0</v>
      </c>
      <c r="Q177">
        <v>18.760000000000002</v>
      </c>
      <c r="R177" t="s">
        <v>220</v>
      </c>
      <c r="S177">
        <v>0.46</v>
      </c>
      <c r="T177">
        <v>0.47</v>
      </c>
    </row>
    <row r="178" spans="1:21" x14ac:dyDescent="0.25">
      <c r="A178" s="2">
        <v>45316.415972222225</v>
      </c>
      <c r="B178" t="s">
        <v>309</v>
      </c>
      <c r="C178" t="s">
        <v>219</v>
      </c>
      <c r="D178">
        <v>3</v>
      </c>
      <c r="E178" t="s">
        <v>34</v>
      </c>
      <c r="F178" t="s">
        <v>373</v>
      </c>
      <c r="G178">
        <v>13.36302895</v>
      </c>
      <c r="H178">
        <v>0.222717149</v>
      </c>
      <c r="I178">
        <v>13.5857461</v>
      </c>
      <c r="J178">
        <v>86.414253900000006</v>
      </c>
      <c r="K178">
        <v>0.8</v>
      </c>
      <c r="L178">
        <v>0.2</v>
      </c>
      <c r="M178">
        <v>0.7</v>
      </c>
      <c r="N178">
        <v>388</v>
      </c>
      <c r="O178">
        <v>60</v>
      </c>
      <c r="P178">
        <v>1</v>
      </c>
      <c r="Q178">
        <v>13.59</v>
      </c>
      <c r="R178" t="s">
        <v>227</v>
      </c>
      <c r="S178">
        <v>3.11</v>
      </c>
      <c r="T178">
        <v>4</v>
      </c>
    </row>
    <row r="179" spans="1:21" x14ac:dyDescent="0.25">
      <c r="A179" s="2">
        <v>45320.936111111114</v>
      </c>
      <c r="B179" t="s">
        <v>309</v>
      </c>
      <c r="C179" t="s">
        <v>221</v>
      </c>
      <c r="D179">
        <v>2</v>
      </c>
      <c r="E179" t="s">
        <v>34</v>
      </c>
      <c r="F179" t="s">
        <v>373</v>
      </c>
      <c r="G179">
        <v>17.449664429999999</v>
      </c>
      <c r="H179">
        <v>0</v>
      </c>
      <c r="I179">
        <v>17.449664429999999</v>
      </c>
      <c r="J179">
        <v>82.550335570000001</v>
      </c>
      <c r="K179">
        <v>0.8</v>
      </c>
      <c r="L179">
        <v>0.3</v>
      </c>
      <c r="M179">
        <v>0.7</v>
      </c>
      <c r="N179">
        <v>492</v>
      </c>
      <c r="O179">
        <v>104</v>
      </c>
      <c r="P179">
        <v>0</v>
      </c>
      <c r="Q179">
        <v>17.45</v>
      </c>
      <c r="R179" t="s">
        <v>228</v>
      </c>
      <c r="S179">
        <v>0.51</v>
      </c>
      <c r="T179">
        <v>0.55000000000000004</v>
      </c>
    </row>
    <row r="180" spans="1:21" x14ac:dyDescent="0.25">
      <c r="A180" t="s">
        <v>19</v>
      </c>
      <c r="B180" t="s">
        <v>20</v>
      </c>
      <c r="C180" t="s">
        <v>320</v>
      </c>
      <c r="D180">
        <v>3</v>
      </c>
      <c r="E180" t="s">
        <v>34</v>
      </c>
      <c r="F180" t="s">
        <v>373</v>
      </c>
      <c r="G180">
        <v>0</v>
      </c>
      <c r="H180">
        <v>0</v>
      </c>
      <c r="I180">
        <f>100-J180</f>
        <v>0</v>
      </c>
      <c r="J180">
        <f>100-G180-H180</f>
        <v>100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>
        <f>I180</f>
        <v>0</v>
      </c>
      <c r="R180" t="s">
        <v>19</v>
      </c>
      <c r="S180" t="s">
        <v>19</v>
      </c>
      <c r="T180" t="s">
        <v>19</v>
      </c>
    </row>
    <row r="181" spans="1:21" x14ac:dyDescent="0.25">
      <c r="A181" s="2">
        <v>45323.516238425924</v>
      </c>
      <c r="B181" t="s">
        <v>309</v>
      </c>
      <c r="C181" t="s">
        <v>322</v>
      </c>
      <c r="D181">
        <v>3</v>
      </c>
      <c r="E181" t="s">
        <v>34</v>
      </c>
      <c r="F181" t="s">
        <v>373</v>
      </c>
      <c r="G181">
        <f>(O181/(N181+O181+P181))*100</f>
        <v>20.315236427320489</v>
      </c>
      <c r="H181">
        <f>(P181/(O181+P181+N181))*100</f>
        <v>0</v>
      </c>
      <c r="I181">
        <f>((O181+P181)/(P181+O181+N181))*100</f>
        <v>20.315236427320489</v>
      </c>
      <c r="J181">
        <f>(N181/(P181+O181+N181))*100</f>
        <v>79.6847635726795</v>
      </c>
      <c r="K181">
        <v>0.8</v>
      </c>
      <c r="L181">
        <v>0.3</v>
      </c>
      <c r="M181">
        <v>0.7</v>
      </c>
      <c r="N181">
        <v>455</v>
      </c>
      <c r="O181">
        <v>116</v>
      </c>
      <c r="P181">
        <v>0</v>
      </c>
      <c r="Q181">
        <v>20.32</v>
      </c>
      <c r="R181" t="s">
        <v>246</v>
      </c>
      <c r="S181">
        <v>2.57</v>
      </c>
      <c r="T181">
        <v>3</v>
      </c>
      <c r="U181">
        <v>92</v>
      </c>
    </row>
    <row r="182" spans="1:21" x14ac:dyDescent="0.25">
      <c r="A182" s="2">
        <v>45323.51699074074</v>
      </c>
      <c r="B182" t="s">
        <v>309</v>
      </c>
      <c r="C182" t="s">
        <v>322</v>
      </c>
      <c r="D182">
        <v>3</v>
      </c>
      <c r="E182" t="s">
        <v>34</v>
      </c>
      <c r="F182" t="s">
        <v>373</v>
      </c>
      <c r="G182">
        <f>(O182/(N182+O182+P182))*100</f>
        <v>23.011844331641285</v>
      </c>
      <c r="H182">
        <f>(P182/(O182+P182+N182))*100</f>
        <v>0</v>
      </c>
      <c r="I182">
        <f>((O182+P182)/(P182+O182+N182))*100</f>
        <v>23.011844331641285</v>
      </c>
      <c r="J182">
        <f>(N182/(P182+O182+N182))*100</f>
        <v>76.988155668358715</v>
      </c>
      <c r="K182">
        <v>0.7</v>
      </c>
      <c r="L182">
        <v>0.3</v>
      </c>
      <c r="M182">
        <v>0.7</v>
      </c>
      <c r="N182">
        <v>455</v>
      </c>
      <c r="O182">
        <v>136</v>
      </c>
      <c r="P182">
        <v>0</v>
      </c>
      <c r="Q182">
        <v>23.01</v>
      </c>
      <c r="R182" t="s">
        <v>240</v>
      </c>
      <c r="S182">
        <v>2.57</v>
      </c>
      <c r="T182">
        <v>3</v>
      </c>
      <c r="U182">
        <v>72</v>
      </c>
    </row>
    <row r="183" spans="1:21" x14ac:dyDescent="0.25">
      <c r="A183" s="2">
        <v>45325.097199074073</v>
      </c>
      <c r="B183" t="s">
        <v>309</v>
      </c>
      <c r="C183" t="s">
        <v>368</v>
      </c>
      <c r="D183">
        <v>2</v>
      </c>
      <c r="E183" t="s">
        <v>34</v>
      </c>
      <c r="F183" t="s">
        <v>373</v>
      </c>
      <c r="G183">
        <f>(O183/(N183+O183+P183))*100</f>
        <v>19.469026548672566</v>
      </c>
      <c r="H183">
        <f>(P183/(O183+P183+N183))*100</f>
        <v>0</v>
      </c>
      <c r="I183">
        <v>19.47</v>
      </c>
      <c r="J183">
        <f>(N183/(P183+O183+N183))*100</f>
        <v>80.530973451327441</v>
      </c>
      <c r="K183">
        <v>0.8</v>
      </c>
      <c r="L183">
        <v>0.3</v>
      </c>
      <c r="M183">
        <v>0.7</v>
      </c>
      <c r="N183">
        <v>455</v>
      </c>
      <c r="O183">
        <v>110</v>
      </c>
      <c r="P183">
        <v>0</v>
      </c>
      <c r="Q183">
        <v>19.47</v>
      </c>
      <c r="R183" t="s">
        <v>258</v>
      </c>
      <c r="S183">
        <v>0.54</v>
      </c>
      <c r="T183">
        <v>0.57999999999999996</v>
      </c>
    </row>
    <row r="184" spans="1:21" x14ac:dyDescent="0.25">
      <c r="A184" t="s">
        <v>19</v>
      </c>
      <c r="B184" t="s">
        <v>20</v>
      </c>
      <c r="C184" t="s">
        <v>308</v>
      </c>
      <c r="D184">
        <v>3</v>
      </c>
      <c r="E184" t="s">
        <v>35</v>
      </c>
      <c r="F184" t="s">
        <v>388</v>
      </c>
      <c r="G184">
        <v>4</v>
      </c>
      <c r="H184">
        <v>0</v>
      </c>
      <c r="I184">
        <f>G184+H184</f>
        <v>4</v>
      </c>
      <c r="J184">
        <f>100-G184-H184</f>
        <v>96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  <c r="Q184">
        <f>I184</f>
        <v>4</v>
      </c>
      <c r="R184" t="s">
        <v>19</v>
      </c>
      <c r="S184" t="s">
        <v>19</v>
      </c>
      <c r="T184" t="s">
        <v>19</v>
      </c>
    </row>
    <row r="185" spans="1:21" x14ac:dyDescent="0.25">
      <c r="A185" t="s">
        <v>19</v>
      </c>
      <c r="B185" t="s">
        <v>20</v>
      </c>
      <c r="C185" t="s">
        <v>22</v>
      </c>
      <c r="D185">
        <v>3</v>
      </c>
      <c r="E185" t="s">
        <v>35</v>
      </c>
      <c r="F185" t="s">
        <v>388</v>
      </c>
      <c r="G185">
        <v>0</v>
      </c>
      <c r="H185">
        <v>0</v>
      </c>
      <c r="I185">
        <f>G185+H185</f>
        <v>0</v>
      </c>
      <c r="J185">
        <f>100-G185-H185</f>
        <v>100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>
        <f>I185</f>
        <v>0</v>
      </c>
      <c r="R185" t="s">
        <v>19</v>
      </c>
      <c r="S185" t="s">
        <v>19</v>
      </c>
      <c r="T185" t="s">
        <v>19</v>
      </c>
    </row>
    <row r="186" spans="1:21" x14ac:dyDescent="0.25">
      <c r="A186" t="s">
        <v>19</v>
      </c>
      <c r="B186" t="s">
        <v>20</v>
      </c>
      <c r="C186" t="s">
        <v>305</v>
      </c>
      <c r="D186">
        <v>3</v>
      </c>
      <c r="E186" t="s">
        <v>35</v>
      </c>
      <c r="F186" t="s">
        <v>388</v>
      </c>
      <c r="G186">
        <v>2</v>
      </c>
      <c r="H186">
        <v>0</v>
      </c>
      <c r="I186">
        <f>G186+H186</f>
        <v>2</v>
      </c>
      <c r="J186">
        <f>100-G186-H186</f>
        <v>98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  <c r="Q186">
        <f>I186</f>
        <v>2</v>
      </c>
      <c r="R186" t="s">
        <v>19</v>
      </c>
      <c r="S186" t="s">
        <v>19</v>
      </c>
      <c r="T186" t="s">
        <v>19</v>
      </c>
    </row>
    <row r="187" spans="1:21" x14ac:dyDescent="0.25">
      <c r="A187" t="s">
        <v>19</v>
      </c>
      <c r="B187" t="s">
        <v>20</v>
      </c>
      <c r="C187" t="s">
        <v>307</v>
      </c>
      <c r="D187">
        <v>3</v>
      </c>
      <c r="E187" t="s">
        <v>35</v>
      </c>
      <c r="F187" t="s">
        <v>388</v>
      </c>
      <c r="G187">
        <v>0</v>
      </c>
      <c r="H187">
        <v>0</v>
      </c>
      <c r="I187">
        <f>G187+H187</f>
        <v>0</v>
      </c>
      <c r="J187">
        <f>100-G187-H187</f>
        <v>100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>
        <f>I187</f>
        <v>0</v>
      </c>
      <c r="R187" t="s">
        <v>19</v>
      </c>
      <c r="S187" t="s">
        <v>19</v>
      </c>
      <c r="T187" t="s">
        <v>19</v>
      </c>
    </row>
    <row r="188" spans="1:21" x14ac:dyDescent="0.25">
      <c r="A188" s="2">
        <v>45253.515277777777</v>
      </c>
      <c r="B188" t="s">
        <v>309</v>
      </c>
      <c r="C188" t="s">
        <v>213</v>
      </c>
      <c r="D188">
        <v>3</v>
      </c>
      <c r="E188" t="s">
        <v>35</v>
      </c>
      <c r="F188" t="s">
        <v>388</v>
      </c>
      <c r="G188">
        <v>0</v>
      </c>
      <c r="H188">
        <v>1.920236337</v>
      </c>
      <c r="I188">
        <v>1.920236337</v>
      </c>
      <c r="J188">
        <v>98.079763659999998</v>
      </c>
      <c r="K188">
        <v>0.8</v>
      </c>
      <c r="L188">
        <v>0.2</v>
      </c>
      <c r="M188">
        <v>0.7</v>
      </c>
      <c r="N188">
        <v>664</v>
      </c>
      <c r="O188">
        <v>0</v>
      </c>
      <c r="P188">
        <v>13</v>
      </c>
      <c r="Q188">
        <v>1.92</v>
      </c>
      <c r="R188" t="s">
        <v>223</v>
      </c>
      <c r="S188">
        <v>2.76</v>
      </c>
      <c r="T188">
        <v>3.88</v>
      </c>
    </row>
    <row r="189" spans="1:21" x14ac:dyDescent="0.25">
      <c r="A189" s="2">
        <v>45253.820138888892</v>
      </c>
      <c r="B189" t="s">
        <v>309</v>
      </c>
      <c r="C189" t="s">
        <v>215</v>
      </c>
      <c r="D189">
        <v>2</v>
      </c>
      <c r="E189" t="s">
        <v>35</v>
      </c>
      <c r="F189" t="s">
        <v>388</v>
      </c>
      <c r="G189">
        <v>0.13774104700000001</v>
      </c>
      <c r="H189">
        <v>0</v>
      </c>
      <c r="I189">
        <v>0.13774104700000001</v>
      </c>
      <c r="J189">
        <v>99.862258949999998</v>
      </c>
      <c r="K189">
        <v>0.8</v>
      </c>
      <c r="L189">
        <v>0.2</v>
      </c>
      <c r="M189">
        <v>0.7</v>
      </c>
      <c r="N189">
        <v>725</v>
      </c>
      <c r="O189">
        <v>1</v>
      </c>
      <c r="P189">
        <v>0</v>
      </c>
      <c r="Q189">
        <v>0.14000000000000001</v>
      </c>
      <c r="R189" t="s">
        <v>243</v>
      </c>
      <c r="S189">
        <v>0.01</v>
      </c>
      <c r="T189">
        <v>0.01</v>
      </c>
    </row>
    <row r="190" spans="1:21" x14ac:dyDescent="0.25">
      <c r="A190" s="2">
        <v>45253.98541666667</v>
      </c>
      <c r="B190" t="s">
        <v>309</v>
      </c>
      <c r="C190" t="s">
        <v>217</v>
      </c>
      <c r="D190">
        <v>2</v>
      </c>
      <c r="E190" t="s">
        <v>35</v>
      </c>
      <c r="F190" t="s">
        <v>388</v>
      </c>
      <c r="G190">
        <v>0.13831258599999999</v>
      </c>
      <c r="H190">
        <v>0</v>
      </c>
      <c r="I190">
        <v>0.13831258599999999</v>
      </c>
      <c r="J190">
        <v>99.861687410000002</v>
      </c>
      <c r="K190">
        <v>0.8</v>
      </c>
      <c r="L190">
        <v>0.2</v>
      </c>
      <c r="M190">
        <v>0.7</v>
      </c>
      <c r="N190">
        <v>722</v>
      </c>
      <c r="O190">
        <v>1</v>
      </c>
      <c r="P190">
        <v>0</v>
      </c>
      <c r="Q190">
        <v>0.14000000000000001</v>
      </c>
      <c r="R190" t="s">
        <v>226</v>
      </c>
      <c r="S190">
        <v>0.01</v>
      </c>
      <c r="T190">
        <v>0.01</v>
      </c>
    </row>
    <row r="191" spans="1:21" x14ac:dyDescent="0.25">
      <c r="A191" s="2">
        <v>45316.498611111114</v>
      </c>
      <c r="B191" t="s">
        <v>309</v>
      </c>
      <c r="C191" t="s">
        <v>219</v>
      </c>
      <c r="D191">
        <v>3</v>
      </c>
      <c r="E191" t="s">
        <v>35</v>
      </c>
      <c r="F191" t="s">
        <v>388</v>
      </c>
      <c r="G191">
        <v>0</v>
      </c>
      <c r="H191">
        <v>0.84602368900000002</v>
      </c>
      <c r="I191">
        <v>0.84602368900000002</v>
      </c>
      <c r="J191">
        <v>99.153976310000004</v>
      </c>
      <c r="K191">
        <v>0.8</v>
      </c>
      <c r="L191">
        <v>0.2</v>
      </c>
      <c r="M191">
        <v>0.7</v>
      </c>
      <c r="N191">
        <v>586</v>
      </c>
      <c r="O191">
        <v>0</v>
      </c>
      <c r="P191">
        <v>5</v>
      </c>
      <c r="Q191">
        <v>0.85</v>
      </c>
      <c r="R191" t="s">
        <v>218</v>
      </c>
      <c r="S191">
        <v>3.24</v>
      </c>
      <c r="T191">
        <v>4.82</v>
      </c>
    </row>
    <row r="192" spans="1:21" x14ac:dyDescent="0.25">
      <c r="A192" s="2">
        <v>45320.827777777777</v>
      </c>
      <c r="B192" t="s">
        <v>309</v>
      </c>
      <c r="C192" t="s">
        <v>221</v>
      </c>
      <c r="D192">
        <v>2</v>
      </c>
      <c r="E192" t="s">
        <v>35</v>
      </c>
      <c r="F192" t="s">
        <v>388</v>
      </c>
      <c r="G192">
        <v>6.2030075189999998</v>
      </c>
      <c r="H192">
        <v>0</v>
      </c>
      <c r="I192">
        <v>6.2030075189999998</v>
      </c>
      <c r="J192">
        <v>93.79699248</v>
      </c>
      <c r="K192">
        <v>0.8</v>
      </c>
      <c r="L192">
        <v>0.3</v>
      </c>
      <c r="M192">
        <v>0.7</v>
      </c>
      <c r="N192">
        <v>499</v>
      </c>
      <c r="O192">
        <v>33</v>
      </c>
      <c r="P192">
        <v>0</v>
      </c>
      <c r="Q192">
        <v>6.2</v>
      </c>
      <c r="R192" t="s">
        <v>244</v>
      </c>
      <c r="S192">
        <v>0.36</v>
      </c>
      <c r="T192">
        <v>0.54</v>
      </c>
    </row>
    <row r="193" spans="1:21" x14ac:dyDescent="0.25">
      <c r="A193" t="s">
        <v>19</v>
      </c>
      <c r="B193" t="s">
        <v>20</v>
      </c>
      <c r="C193" t="s">
        <v>306</v>
      </c>
      <c r="D193">
        <v>3</v>
      </c>
      <c r="E193" t="s">
        <v>35</v>
      </c>
      <c r="F193" t="s">
        <v>388</v>
      </c>
      <c r="G193">
        <v>22</v>
      </c>
      <c r="H193">
        <v>3</v>
      </c>
      <c r="I193">
        <f>G193+H193</f>
        <v>25</v>
      </c>
      <c r="J193">
        <f>100-G193-H193</f>
        <v>75</v>
      </c>
      <c r="K193" t="s">
        <v>19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  <c r="Q193">
        <f>I193</f>
        <v>25</v>
      </c>
      <c r="R193" t="s">
        <v>19</v>
      </c>
      <c r="S193" t="s">
        <v>19</v>
      </c>
      <c r="T193" t="s">
        <v>19</v>
      </c>
    </row>
    <row r="194" spans="1:21" x14ac:dyDescent="0.25">
      <c r="A194" t="s">
        <v>19</v>
      </c>
      <c r="B194" t="s">
        <v>20</v>
      </c>
      <c r="C194" t="s">
        <v>320</v>
      </c>
      <c r="D194">
        <v>3</v>
      </c>
      <c r="E194" t="s">
        <v>35</v>
      </c>
      <c r="F194" t="s">
        <v>388</v>
      </c>
      <c r="G194">
        <v>0</v>
      </c>
      <c r="H194">
        <v>0</v>
      </c>
      <c r="I194">
        <f>100-J194</f>
        <v>0</v>
      </c>
      <c r="J194">
        <f>100-G194-H194</f>
        <v>100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>
        <f>I194</f>
        <v>0</v>
      </c>
      <c r="R194" t="s">
        <v>19</v>
      </c>
      <c r="S194" t="s">
        <v>19</v>
      </c>
      <c r="T194" t="s">
        <v>19</v>
      </c>
    </row>
    <row r="195" spans="1:21" x14ac:dyDescent="0.25">
      <c r="A195" s="2">
        <v>45323.516550925924</v>
      </c>
      <c r="B195" t="s">
        <v>309</v>
      </c>
      <c r="C195" t="s">
        <v>322</v>
      </c>
      <c r="D195">
        <v>3</v>
      </c>
      <c r="E195" t="s">
        <v>35</v>
      </c>
      <c r="F195" t="s">
        <v>388</v>
      </c>
      <c r="G195">
        <f>(O195/(N195+O195+P195))*100</f>
        <v>1.5517241379310345</v>
      </c>
      <c r="H195">
        <f>(P195/(O195+P195+N195))*100</f>
        <v>0</v>
      </c>
      <c r="I195">
        <f>((O195+P195)/(P195+O195+N195))*100</f>
        <v>1.5517241379310345</v>
      </c>
      <c r="J195">
        <f>(N195/(P195+O195+N195))*100</f>
        <v>98.448275862068968</v>
      </c>
      <c r="K195">
        <v>0.8</v>
      </c>
      <c r="L195">
        <v>0.3</v>
      </c>
      <c r="M195">
        <v>0.7</v>
      </c>
      <c r="N195">
        <v>571</v>
      </c>
      <c r="O195">
        <v>9</v>
      </c>
      <c r="P195">
        <v>0</v>
      </c>
      <c r="Q195">
        <v>1.55</v>
      </c>
      <c r="R195" t="s">
        <v>258</v>
      </c>
      <c r="S195">
        <v>2.61</v>
      </c>
      <c r="T195">
        <v>4.3600000000000003</v>
      </c>
      <c r="U195">
        <v>34</v>
      </c>
    </row>
    <row r="196" spans="1:21" x14ac:dyDescent="0.25">
      <c r="A196" s="2">
        <v>45323.516041666669</v>
      </c>
      <c r="B196" t="s">
        <v>309</v>
      </c>
      <c r="C196" t="s">
        <v>322</v>
      </c>
      <c r="D196">
        <v>3</v>
      </c>
      <c r="E196" t="s">
        <v>35</v>
      </c>
      <c r="F196" t="s">
        <v>388</v>
      </c>
      <c r="G196" t="e">
        <f>(O196/(N196+O196+P196))*100</f>
        <v>#VALUE!</v>
      </c>
      <c r="H196" t="e">
        <f>(P196/(O196+P196+N196))*100</f>
        <v>#VALUE!</v>
      </c>
      <c r="I196">
        <v>2.73</v>
      </c>
      <c r="J196" t="e">
        <f>(N196/(P196+O196+N196))*100</f>
        <v>#VALUE!</v>
      </c>
      <c r="K196">
        <v>0.7</v>
      </c>
      <c r="L196">
        <v>0.3</v>
      </c>
      <c r="M196">
        <v>0.7</v>
      </c>
      <c r="N196">
        <v>571</v>
      </c>
      <c r="O196" t="s">
        <v>266</v>
      </c>
      <c r="P196" t="s">
        <v>266</v>
      </c>
      <c r="Q196">
        <v>2.73</v>
      </c>
      <c r="R196" t="s">
        <v>285</v>
      </c>
      <c r="S196">
        <v>2.61</v>
      </c>
      <c r="T196">
        <v>4.3600000000000003</v>
      </c>
      <c r="U196">
        <v>27</v>
      </c>
    </row>
    <row r="197" spans="1:21" x14ac:dyDescent="0.25">
      <c r="A197" s="2">
        <v>45324.944247685184</v>
      </c>
      <c r="B197" t="s">
        <v>309</v>
      </c>
      <c r="C197" t="s">
        <v>368</v>
      </c>
      <c r="D197">
        <v>2</v>
      </c>
      <c r="E197" t="s">
        <v>35</v>
      </c>
      <c r="F197" t="s">
        <v>388</v>
      </c>
      <c r="G197">
        <f>(O197/(N197+O197+P197))*100</f>
        <v>2.4667931688804554</v>
      </c>
      <c r="H197">
        <f>(P197/(O197+P197+N197))*100</f>
        <v>0</v>
      </c>
      <c r="I197">
        <v>2.4700000000000002</v>
      </c>
      <c r="J197">
        <f>(N197/(P197+O197+N197))*100</f>
        <v>97.533206831119543</v>
      </c>
      <c r="K197">
        <v>0.8</v>
      </c>
      <c r="L197">
        <v>0.3</v>
      </c>
      <c r="M197">
        <v>0.7</v>
      </c>
      <c r="N197">
        <v>514</v>
      </c>
      <c r="O197">
        <v>13</v>
      </c>
      <c r="P197">
        <v>0</v>
      </c>
      <c r="Q197">
        <v>2.4700000000000002</v>
      </c>
      <c r="R197" t="s">
        <v>285</v>
      </c>
      <c r="S197">
        <v>0.13</v>
      </c>
      <c r="T197">
        <v>0.14000000000000001</v>
      </c>
    </row>
    <row r="198" spans="1:21" x14ac:dyDescent="0.25">
      <c r="A198" t="s">
        <v>19</v>
      </c>
      <c r="B198" t="s">
        <v>20</v>
      </c>
      <c r="C198" t="s">
        <v>306</v>
      </c>
      <c r="D198">
        <v>3</v>
      </c>
      <c r="E198" t="s">
        <v>36</v>
      </c>
      <c r="F198" t="s">
        <v>373</v>
      </c>
      <c r="G198" t="s">
        <v>321</v>
      </c>
      <c r="H198" t="s">
        <v>321</v>
      </c>
      <c r="I198">
        <v>20</v>
      </c>
      <c r="J198">
        <v>80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>
        <f>I198</f>
        <v>20</v>
      </c>
      <c r="R198" t="s">
        <v>19</v>
      </c>
      <c r="S198" t="s">
        <v>19</v>
      </c>
      <c r="T198" t="s">
        <v>19</v>
      </c>
    </row>
    <row r="199" spans="1:21" x14ac:dyDescent="0.25">
      <c r="A199" t="s">
        <v>19</v>
      </c>
      <c r="B199" t="s">
        <v>20</v>
      </c>
      <c r="C199" t="s">
        <v>308</v>
      </c>
      <c r="D199">
        <v>3</v>
      </c>
      <c r="E199" t="s">
        <v>36</v>
      </c>
      <c r="F199" t="s">
        <v>373</v>
      </c>
      <c r="G199">
        <v>18</v>
      </c>
      <c r="H199">
        <v>0</v>
      </c>
      <c r="I199">
        <f>G199+H199</f>
        <v>18</v>
      </c>
      <c r="J199">
        <f>100-G199-H199</f>
        <v>82</v>
      </c>
      <c r="K199" t="s">
        <v>19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  <c r="Q199">
        <f>I199</f>
        <v>18</v>
      </c>
      <c r="R199" t="s">
        <v>19</v>
      </c>
      <c r="S199" t="s">
        <v>19</v>
      </c>
      <c r="T199" t="s">
        <v>19</v>
      </c>
    </row>
    <row r="200" spans="1:21" x14ac:dyDescent="0.25">
      <c r="A200" t="s">
        <v>19</v>
      </c>
      <c r="B200" t="s">
        <v>20</v>
      </c>
      <c r="C200" t="s">
        <v>22</v>
      </c>
      <c r="D200">
        <v>3</v>
      </c>
      <c r="E200" t="s">
        <v>36</v>
      </c>
      <c r="F200" t="s">
        <v>373</v>
      </c>
      <c r="G200">
        <v>23</v>
      </c>
      <c r="H200">
        <v>0</v>
      </c>
      <c r="I200">
        <f>G200+H200</f>
        <v>23</v>
      </c>
      <c r="J200">
        <f>100-G200-H200</f>
        <v>77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>
        <f>I200</f>
        <v>23</v>
      </c>
      <c r="R200" t="s">
        <v>19</v>
      </c>
      <c r="S200" t="s">
        <v>19</v>
      </c>
      <c r="T200" t="s">
        <v>19</v>
      </c>
    </row>
    <row r="201" spans="1:21" x14ac:dyDescent="0.25">
      <c r="A201" t="s">
        <v>19</v>
      </c>
      <c r="B201" t="s">
        <v>20</v>
      </c>
      <c r="C201" t="s">
        <v>305</v>
      </c>
      <c r="D201">
        <v>3</v>
      </c>
      <c r="E201" t="s">
        <v>36</v>
      </c>
      <c r="F201" t="s">
        <v>373</v>
      </c>
      <c r="G201">
        <v>15</v>
      </c>
      <c r="H201">
        <v>0</v>
      </c>
      <c r="I201">
        <f>G201+H201</f>
        <v>15</v>
      </c>
      <c r="J201">
        <f>100-G201-H201</f>
        <v>85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>
        <f>I201</f>
        <v>15</v>
      </c>
      <c r="R201" t="s">
        <v>19</v>
      </c>
      <c r="S201" t="s">
        <v>19</v>
      </c>
      <c r="T201" t="s">
        <v>19</v>
      </c>
    </row>
    <row r="202" spans="1:21" x14ac:dyDescent="0.25">
      <c r="A202" t="s">
        <v>19</v>
      </c>
      <c r="B202" t="s">
        <v>20</v>
      </c>
      <c r="C202" t="s">
        <v>307</v>
      </c>
      <c r="D202">
        <v>3</v>
      </c>
      <c r="E202" t="s">
        <v>36</v>
      </c>
      <c r="F202" t="s">
        <v>373</v>
      </c>
      <c r="G202">
        <v>5</v>
      </c>
      <c r="H202">
        <v>0</v>
      </c>
      <c r="I202">
        <f>G202+H202</f>
        <v>5</v>
      </c>
      <c r="J202">
        <f>100-G202-H202</f>
        <v>95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  <c r="P202" t="s">
        <v>19</v>
      </c>
      <c r="Q202">
        <f>I202</f>
        <v>5</v>
      </c>
      <c r="R202" t="s">
        <v>19</v>
      </c>
      <c r="S202" t="s">
        <v>19</v>
      </c>
      <c r="T202" t="s">
        <v>19</v>
      </c>
    </row>
    <row r="203" spans="1:21" x14ac:dyDescent="0.25">
      <c r="A203" s="2">
        <v>45253.678472222222</v>
      </c>
      <c r="B203" t="s">
        <v>309</v>
      </c>
      <c r="C203" t="s">
        <v>213</v>
      </c>
      <c r="D203">
        <v>3</v>
      </c>
      <c r="E203" t="s">
        <v>36</v>
      </c>
      <c r="F203" t="s">
        <v>373</v>
      </c>
      <c r="G203">
        <v>11.67192429</v>
      </c>
      <c r="H203">
        <v>0.31545741300000002</v>
      </c>
      <c r="I203">
        <v>11.9873817</v>
      </c>
      <c r="J203">
        <v>88.0126183</v>
      </c>
      <c r="K203">
        <v>0.8</v>
      </c>
      <c r="L203">
        <v>0.2</v>
      </c>
      <c r="M203">
        <v>0.7</v>
      </c>
      <c r="N203">
        <v>558</v>
      </c>
      <c r="O203">
        <v>74</v>
      </c>
      <c r="P203">
        <v>2</v>
      </c>
      <c r="Q203">
        <v>11.99</v>
      </c>
      <c r="R203" t="s">
        <v>245</v>
      </c>
      <c r="S203">
        <v>2.83</v>
      </c>
      <c r="T203">
        <v>3.1</v>
      </c>
    </row>
    <row r="204" spans="1:21" x14ac:dyDescent="0.25">
      <c r="A204" s="2">
        <v>45253.907638888886</v>
      </c>
      <c r="B204" t="s">
        <v>309</v>
      </c>
      <c r="C204" t="s">
        <v>215</v>
      </c>
      <c r="D204">
        <v>2</v>
      </c>
      <c r="E204" t="s">
        <v>36</v>
      </c>
      <c r="F204" t="s">
        <v>373</v>
      </c>
      <c r="G204">
        <v>2.7941176470000002</v>
      </c>
      <c r="H204">
        <v>0</v>
      </c>
      <c r="I204">
        <v>2.7941176470000002</v>
      </c>
      <c r="J204">
        <v>97.205882349999996</v>
      </c>
      <c r="K204">
        <v>0.8</v>
      </c>
      <c r="L204">
        <v>0.2</v>
      </c>
      <c r="M204">
        <v>0.7</v>
      </c>
      <c r="N204">
        <v>661</v>
      </c>
      <c r="O204">
        <v>19</v>
      </c>
      <c r="P204">
        <v>0</v>
      </c>
      <c r="Q204">
        <v>2.79</v>
      </c>
      <c r="R204" t="s">
        <v>216</v>
      </c>
      <c r="S204">
        <v>0.12</v>
      </c>
      <c r="T204">
        <v>0.13</v>
      </c>
    </row>
    <row r="205" spans="1:21" x14ac:dyDescent="0.25">
      <c r="A205" s="2">
        <v>45254.079861111109</v>
      </c>
      <c r="B205" t="s">
        <v>309</v>
      </c>
      <c r="C205" t="s">
        <v>217</v>
      </c>
      <c r="D205">
        <v>2</v>
      </c>
      <c r="E205" t="s">
        <v>36</v>
      </c>
      <c r="F205" t="s">
        <v>373</v>
      </c>
      <c r="G205">
        <v>8.7481146299999999</v>
      </c>
      <c r="H205">
        <v>0</v>
      </c>
      <c r="I205">
        <v>8.7481146299999999</v>
      </c>
      <c r="J205">
        <v>91.251885369999997</v>
      </c>
      <c r="K205">
        <v>0.8</v>
      </c>
      <c r="L205">
        <v>0.2</v>
      </c>
      <c r="M205">
        <v>0.7</v>
      </c>
      <c r="N205">
        <v>605</v>
      </c>
      <c r="O205">
        <v>58</v>
      </c>
      <c r="P205">
        <v>0</v>
      </c>
      <c r="Q205">
        <v>8.75</v>
      </c>
      <c r="R205" t="s">
        <v>225</v>
      </c>
      <c r="S205">
        <v>0.24</v>
      </c>
      <c r="T205">
        <v>0.25</v>
      </c>
    </row>
    <row r="206" spans="1:21" x14ac:dyDescent="0.25">
      <c r="A206" s="2">
        <v>45316.416666666664</v>
      </c>
      <c r="B206" t="s">
        <v>309</v>
      </c>
      <c r="C206" t="s">
        <v>219</v>
      </c>
      <c r="D206">
        <v>3</v>
      </c>
      <c r="E206" t="s">
        <v>36</v>
      </c>
      <c r="F206" t="s">
        <v>373</v>
      </c>
      <c r="G206">
        <v>7.5320512820000003</v>
      </c>
      <c r="H206">
        <v>0.48076923100000002</v>
      </c>
      <c r="I206">
        <v>8.0128205129999994</v>
      </c>
      <c r="J206">
        <v>91.987179490000003</v>
      </c>
      <c r="K206">
        <v>0.8</v>
      </c>
      <c r="L206">
        <v>0.2</v>
      </c>
      <c r="M206">
        <v>0.7</v>
      </c>
      <c r="N206">
        <v>574</v>
      </c>
      <c r="O206">
        <v>47</v>
      </c>
      <c r="P206">
        <v>3</v>
      </c>
      <c r="Q206">
        <v>8.01</v>
      </c>
      <c r="R206" t="s">
        <v>235</v>
      </c>
      <c r="S206">
        <v>3.1</v>
      </c>
      <c r="T206">
        <v>4.2300000000000004</v>
      </c>
    </row>
    <row r="207" spans="1:21" x14ac:dyDescent="0.25">
      <c r="A207" s="2">
        <v>45320.936805555553</v>
      </c>
      <c r="B207" t="s">
        <v>309</v>
      </c>
      <c r="C207" t="s">
        <v>221</v>
      </c>
      <c r="D207">
        <v>2</v>
      </c>
      <c r="E207" t="s">
        <v>36</v>
      </c>
      <c r="F207" t="s">
        <v>373</v>
      </c>
      <c r="G207">
        <v>16.33281972</v>
      </c>
      <c r="H207">
        <v>0</v>
      </c>
      <c r="I207">
        <v>16.33281972</v>
      </c>
      <c r="J207">
        <v>83.667180279999997</v>
      </c>
      <c r="K207">
        <v>0.8</v>
      </c>
      <c r="L207">
        <v>0.3</v>
      </c>
      <c r="M207">
        <v>0.7</v>
      </c>
      <c r="N207">
        <v>543</v>
      </c>
      <c r="O207">
        <v>106</v>
      </c>
      <c r="P207">
        <v>0</v>
      </c>
      <c r="Q207">
        <v>16.329999999999998</v>
      </c>
      <c r="R207" t="s">
        <v>222</v>
      </c>
      <c r="S207">
        <v>0.55000000000000004</v>
      </c>
      <c r="T207">
        <v>0.57999999999999996</v>
      </c>
    </row>
    <row r="208" spans="1:21" x14ac:dyDescent="0.25">
      <c r="A208" t="s">
        <v>19</v>
      </c>
      <c r="B208" t="s">
        <v>20</v>
      </c>
      <c r="C208" t="s">
        <v>320</v>
      </c>
      <c r="D208">
        <v>3</v>
      </c>
      <c r="E208" t="s">
        <v>36</v>
      </c>
      <c r="F208" t="s">
        <v>373</v>
      </c>
      <c r="G208">
        <v>0</v>
      </c>
      <c r="H208">
        <v>0</v>
      </c>
      <c r="I208">
        <f>100-J208</f>
        <v>0</v>
      </c>
      <c r="J208">
        <f>100-G208-H208</f>
        <v>100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  <c r="Q208">
        <f>I208</f>
        <v>0</v>
      </c>
      <c r="R208" t="s">
        <v>19</v>
      </c>
      <c r="S208" t="s">
        <v>19</v>
      </c>
      <c r="T208" t="s">
        <v>19</v>
      </c>
    </row>
    <row r="209" spans="1:21" x14ac:dyDescent="0.25">
      <c r="A209" s="2">
        <v>45323.51766203704</v>
      </c>
      <c r="B209" t="s">
        <v>309</v>
      </c>
      <c r="C209" t="s">
        <v>322</v>
      </c>
      <c r="D209">
        <v>3</v>
      </c>
      <c r="E209" t="s">
        <v>36</v>
      </c>
      <c r="F209" t="s">
        <v>373</v>
      </c>
      <c r="G209">
        <f>(O209/(N209+O209+P209))*100</f>
        <v>13.464447806354011</v>
      </c>
      <c r="H209">
        <f>(P209/(O209+P209+N209))*100</f>
        <v>0.15128593040847202</v>
      </c>
      <c r="I209">
        <f>((O209+P209)/(P209+O209+N209))*100</f>
        <v>13.615733736762481</v>
      </c>
      <c r="J209">
        <f>(N209/(P209+O209+N209))*100</f>
        <v>86.384266263237521</v>
      </c>
      <c r="K209">
        <v>0.8</v>
      </c>
      <c r="L209">
        <v>0.3</v>
      </c>
      <c r="M209">
        <v>0.7</v>
      </c>
      <c r="N209">
        <v>571</v>
      </c>
      <c r="O209">
        <v>89</v>
      </c>
      <c r="P209">
        <v>1</v>
      </c>
      <c r="Q209">
        <v>13.62</v>
      </c>
      <c r="R209" t="s">
        <v>253</v>
      </c>
      <c r="S209">
        <v>2.63</v>
      </c>
      <c r="T209">
        <v>2.91</v>
      </c>
      <c r="U209">
        <v>71</v>
      </c>
    </row>
    <row r="210" spans="1:21" x14ac:dyDescent="0.25">
      <c r="A210" s="2">
        <v>45323.518495370372</v>
      </c>
      <c r="B210" t="s">
        <v>309</v>
      </c>
      <c r="C210" t="s">
        <v>322</v>
      </c>
      <c r="D210">
        <v>3</v>
      </c>
      <c r="E210" t="s">
        <v>36</v>
      </c>
      <c r="F210" t="s">
        <v>373</v>
      </c>
      <c r="G210">
        <f>(O210/(N210+O210+P210))*100</f>
        <v>15.634218289085547</v>
      </c>
      <c r="H210">
        <f>(P210/(O210+P210+N210))*100</f>
        <v>0.14749262536873156</v>
      </c>
      <c r="I210">
        <f>((O210+P210)/(P210+O210+N210))*100</f>
        <v>15.781710914454278</v>
      </c>
      <c r="J210">
        <f>(N210/(P210+O210+N210))*100</f>
        <v>84.218289085545734</v>
      </c>
      <c r="K210">
        <v>0.7</v>
      </c>
      <c r="L210">
        <v>0.3</v>
      </c>
      <c r="M210">
        <v>0.7</v>
      </c>
      <c r="N210">
        <v>571</v>
      </c>
      <c r="O210">
        <v>106</v>
      </c>
      <c r="P210">
        <v>1</v>
      </c>
      <c r="Q210">
        <v>15.78</v>
      </c>
      <c r="R210" t="s">
        <v>341</v>
      </c>
      <c r="S210">
        <v>2.63</v>
      </c>
      <c r="T210">
        <v>2.91</v>
      </c>
      <c r="U210">
        <v>54</v>
      </c>
    </row>
    <row r="211" spans="1:21" x14ac:dyDescent="0.25">
      <c r="A211" s="2">
        <v>45325.098564814813</v>
      </c>
      <c r="B211" t="s">
        <v>309</v>
      </c>
      <c r="C211" t="s">
        <v>368</v>
      </c>
      <c r="D211">
        <v>2</v>
      </c>
      <c r="E211" t="s">
        <v>36</v>
      </c>
      <c r="F211" t="s">
        <v>373</v>
      </c>
      <c r="G211">
        <f>(O211/(N211+O211+P211))*100</f>
        <v>14.630467571644044</v>
      </c>
      <c r="H211">
        <f>(P211/(O211+P211+N211))*100</f>
        <v>0</v>
      </c>
      <c r="I211">
        <v>14.63</v>
      </c>
      <c r="J211">
        <f>(N211/(P211+O211+N211))*100</f>
        <v>85.369532428355953</v>
      </c>
      <c r="K211">
        <v>0.8</v>
      </c>
      <c r="L211">
        <v>0.3</v>
      </c>
      <c r="M211">
        <v>0.7</v>
      </c>
      <c r="N211">
        <v>566</v>
      </c>
      <c r="O211">
        <v>97</v>
      </c>
      <c r="P211">
        <v>0</v>
      </c>
      <c r="Q211">
        <v>14.63</v>
      </c>
      <c r="R211" t="s">
        <v>285</v>
      </c>
      <c r="S211">
        <v>0.47</v>
      </c>
      <c r="T211">
        <v>0.49</v>
      </c>
    </row>
    <row r="212" spans="1:21" x14ac:dyDescent="0.25">
      <c r="A212" t="s">
        <v>19</v>
      </c>
      <c r="B212" t="s">
        <v>20</v>
      </c>
      <c r="C212" t="s">
        <v>306</v>
      </c>
      <c r="D212">
        <v>3</v>
      </c>
      <c r="E212" t="s">
        <v>37</v>
      </c>
      <c r="F212" t="s">
        <v>373</v>
      </c>
      <c r="G212">
        <v>55</v>
      </c>
      <c r="H212">
        <v>0</v>
      </c>
      <c r="I212">
        <f>G212+H212</f>
        <v>55</v>
      </c>
      <c r="J212">
        <f>100-G212-H212</f>
        <v>45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>
        <f>I212</f>
        <v>55</v>
      </c>
      <c r="R212" t="s">
        <v>19</v>
      </c>
      <c r="S212" t="s">
        <v>19</v>
      </c>
      <c r="T212" t="s">
        <v>19</v>
      </c>
    </row>
    <row r="213" spans="1:21" x14ac:dyDescent="0.25">
      <c r="A213" t="s">
        <v>19</v>
      </c>
      <c r="B213" t="s">
        <v>20</v>
      </c>
      <c r="C213" t="s">
        <v>308</v>
      </c>
      <c r="D213">
        <v>3</v>
      </c>
      <c r="E213" t="s">
        <v>37</v>
      </c>
      <c r="F213" t="s">
        <v>373</v>
      </c>
      <c r="G213">
        <v>28</v>
      </c>
      <c r="H213">
        <v>2</v>
      </c>
      <c r="I213">
        <f>G213+H213</f>
        <v>30</v>
      </c>
      <c r="J213">
        <f>100-G213-H213</f>
        <v>70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>
        <f>I213</f>
        <v>30</v>
      </c>
      <c r="R213" t="s">
        <v>19</v>
      </c>
      <c r="S213" t="s">
        <v>19</v>
      </c>
      <c r="T213" t="s">
        <v>19</v>
      </c>
    </row>
    <row r="214" spans="1:21" x14ac:dyDescent="0.25">
      <c r="A214" t="s">
        <v>19</v>
      </c>
      <c r="B214" t="s">
        <v>20</v>
      </c>
      <c r="C214" t="s">
        <v>22</v>
      </c>
      <c r="D214">
        <v>3</v>
      </c>
      <c r="E214" t="s">
        <v>37</v>
      </c>
      <c r="F214" t="s">
        <v>373</v>
      </c>
      <c r="G214">
        <v>40</v>
      </c>
      <c r="H214">
        <v>0</v>
      </c>
      <c r="I214">
        <f>G214+H214</f>
        <v>40</v>
      </c>
      <c r="J214">
        <f>100-G214-H214</f>
        <v>60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>
        <f>I214</f>
        <v>40</v>
      </c>
      <c r="R214" t="s">
        <v>19</v>
      </c>
      <c r="S214" t="s">
        <v>19</v>
      </c>
      <c r="T214" t="s">
        <v>19</v>
      </c>
    </row>
    <row r="215" spans="1:21" x14ac:dyDescent="0.25">
      <c r="A215" t="s">
        <v>19</v>
      </c>
      <c r="B215" t="s">
        <v>20</v>
      </c>
      <c r="C215" t="s">
        <v>305</v>
      </c>
      <c r="D215">
        <v>3</v>
      </c>
      <c r="E215" t="s">
        <v>37</v>
      </c>
      <c r="F215" t="s">
        <v>373</v>
      </c>
      <c r="G215">
        <v>30</v>
      </c>
      <c r="H215">
        <v>0</v>
      </c>
      <c r="I215">
        <f>G215+H215</f>
        <v>30</v>
      </c>
      <c r="J215">
        <f>100-G215-H215</f>
        <v>70</v>
      </c>
      <c r="K215" t="s">
        <v>19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>
        <f>I215</f>
        <v>30</v>
      </c>
      <c r="R215" t="s">
        <v>19</v>
      </c>
      <c r="S215" t="s">
        <v>19</v>
      </c>
      <c r="T215" t="s">
        <v>19</v>
      </c>
    </row>
    <row r="216" spans="1:21" x14ac:dyDescent="0.25">
      <c r="A216" t="s">
        <v>19</v>
      </c>
      <c r="B216" t="s">
        <v>20</v>
      </c>
      <c r="C216" t="s">
        <v>307</v>
      </c>
      <c r="D216">
        <v>3</v>
      </c>
      <c r="E216" t="s">
        <v>37</v>
      </c>
      <c r="F216" t="s">
        <v>373</v>
      </c>
      <c r="G216">
        <v>4</v>
      </c>
      <c r="H216">
        <v>1</v>
      </c>
      <c r="I216">
        <f>G216+H216</f>
        <v>5</v>
      </c>
      <c r="J216">
        <f>100-G216-H216</f>
        <v>95</v>
      </c>
      <c r="K216" t="s">
        <v>19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  <c r="Q216">
        <f>I216</f>
        <v>5</v>
      </c>
      <c r="R216" t="s">
        <v>19</v>
      </c>
      <c r="S216" t="s">
        <v>19</v>
      </c>
      <c r="T216" t="s">
        <v>19</v>
      </c>
    </row>
    <row r="217" spans="1:21" x14ac:dyDescent="0.25">
      <c r="A217" s="2">
        <v>45253.679861111108</v>
      </c>
      <c r="B217" t="s">
        <v>309</v>
      </c>
      <c r="C217" t="s">
        <v>213</v>
      </c>
      <c r="D217">
        <v>3</v>
      </c>
      <c r="E217" t="s">
        <v>37</v>
      </c>
      <c r="F217" t="s">
        <v>373</v>
      </c>
      <c r="G217">
        <v>31.084337349999998</v>
      </c>
      <c r="H217">
        <v>0</v>
      </c>
      <c r="I217">
        <v>31.084337349999998</v>
      </c>
      <c r="J217">
        <v>68.915662650000002</v>
      </c>
      <c r="K217">
        <v>0.8</v>
      </c>
      <c r="L217">
        <v>0.2</v>
      </c>
      <c r="M217">
        <v>0.7</v>
      </c>
      <c r="N217">
        <v>286</v>
      </c>
      <c r="O217">
        <v>129</v>
      </c>
      <c r="P217">
        <v>0</v>
      </c>
      <c r="Q217">
        <v>31.08</v>
      </c>
      <c r="R217" t="s">
        <v>246</v>
      </c>
      <c r="S217">
        <v>2.81</v>
      </c>
      <c r="T217">
        <v>3.01</v>
      </c>
    </row>
    <row r="218" spans="1:21" x14ac:dyDescent="0.25">
      <c r="A218" s="2">
        <v>45253.908333333333</v>
      </c>
      <c r="B218" t="s">
        <v>309</v>
      </c>
      <c r="C218" t="s">
        <v>215</v>
      </c>
      <c r="D218">
        <v>2</v>
      </c>
      <c r="E218" t="s">
        <v>37</v>
      </c>
      <c r="F218" t="s">
        <v>373</v>
      </c>
      <c r="G218">
        <v>8.2191780820000009</v>
      </c>
      <c r="H218">
        <v>0</v>
      </c>
      <c r="I218">
        <v>8.2191780820000009</v>
      </c>
      <c r="J218">
        <v>91.780821919999994</v>
      </c>
      <c r="K218">
        <v>0.8</v>
      </c>
      <c r="L218">
        <v>0.2</v>
      </c>
      <c r="M218">
        <v>0.7</v>
      </c>
      <c r="N218">
        <v>469</v>
      </c>
      <c r="O218">
        <v>42</v>
      </c>
      <c r="P218">
        <v>0</v>
      </c>
      <c r="Q218">
        <v>8.2200000000000006</v>
      </c>
      <c r="R218" t="s">
        <v>243</v>
      </c>
      <c r="S218">
        <v>0.25</v>
      </c>
      <c r="T218">
        <v>0.27</v>
      </c>
    </row>
    <row r="219" spans="1:21" x14ac:dyDescent="0.25">
      <c r="A219" s="2">
        <v>45254.081250000003</v>
      </c>
      <c r="B219" t="s">
        <v>309</v>
      </c>
      <c r="C219" t="s">
        <v>217</v>
      </c>
      <c r="D219">
        <v>2</v>
      </c>
      <c r="E219" t="s">
        <v>37</v>
      </c>
      <c r="F219" t="s">
        <v>373</v>
      </c>
      <c r="G219">
        <v>13.67041199</v>
      </c>
      <c r="H219">
        <v>0</v>
      </c>
      <c r="I219">
        <v>13.67041199</v>
      </c>
      <c r="J219">
        <v>86.329588009999995</v>
      </c>
      <c r="K219">
        <v>0.8</v>
      </c>
      <c r="L219">
        <v>0.2</v>
      </c>
      <c r="M219">
        <v>0.7</v>
      </c>
      <c r="N219">
        <v>461</v>
      </c>
      <c r="O219">
        <v>73</v>
      </c>
      <c r="P219">
        <v>0</v>
      </c>
      <c r="Q219">
        <v>13.67</v>
      </c>
      <c r="R219" t="s">
        <v>226</v>
      </c>
      <c r="S219">
        <v>0.37</v>
      </c>
      <c r="T219">
        <v>0.38</v>
      </c>
    </row>
    <row r="220" spans="1:21" x14ac:dyDescent="0.25">
      <c r="A220" s="2">
        <v>45316.418055555558</v>
      </c>
      <c r="B220" t="s">
        <v>309</v>
      </c>
      <c r="C220" t="s">
        <v>219</v>
      </c>
      <c r="D220">
        <v>3</v>
      </c>
      <c r="E220" t="s">
        <v>37</v>
      </c>
      <c r="F220" t="s">
        <v>373</v>
      </c>
      <c r="G220">
        <v>17.811158800000001</v>
      </c>
      <c r="H220">
        <v>1.502145923</v>
      </c>
      <c r="I220">
        <v>19.313304720000001</v>
      </c>
      <c r="J220">
        <v>80.686695279999995</v>
      </c>
      <c r="K220">
        <v>0.8</v>
      </c>
      <c r="L220">
        <v>0.2</v>
      </c>
      <c r="M220">
        <v>0.7</v>
      </c>
      <c r="N220">
        <v>376</v>
      </c>
      <c r="O220">
        <v>83</v>
      </c>
      <c r="P220">
        <v>7</v>
      </c>
      <c r="Q220">
        <v>19.309999999999999</v>
      </c>
      <c r="R220" t="s">
        <v>247</v>
      </c>
      <c r="S220">
        <v>3.09</v>
      </c>
      <c r="T220">
        <v>4.18</v>
      </c>
    </row>
    <row r="221" spans="1:21" x14ac:dyDescent="0.25">
      <c r="A221" s="2">
        <v>45320.9375</v>
      </c>
      <c r="B221" t="s">
        <v>309</v>
      </c>
      <c r="C221" t="s">
        <v>221</v>
      </c>
      <c r="D221">
        <v>2</v>
      </c>
      <c r="E221" t="s">
        <v>37</v>
      </c>
      <c r="F221" t="s">
        <v>373</v>
      </c>
      <c r="G221">
        <v>30.980392160000001</v>
      </c>
      <c r="H221">
        <v>0</v>
      </c>
      <c r="I221">
        <v>30.980392160000001</v>
      </c>
      <c r="J221">
        <v>69.019607840000006</v>
      </c>
      <c r="K221">
        <v>0.8</v>
      </c>
      <c r="L221">
        <v>0.3</v>
      </c>
      <c r="M221">
        <v>0.7</v>
      </c>
      <c r="N221">
        <v>352</v>
      </c>
      <c r="O221">
        <v>158</v>
      </c>
      <c r="P221">
        <v>0</v>
      </c>
      <c r="Q221">
        <v>30.98</v>
      </c>
      <c r="R221" t="s">
        <v>222</v>
      </c>
      <c r="S221">
        <v>0.83</v>
      </c>
      <c r="T221">
        <v>0.86</v>
      </c>
    </row>
    <row r="222" spans="1:21" x14ac:dyDescent="0.25">
      <c r="A222" t="s">
        <v>19</v>
      </c>
      <c r="B222" t="s">
        <v>20</v>
      </c>
      <c r="C222" t="s">
        <v>320</v>
      </c>
      <c r="D222">
        <v>3</v>
      </c>
      <c r="E222" t="s">
        <v>37</v>
      </c>
      <c r="F222" t="s">
        <v>373</v>
      </c>
      <c r="G222">
        <v>20</v>
      </c>
      <c r="H222">
        <v>0</v>
      </c>
      <c r="I222">
        <f>100-J222</f>
        <v>20</v>
      </c>
      <c r="J222">
        <f>100-G222-H222</f>
        <v>80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>
        <f>I222</f>
        <v>20</v>
      </c>
      <c r="R222" t="s">
        <v>19</v>
      </c>
      <c r="S222" t="s">
        <v>19</v>
      </c>
      <c r="T222" t="s">
        <v>19</v>
      </c>
    </row>
    <row r="223" spans="1:21" x14ac:dyDescent="0.25">
      <c r="A223" s="2">
        <v>45323.519201388888</v>
      </c>
      <c r="B223" t="s">
        <v>309</v>
      </c>
      <c r="C223" t="s">
        <v>322</v>
      </c>
      <c r="D223">
        <v>3</v>
      </c>
      <c r="E223" t="s">
        <v>37</v>
      </c>
      <c r="F223" t="s">
        <v>373</v>
      </c>
      <c r="G223">
        <f>(O223/(N223+O223+P223))*100</f>
        <v>24.899598393574294</v>
      </c>
      <c r="H223">
        <f>(P223/(O223+P223+N223))*100</f>
        <v>0</v>
      </c>
      <c r="I223">
        <f>((O223+P223)/(P223+O223+N223))*100</f>
        <v>24.899598393574294</v>
      </c>
      <c r="J223">
        <f>(N223/(P223+O223+N223))*100</f>
        <v>75.100401606425706</v>
      </c>
      <c r="K223">
        <v>0.8</v>
      </c>
      <c r="L223">
        <v>0.3</v>
      </c>
      <c r="M223">
        <v>0.7</v>
      </c>
      <c r="N223">
        <v>374</v>
      </c>
      <c r="O223">
        <v>124</v>
      </c>
      <c r="P223">
        <v>0</v>
      </c>
      <c r="Q223">
        <v>24.9</v>
      </c>
      <c r="R223" t="s">
        <v>256</v>
      </c>
      <c r="S223">
        <v>2.7</v>
      </c>
      <c r="T223">
        <v>2.88</v>
      </c>
      <c r="U223">
        <v>77</v>
      </c>
    </row>
    <row r="224" spans="1:21" x14ac:dyDescent="0.25">
      <c r="A224" s="2">
        <v>45323.520162037035</v>
      </c>
      <c r="B224" t="s">
        <v>309</v>
      </c>
      <c r="C224" t="s">
        <v>322</v>
      </c>
      <c r="D224">
        <v>3</v>
      </c>
      <c r="E224" t="s">
        <v>37</v>
      </c>
      <c r="F224" t="s">
        <v>373</v>
      </c>
      <c r="G224">
        <f>(O224/(N224+O224+P224))*100</f>
        <v>27.519379844961239</v>
      </c>
      <c r="H224">
        <f>(P224/(O224+P224+N224))*100</f>
        <v>0</v>
      </c>
      <c r="I224">
        <f>((O224+P224)/(P224+O224+N224))*100</f>
        <v>27.519379844961239</v>
      </c>
      <c r="J224">
        <f>(N224/(P224+O224+N224))*100</f>
        <v>72.48062015503875</v>
      </c>
      <c r="K224">
        <v>0.7</v>
      </c>
      <c r="L224">
        <v>0.3</v>
      </c>
      <c r="M224">
        <v>0.7</v>
      </c>
      <c r="N224">
        <v>374</v>
      </c>
      <c r="O224">
        <v>142</v>
      </c>
      <c r="P224">
        <v>0</v>
      </c>
      <c r="Q224">
        <v>27.52</v>
      </c>
      <c r="R224" t="s">
        <v>260</v>
      </c>
      <c r="S224">
        <v>2.7</v>
      </c>
      <c r="T224">
        <v>2.88</v>
      </c>
      <c r="U224">
        <v>59</v>
      </c>
    </row>
    <row r="225" spans="1:21" x14ac:dyDescent="0.25">
      <c r="A225" s="2">
        <v>45325.099930555552</v>
      </c>
      <c r="B225" t="s">
        <v>309</v>
      </c>
      <c r="C225" t="s">
        <v>368</v>
      </c>
      <c r="D225">
        <v>2</v>
      </c>
      <c r="E225" t="s">
        <v>37</v>
      </c>
      <c r="F225" t="s">
        <v>373</v>
      </c>
      <c r="G225">
        <f>(O225/(N225+O225+P225))*100</f>
        <v>21.673003802281368</v>
      </c>
      <c r="H225">
        <f>(P225/(O225+P225+N225))*100</f>
        <v>0</v>
      </c>
      <c r="I225">
        <v>21.67</v>
      </c>
      <c r="J225">
        <f>(N225/(P225+O225+N225))*100</f>
        <v>78.326996197718628</v>
      </c>
      <c r="K225">
        <v>0.8</v>
      </c>
      <c r="L225">
        <v>0.3</v>
      </c>
      <c r="M225">
        <v>0.7</v>
      </c>
      <c r="N225">
        <v>412</v>
      </c>
      <c r="O225">
        <v>114</v>
      </c>
      <c r="P225">
        <v>0</v>
      </c>
      <c r="Q225">
        <v>21.67</v>
      </c>
      <c r="R225" t="s">
        <v>253</v>
      </c>
      <c r="S225">
        <v>0.61</v>
      </c>
      <c r="T225">
        <v>0.63</v>
      </c>
    </row>
    <row r="226" spans="1:21" x14ac:dyDescent="0.25">
      <c r="A226" t="s">
        <v>19</v>
      </c>
      <c r="B226" t="s">
        <v>20</v>
      </c>
      <c r="C226" t="s">
        <v>308</v>
      </c>
      <c r="D226">
        <v>3</v>
      </c>
      <c r="E226" t="s">
        <v>38</v>
      </c>
      <c r="F226" t="s">
        <v>388</v>
      </c>
      <c r="G226">
        <v>0</v>
      </c>
      <c r="H226">
        <v>0</v>
      </c>
      <c r="I226">
        <f>G226+H226</f>
        <v>0</v>
      </c>
      <c r="J226">
        <f>100-G226-H226</f>
        <v>100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>
        <f>I226</f>
        <v>0</v>
      </c>
      <c r="R226" t="s">
        <v>19</v>
      </c>
      <c r="S226" t="s">
        <v>19</v>
      </c>
      <c r="T226" t="s">
        <v>19</v>
      </c>
    </row>
    <row r="227" spans="1:21" x14ac:dyDescent="0.25">
      <c r="A227" t="s">
        <v>19</v>
      </c>
      <c r="B227" t="s">
        <v>20</v>
      </c>
      <c r="C227" t="s">
        <v>22</v>
      </c>
      <c r="D227">
        <v>3</v>
      </c>
      <c r="E227" t="s">
        <v>38</v>
      </c>
      <c r="F227" t="s">
        <v>388</v>
      </c>
      <c r="G227">
        <v>0</v>
      </c>
      <c r="H227">
        <v>0</v>
      </c>
      <c r="I227">
        <f>G227+H227</f>
        <v>0</v>
      </c>
      <c r="J227">
        <f>100-G227-H227</f>
        <v>100</v>
      </c>
      <c r="K227" t="s">
        <v>19</v>
      </c>
      <c r="L227" t="s">
        <v>19</v>
      </c>
      <c r="M227" t="s">
        <v>19</v>
      </c>
      <c r="N227" t="s">
        <v>19</v>
      </c>
      <c r="O227" t="s">
        <v>19</v>
      </c>
      <c r="P227" t="s">
        <v>19</v>
      </c>
      <c r="Q227">
        <f>I227</f>
        <v>0</v>
      </c>
      <c r="R227" t="s">
        <v>19</v>
      </c>
      <c r="S227" t="s">
        <v>19</v>
      </c>
      <c r="T227" t="s">
        <v>19</v>
      </c>
    </row>
    <row r="228" spans="1:21" x14ac:dyDescent="0.25">
      <c r="A228" t="s">
        <v>19</v>
      </c>
      <c r="B228" t="s">
        <v>20</v>
      </c>
      <c r="C228" t="s">
        <v>305</v>
      </c>
      <c r="D228">
        <v>3</v>
      </c>
      <c r="E228" t="s">
        <v>38</v>
      </c>
      <c r="F228" t="s">
        <v>388</v>
      </c>
      <c r="G228">
        <v>0</v>
      </c>
      <c r="H228">
        <v>0</v>
      </c>
      <c r="I228">
        <f>G228+H228</f>
        <v>0</v>
      </c>
      <c r="J228">
        <f>100-G228-H228</f>
        <v>100</v>
      </c>
      <c r="K228" t="s">
        <v>19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  <c r="Q228">
        <f>I228</f>
        <v>0</v>
      </c>
      <c r="R228" t="s">
        <v>19</v>
      </c>
      <c r="S228" t="s">
        <v>19</v>
      </c>
      <c r="T228" t="s">
        <v>19</v>
      </c>
    </row>
    <row r="229" spans="1:21" x14ac:dyDescent="0.25">
      <c r="A229" t="s">
        <v>19</v>
      </c>
      <c r="B229" t="s">
        <v>20</v>
      </c>
      <c r="C229" t="s">
        <v>307</v>
      </c>
      <c r="D229">
        <v>3</v>
      </c>
      <c r="E229" t="s">
        <v>38</v>
      </c>
      <c r="F229" t="s">
        <v>388</v>
      </c>
      <c r="G229">
        <v>0</v>
      </c>
      <c r="H229">
        <v>0</v>
      </c>
      <c r="I229">
        <f>G229+H229</f>
        <v>0</v>
      </c>
      <c r="J229">
        <f>100-G229-H229</f>
        <v>100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>
        <f>I229</f>
        <v>0</v>
      </c>
      <c r="R229" t="s">
        <v>19</v>
      </c>
      <c r="S229" t="s">
        <v>19</v>
      </c>
      <c r="T229" t="s">
        <v>19</v>
      </c>
    </row>
    <row r="230" spans="1:21" x14ac:dyDescent="0.25">
      <c r="A230" s="2">
        <v>45253.51666666667</v>
      </c>
      <c r="B230" t="s">
        <v>309</v>
      </c>
      <c r="C230" t="s">
        <v>213</v>
      </c>
      <c r="D230">
        <v>3</v>
      </c>
      <c r="E230" t="s">
        <v>38</v>
      </c>
      <c r="F230" t="s">
        <v>388</v>
      </c>
      <c r="G230">
        <v>0</v>
      </c>
      <c r="H230">
        <v>0.27972027999999999</v>
      </c>
      <c r="I230">
        <v>0.27972027999999999</v>
      </c>
      <c r="J230">
        <v>99.720279719999994</v>
      </c>
      <c r="K230">
        <v>0.8</v>
      </c>
      <c r="L230">
        <v>0.2</v>
      </c>
      <c r="M230">
        <v>0.7</v>
      </c>
      <c r="N230">
        <v>713</v>
      </c>
      <c r="O230">
        <v>0</v>
      </c>
      <c r="P230">
        <v>2</v>
      </c>
      <c r="Q230">
        <v>0.28000000000000003</v>
      </c>
      <c r="R230" t="s">
        <v>248</v>
      </c>
      <c r="S230">
        <v>2.75</v>
      </c>
      <c r="T230">
        <v>3.33</v>
      </c>
    </row>
    <row r="231" spans="1:21" x14ac:dyDescent="0.25">
      <c r="A231" s="2">
        <v>45253.820833333331</v>
      </c>
      <c r="B231" t="s">
        <v>309</v>
      </c>
      <c r="C231" t="s">
        <v>215</v>
      </c>
      <c r="D231">
        <v>2</v>
      </c>
      <c r="E231" t="s">
        <v>38</v>
      </c>
      <c r="F231" t="s">
        <v>388</v>
      </c>
      <c r="G231">
        <v>3.1383737520000001</v>
      </c>
      <c r="H231">
        <v>0</v>
      </c>
      <c r="I231">
        <v>3.1383737520000001</v>
      </c>
      <c r="J231">
        <v>96.86162625</v>
      </c>
      <c r="K231">
        <v>0.8</v>
      </c>
      <c r="L231">
        <v>0.2</v>
      </c>
      <c r="M231">
        <v>0.7</v>
      </c>
      <c r="N231">
        <v>679</v>
      </c>
      <c r="O231">
        <v>22</v>
      </c>
      <c r="P231">
        <v>0</v>
      </c>
      <c r="Q231">
        <v>3.14</v>
      </c>
      <c r="R231" t="s">
        <v>243</v>
      </c>
      <c r="S231">
        <v>0.1</v>
      </c>
      <c r="T231">
        <v>0.1</v>
      </c>
    </row>
    <row r="232" spans="1:21" x14ac:dyDescent="0.25">
      <c r="A232" s="2">
        <v>45253.986805555556</v>
      </c>
      <c r="B232" t="s">
        <v>309</v>
      </c>
      <c r="C232" t="s">
        <v>217</v>
      </c>
      <c r="D232">
        <v>2</v>
      </c>
      <c r="E232" t="s">
        <v>38</v>
      </c>
      <c r="F232" t="s">
        <v>388</v>
      </c>
      <c r="G232">
        <v>3.78214826</v>
      </c>
      <c r="H232">
        <v>0</v>
      </c>
      <c r="I232">
        <v>3.78214826</v>
      </c>
      <c r="J232">
        <v>96.21785174</v>
      </c>
      <c r="K232">
        <v>0.8</v>
      </c>
      <c r="L232">
        <v>0.2</v>
      </c>
      <c r="M232">
        <v>0.7</v>
      </c>
      <c r="N232">
        <v>636</v>
      </c>
      <c r="O232">
        <v>25</v>
      </c>
      <c r="P232">
        <v>0</v>
      </c>
      <c r="Q232">
        <v>3.78</v>
      </c>
      <c r="R232" t="s">
        <v>225</v>
      </c>
      <c r="S232">
        <v>0.14000000000000001</v>
      </c>
      <c r="T232">
        <v>0.15</v>
      </c>
    </row>
    <row r="233" spans="1:21" x14ac:dyDescent="0.25">
      <c r="A233" s="2">
        <v>45316.499305555553</v>
      </c>
      <c r="B233" t="s">
        <v>309</v>
      </c>
      <c r="C233" t="s">
        <v>219</v>
      </c>
      <c r="D233">
        <v>3</v>
      </c>
      <c r="E233" t="s">
        <v>38</v>
      </c>
      <c r="F233" t="s">
        <v>388</v>
      </c>
      <c r="G233">
        <v>0</v>
      </c>
      <c r="H233">
        <v>0.44709388999999999</v>
      </c>
      <c r="I233">
        <v>0.44709388999999999</v>
      </c>
      <c r="J233">
        <v>99.552906109999995</v>
      </c>
      <c r="K233">
        <v>0.8</v>
      </c>
      <c r="L233">
        <v>0.2</v>
      </c>
      <c r="M233">
        <v>0.7</v>
      </c>
      <c r="N233">
        <v>668</v>
      </c>
      <c r="O233">
        <v>0</v>
      </c>
      <c r="P233">
        <v>3</v>
      </c>
      <c r="Q233">
        <v>0.45</v>
      </c>
      <c r="R233" t="s">
        <v>225</v>
      </c>
      <c r="S233">
        <v>2.92</v>
      </c>
      <c r="T233">
        <v>4.28</v>
      </c>
    </row>
    <row r="234" spans="1:21" x14ac:dyDescent="0.25">
      <c r="A234" s="2">
        <v>45320.828472222223</v>
      </c>
      <c r="B234" t="s">
        <v>309</v>
      </c>
      <c r="C234" t="s">
        <v>221</v>
      </c>
      <c r="D234">
        <v>2</v>
      </c>
      <c r="E234" t="s">
        <v>38</v>
      </c>
      <c r="F234" t="s">
        <v>388</v>
      </c>
      <c r="G234">
        <v>0.29455081</v>
      </c>
      <c r="H234">
        <v>0</v>
      </c>
      <c r="I234">
        <v>0.29455081</v>
      </c>
      <c r="J234">
        <v>99.705449189999996</v>
      </c>
      <c r="K234">
        <v>0.8</v>
      </c>
      <c r="L234">
        <v>0.3</v>
      </c>
      <c r="M234">
        <v>0.7</v>
      </c>
      <c r="N234">
        <v>677</v>
      </c>
      <c r="O234">
        <v>2</v>
      </c>
      <c r="P234">
        <v>0</v>
      </c>
      <c r="Q234">
        <v>0.28999999999999998</v>
      </c>
      <c r="R234" t="s">
        <v>249</v>
      </c>
      <c r="S234">
        <v>0.03</v>
      </c>
      <c r="T234">
        <v>0.03</v>
      </c>
    </row>
    <row r="235" spans="1:21" x14ac:dyDescent="0.25">
      <c r="A235" t="s">
        <v>19</v>
      </c>
      <c r="B235" t="s">
        <v>20</v>
      </c>
      <c r="C235" t="s">
        <v>306</v>
      </c>
      <c r="D235">
        <v>3</v>
      </c>
      <c r="E235" t="s">
        <v>38</v>
      </c>
      <c r="F235" t="s">
        <v>388</v>
      </c>
      <c r="G235">
        <v>0</v>
      </c>
      <c r="H235">
        <v>0</v>
      </c>
      <c r="I235">
        <f>G235+H235</f>
        <v>0</v>
      </c>
      <c r="J235">
        <f>100-G235-H235</f>
        <v>100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>
        <f>I235</f>
        <v>0</v>
      </c>
      <c r="R235" t="s">
        <v>19</v>
      </c>
      <c r="S235" t="s">
        <v>19</v>
      </c>
      <c r="T235" t="s">
        <v>19</v>
      </c>
    </row>
    <row r="236" spans="1:21" x14ac:dyDescent="0.25">
      <c r="A236" t="s">
        <v>19</v>
      </c>
      <c r="B236" t="s">
        <v>20</v>
      </c>
      <c r="C236" t="s">
        <v>320</v>
      </c>
      <c r="D236">
        <v>3</v>
      </c>
      <c r="E236" t="s">
        <v>38</v>
      </c>
      <c r="F236" t="s">
        <v>388</v>
      </c>
      <c r="G236">
        <v>0</v>
      </c>
      <c r="H236">
        <v>0</v>
      </c>
      <c r="I236">
        <f>100-J236</f>
        <v>0</v>
      </c>
      <c r="J236">
        <f>100-G236-H236</f>
        <v>100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>
        <f>I236</f>
        <v>0</v>
      </c>
      <c r="R236" t="s">
        <v>19</v>
      </c>
      <c r="S236" t="s">
        <v>19</v>
      </c>
      <c r="T236" t="s">
        <v>19</v>
      </c>
    </row>
    <row r="237" spans="1:21" x14ac:dyDescent="0.25">
      <c r="A237" s="2">
        <v>45323.517905092594</v>
      </c>
      <c r="B237" t="s">
        <v>309</v>
      </c>
      <c r="C237" t="s">
        <v>322</v>
      </c>
      <c r="D237">
        <v>3</v>
      </c>
      <c r="E237" t="s">
        <v>38</v>
      </c>
      <c r="F237" t="s">
        <v>388</v>
      </c>
      <c r="G237">
        <f>(O237/(N237+O237+P237))*100</f>
        <v>0</v>
      </c>
      <c r="H237">
        <f>(P237/(O237+P237+N237))*100</f>
        <v>0</v>
      </c>
      <c r="I237">
        <f>((O237+P237)/(P237+O237+N237))*100</f>
        <v>0</v>
      </c>
      <c r="J237">
        <f>(N237/(P237+O237+N237))*100</f>
        <v>100</v>
      </c>
      <c r="K237">
        <v>0.8</v>
      </c>
      <c r="L237">
        <v>0.3</v>
      </c>
      <c r="M237">
        <v>0.7</v>
      </c>
      <c r="N237">
        <v>685</v>
      </c>
      <c r="O237">
        <v>0</v>
      </c>
      <c r="P237">
        <v>0</v>
      </c>
      <c r="Q237">
        <v>0</v>
      </c>
      <c r="R237" t="s">
        <v>234</v>
      </c>
      <c r="S237">
        <v>2.65</v>
      </c>
      <c r="T237">
        <v>3.13</v>
      </c>
      <c r="U237">
        <v>11</v>
      </c>
    </row>
    <row r="238" spans="1:21" x14ac:dyDescent="0.25">
      <c r="A238" s="2">
        <v>45323.517384259256</v>
      </c>
      <c r="B238" t="s">
        <v>309</v>
      </c>
      <c r="C238" t="s">
        <v>322</v>
      </c>
      <c r="D238">
        <v>3</v>
      </c>
      <c r="E238" t="s">
        <v>38</v>
      </c>
      <c r="F238" t="s">
        <v>388</v>
      </c>
      <c r="G238">
        <f>(O238/(N238+O238+P238))*100</f>
        <v>0.1457725947521866</v>
      </c>
      <c r="H238">
        <f>(P238/(O238+P238+N238))*100</f>
        <v>0.1457725947521866</v>
      </c>
      <c r="I238">
        <v>0.28999999999999998</v>
      </c>
      <c r="J238">
        <f>(N238/(P238+O238+N238))*100</f>
        <v>99.708454810495624</v>
      </c>
      <c r="K238">
        <v>0.7</v>
      </c>
      <c r="L238">
        <v>0.3</v>
      </c>
      <c r="M238">
        <v>0.7</v>
      </c>
      <c r="N238">
        <v>684</v>
      </c>
      <c r="O238">
        <v>1</v>
      </c>
      <c r="P238">
        <v>1</v>
      </c>
      <c r="Q238">
        <v>0.28999999999999998</v>
      </c>
      <c r="R238" t="s">
        <v>223</v>
      </c>
      <c r="S238">
        <v>2.65</v>
      </c>
      <c r="T238">
        <v>3.13</v>
      </c>
      <c r="U238">
        <v>10</v>
      </c>
    </row>
    <row r="239" spans="1:21" x14ac:dyDescent="0.25">
      <c r="A239" s="2">
        <v>45324.945613425924</v>
      </c>
      <c r="B239" t="s">
        <v>309</v>
      </c>
      <c r="C239" t="s">
        <v>368</v>
      </c>
      <c r="D239">
        <v>2</v>
      </c>
      <c r="E239" t="s">
        <v>38</v>
      </c>
      <c r="F239" t="s">
        <v>388</v>
      </c>
      <c r="G239">
        <f>(O239/(N239+O239+P239))*100</f>
        <v>0.14903129657228018</v>
      </c>
      <c r="H239">
        <f>(P239/(O239+P239+N239))*100</f>
        <v>0</v>
      </c>
      <c r="I239">
        <v>0.15</v>
      </c>
      <c r="J239">
        <f>(N239/(P239+O239+N239))*100</f>
        <v>99.850968703427725</v>
      </c>
      <c r="K239">
        <v>0.8</v>
      </c>
      <c r="L239">
        <v>0.3</v>
      </c>
      <c r="M239">
        <v>0.7</v>
      </c>
      <c r="N239">
        <v>670</v>
      </c>
      <c r="O239">
        <v>1</v>
      </c>
      <c r="P239">
        <v>0</v>
      </c>
      <c r="Q239">
        <v>0.15</v>
      </c>
      <c r="R239" t="s">
        <v>367</v>
      </c>
      <c r="S239">
        <v>0.04</v>
      </c>
      <c r="T239">
        <v>0.04</v>
      </c>
    </row>
    <row r="240" spans="1:21" x14ac:dyDescent="0.25">
      <c r="A240" t="s">
        <v>19</v>
      </c>
      <c r="B240" t="s">
        <v>20</v>
      </c>
      <c r="C240" t="s">
        <v>308</v>
      </c>
      <c r="D240">
        <v>3</v>
      </c>
      <c r="E240" t="s">
        <v>39</v>
      </c>
      <c r="F240" t="s">
        <v>388</v>
      </c>
      <c r="G240">
        <v>0</v>
      </c>
      <c r="H240">
        <v>0</v>
      </c>
      <c r="I240">
        <f>G240+H240</f>
        <v>0</v>
      </c>
      <c r="J240">
        <f>100-G240-H240</f>
        <v>100</v>
      </c>
      <c r="K240" t="s">
        <v>19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  <c r="Q240">
        <f>I240</f>
        <v>0</v>
      </c>
      <c r="R240" t="s">
        <v>19</v>
      </c>
      <c r="S240" t="s">
        <v>19</v>
      </c>
      <c r="T240" t="s">
        <v>19</v>
      </c>
    </row>
    <row r="241" spans="1:21" x14ac:dyDescent="0.25">
      <c r="A241" t="s">
        <v>19</v>
      </c>
      <c r="B241" t="s">
        <v>20</v>
      </c>
      <c r="C241" t="s">
        <v>22</v>
      </c>
      <c r="D241">
        <v>3</v>
      </c>
      <c r="E241" t="s">
        <v>39</v>
      </c>
      <c r="F241" t="s">
        <v>388</v>
      </c>
      <c r="G241">
        <v>0</v>
      </c>
      <c r="H241">
        <v>0</v>
      </c>
      <c r="I241">
        <f>G241+H241</f>
        <v>0</v>
      </c>
      <c r="J241">
        <f>100-G241-H241</f>
        <v>100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>
        <f>I241</f>
        <v>0</v>
      </c>
      <c r="R241" t="s">
        <v>19</v>
      </c>
      <c r="S241" t="s">
        <v>19</v>
      </c>
      <c r="T241" t="s">
        <v>19</v>
      </c>
    </row>
    <row r="242" spans="1:21" x14ac:dyDescent="0.25">
      <c r="A242" t="s">
        <v>19</v>
      </c>
      <c r="B242" t="s">
        <v>20</v>
      </c>
      <c r="C242" t="s">
        <v>305</v>
      </c>
      <c r="D242">
        <v>3</v>
      </c>
      <c r="E242" t="s">
        <v>39</v>
      </c>
      <c r="F242" t="s">
        <v>388</v>
      </c>
      <c r="G242">
        <v>0</v>
      </c>
      <c r="H242">
        <v>0</v>
      </c>
      <c r="I242">
        <f>G242+H242</f>
        <v>0</v>
      </c>
      <c r="J242">
        <f>100-G242-H242</f>
        <v>100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  <c r="P242" t="s">
        <v>19</v>
      </c>
      <c r="Q242">
        <f>I242</f>
        <v>0</v>
      </c>
      <c r="R242" t="s">
        <v>19</v>
      </c>
      <c r="S242" t="s">
        <v>19</v>
      </c>
      <c r="T242" t="s">
        <v>19</v>
      </c>
    </row>
    <row r="243" spans="1:21" x14ac:dyDescent="0.25">
      <c r="A243" t="s">
        <v>19</v>
      </c>
      <c r="B243" t="s">
        <v>20</v>
      </c>
      <c r="C243" t="s">
        <v>307</v>
      </c>
      <c r="D243">
        <v>3</v>
      </c>
      <c r="E243" t="s">
        <v>39</v>
      </c>
      <c r="F243" t="s">
        <v>388</v>
      </c>
      <c r="G243">
        <v>0</v>
      </c>
      <c r="H243">
        <v>0</v>
      </c>
      <c r="I243">
        <f>G243+H243</f>
        <v>0</v>
      </c>
      <c r="J243">
        <f>100-G243-H243</f>
        <v>100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>
        <f>I243</f>
        <v>0</v>
      </c>
      <c r="R243" t="s">
        <v>19</v>
      </c>
      <c r="S243" t="s">
        <v>19</v>
      </c>
      <c r="T243" t="s">
        <v>19</v>
      </c>
    </row>
    <row r="244" spans="1:21" x14ac:dyDescent="0.25">
      <c r="A244" s="2">
        <v>45253.518055555556</v>
      </c>
      <c r="B244" t="s">
        <v>309</v>
      </c>
      <c r="C244" t="s">
        <v>213</v>
      </c>
      <c r="D244">
        <v>3</v>
      </c>
      <c r="E244" t="s">
        <v>39</v>
      </c>
      <c r="F244" t="s">
        <v>388</v>
      </c>
      <c r="G244">
        <v>1.3196480939999999</v>
      </c>
      <c r="H244">
        <v>0.87976539600000003</v>
      </c>
      <c r="I244">
        <v>2.19941349</v>
      </c>
      <c r="J244">
        <v>97.800586510000002</v>
      </c>
      <c r="K244">
        <v>0.8</v>
      </c>
      <c r="L244">
        <v>0.2</v>
      </c>
      <c r="M244">
        <v>0.7</v>
      </c>
      <c r="N244">
        <v>667</v>
      </c>
      <c r="O244">
        <v>9</v>
      </c>
      <c r="P244">
        <v>6</v>
      </c>
      <c r="Q244">
        <v>2.2000000000000002</v>
      </c>
      <c r="R244" t="s">
        <v>214</v>
      </c>
      <c r="S244">
        <v>2.4500000000000002</v>
      </c>
      <c r="T244">
        <v>3.07</v>
      </c>
    </row>
    <row r="245" spans="1:21" x14ac:dyDescent="0.25">
      <c r="A245" s="2">
        <v>45253.821527777778</v>
      </c>
      <c r="B245" t="s">
        <v>309</v>
      </c>
      <c r="C245" t="s">
        <v>215</v>
      </c>
      <c r="D245">
        <v>2</v>
      </c>
      <c r="E245" t="s">
        <v>39</v>
      </c>
      <c r="F245" t="s">
        <v>388</v>
      </c>
      <c r="G245">
        <v>70.784883719999996</v>
      </c>
      <c r="H245">
        <v>0</v>
      </c>
      <c r="I245">
        <v>70.784883719999996</v>
      </c>
      <c r="J245">
        <v>29.21511628</v>
      </c>
      <c r="K245">
        <v>0.8</v>
      </c>
      <c r="L245">
        <v>0.2</v>
      </c>
      <c r="M245">
        <v>0.7</v>
      </c>
      <c r="N245">
        <v>201</v>
      </c>
      <c r="O245">
        <v>487</v>
      </c>
      <c r="P245">
        <v>0</v>
      </c>
      <c r="Q245">
        <v>70.78</v>
      </c>
      <c r="R245" t="s">
        <v>228</v>
      </c>
      <c r="S245">
        <v>1.52</v>
      </c>
      <c r="T245">
        <v>1.68</v>
      </c>
    </row>
    <row r="246" spans="1:21" x14ac:dyDescent="0.25">
      <c r="A246" s="2">
        <v>45253.987500000003</v>
      </c>
      <c r="B246" t="s">
        <v>309</v>
      </c>
      <c r="C246" t="s">
        <v>217</v>
      </c>
      <c r="D246">
        <v>2</v>
      </c>
      <c r="E246" t="s">
        <v>39</v>
      </c>
      <c r="F246" t="s">
        <v>388</v>
      </c>
      <c r="G246">
        <v>66.962962959999999</v>
      </c>
      <c r="H246">
        <v>0</v>
      </c>
      <c r="I246">
        <v>66.962962959999999</v>
      </c>
      <c r="J246">
        <v>33.037037040000001</v>
      </c>
      <c r="K246">
        <v>0.8</v>
      </c>
      <c r="L246">
        <v>0.2</v>
      </c>
      <c r="M246">
        <v>0.7</v>
      </c>
      <c r="N246">
        <v>223</v>
      </c>
      <c r="O246">
        <v>452</v>
      </c>
      <c r="P246">
        <v>0</v>
      </c>
      <c r="Q246">
        <v>66.959999999999994</v>
      </c>
      <c r="R246" t="s">
        <v>250</v>
      </c>
      <c r="S246">
        <v>1.57</v>
      </c>
      <c r="T246">
        <v>1.68</v>
      </c>
    </row>
    <row r="247" spans="1:21" x14ac:dyDescent="0.25">
      <c r="A247" s="2">
        <v>45316.5</v>
      </c>
      <c r="B247" t="s">
        <v>309</v>
      </c>
      <c r="C247" t="s">
        <v>219</v>
      </c>
      <c r="D247">
        <v>3</v>
      </c>
      <c r="E247" t="s">
        <v>39</v>
      </c>
      <c r="F247" t="s">
        <v>388</v>
      </c>
      <c r="G247">
        <v>1.789709172</v>
      </c>
      <c r="H247">
        <v>1.342281879</v>
      </c>
      <c r="I247">
        <v>3.131991051</v>
      </c>
      <c r="J247">
        <v>96.868008950000004</v>
      </c>
      <c r="K247">
        <v>0.8</v>
      </c>
      <c r="L247">
        <v>0.2</v>
      </c>
      <c r="M247">
        <v>0.7</v>
      </c>
      <c r="N247">
        <v>433</v>
      </c>
      <c r="O247">
        <v>8</v>
      </c>
      <c r="P247">
        <v>6</v>
      </c>
      <c r="Q247">
        <v>3.13</v>
      </c>
      <c r="R247" t="s">
        <v>232</v>
      </c>
      <c r="S247">
        <v>3.01</v>
      </c>
      <c r="T247">
        <v>4.4000000000000004</v>
      </c>
    </row>
    <row r="248" spans="1:21" x14ac:dyDescent="0.25">
      <c r="A248" s="2">
        <v>45320.829861111109</v>
      </c>
      <c r="B248" t="s">
        <v>309</v>
      </c>
      <c r="C248" t="s">
        <v>221</v>
      </c>
      <c r="D248">
        <v>2</v>
      </c>
      <c r="E248" t="s">
        <v>39</v>
      </c>
      <c r="F248" t="s">
        <v>388</v>
      </c>
      <c r="G248">
        <v>5.8641975310000003</v>
      </c>
      <c r="H248">
        <v>0</v>
      </c>
      <c r="I248">
        <v>5.8641975310000003</v>
      </c>
      <c r="J248">
        <v>94.135802470000002</v>
      </c>
      <c r="K248">
        <v>0.8</v>
      </c>
      <c r="L248">
        <v>0.3</v>
      </c>
      <c r="M248">
        <v>0.7</v>
      </c>
      <c r="N248">
        <v>610</v>
      </c>
      <c r="O248">
        <v>38</v>
      </c>
      <c r="P248">
        <v>0</v>
      </c>
      <c r="Q248">
        <v>5.86</v>
      </c>
      <c r="R248" t="s">
        <v>251</v>
      </c>
      <c r="S248">
        <v>0.27</v>
      </c>
      <c r="T248">
        <v>0.28999999999999998</v>
      </c>
    </row>
    <row r="249" spans="1:21" x14ac:dyDescent="0.25">
      <c r="A249" t="s">
        <v>19</v>
      </c>
      <c r="B249" t="s">
        <v>20</v>
      </c>
      <c r="C249" t="s">
        <v>306</v>
      </c>
      <c r="D249">
        <v>3</v>
      </c>
      <c r="E249" t="s">
        <v>39</v>
      </c>
      <c r="F249" t="s">
        <v>388</v>
      </c>
      <c r="G249">
        <v>0</v>
      </c>
      <c r="H249">
        <v>0</v>
      </c>
      <c r="I249">
        <f>G249+H249</f>
        <v>0</v>
      </c>
      <c r="J249">
        <f>100-G249-H249</f>
        <v>100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>
        <f>I249</f>
        <v>0</v>
      </c>
      <c r="R249" t="s">
        <v>19</v>
      </c>
      <c r="S249" t="s">
        <v>19</v>
      </c>
      <c r="T249" t="s">
        <v>19</v>
      </c>
    </row>
    <row r="250" spans="1:21" x14ac:dyDescent="0.25">
      <c r="A250" t="s">
        <v>19</v>
      </c>
      <c r="B250" t="s">
        <v>20</v>
      </c>
      <c r="C250" t="s">
        <v>320</v>
      </c>
      <c r="D250">
        <v>3</v>
      </c>
      <c r="E250" t="s">
        <v>39</v>
      </c>
      <c r="F250" t="s">
        <v>388</v>
      </c>
      <c r="G250">
        <v>0</v>
      </c>
      <c r="H250">
        <v>0</v>
      </c>
      <c r="I250">
        <f>100-J250</f>
        <v>0</v>
      </c>
      <c r="J250">
        <f>100-G250-H250</f>
        <v>100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  <c r="Q250">
        <f>I250</f>
        <v>0</v>
      </c>
      <c r="R250" t="s">
        <v>19</v>
      </c>
      <c r="S250" t="s">
        <v>19</v>
      </c>
      <c r="T250" t="s">
        <v>19</v>
      </c>
    </row>
    <row r="251" spans="1:21" x14ac:dyDescent="0.25">
      <c r="A251" s="2">
        <v>45323.519479166665</v>
      </c>
      <c r="B251" t="s">
        <v>309</v>
      </c>
      <c r="C251" t="s">
        <v>322</v>
      </c>
      <c r="D251">
        <v>3</v>
      </c>
      <c r="E251" t="s">
        <v>39</v>
      </c>
      <c r="F251" t="s">
        <v>388</v>
      </c>
      <c r="G251">
        <f>(O251/(N251+O251+P251))*100</f>
        <v>0.43668122270742354</v>
      </c>
      <c r="H251">
        <f>(P251/(O251+P251+N251))*100</f>
        <v>0.14556040756914121</v>
      </c>
      <c r="I251">
        <f>((O251+P251)/(P251+O251+N251))*100</f>
        <v>0.58224163027656484</v>
      </c>
      <c r="J251">
        <f>(N251/(P251+O251+N251))*100</f>
        <v>99.41775836972343</v>
      </c>
      <c r="K251">
        <v>0.8</v>
      </c>
      <c r="L251">
        <v>0.3</v>
      </c>
      <c r="M251">
        <v>0.7</v>
      </c>
      <c r="N251">
        <v>683</v>
      </c>
      <c r="O251">
        <v>3</v>
      </c>
      <c r="P251">
        <v>1</v>
      </c>
      <c r="Q251">
        <v>0.57999999999999996</v>
      </c>
      <c r="R251" t="s">
        <v>342</v>
      </c>
      <c r="S251">
        <v>2.4</v>
      </c>
      <c r="T251">
        <v>3.42</v>
      </c>
      <c r="U251">
        <v>52</v>
      </c>
    </row>
    <row r="252" spans="1:21" x14ac:dyDescent="0.25">
      <c r="A252" s="2">
        <v>45323.518865740742</v>
      </c>
      <c r="B252" t="s">
        <v>309</v>
      </c>
      <c r="C252" t="s">
        <v>322</v>
      </c>
      <c r="D252">
        <v>3</v>
      </c>
      <c r="E252" t="s">
        <v>39</v>
      </c>
      <c r="F252" t="s">
        <v>388</v>
      </c>
      <c r="G252">
        <f>(O252/(N252+O252+P252))*100</f>
        <v>1.2987012987012987</v>
      </c>
      <c r="H252">
        <f>(P252/(O252+P252+N252))*100</f>
        <v>0.14430014430014429</v>
      </c>
      <c r="I252">
        <v>1.44</v>
      </c>
      <c r="J252">
        <f>(N252/(P252+O252+N252))*100</f>
        <v>98.55699855699855</v>
      </c>
      <c r="K252">
        <v>0.7</v>
      </c>
      <c r="L252">
        <v>0.3</v>
      </c>
      <c r="M252">
        <v>0.7</v>
      </c>
      <c r="N252">
        <v>683</v>
      </c>
      <c r="O252">
        <v>9</v>
      </c>
      <c r="P252">
        <v>1</v>
      </c>
      <c r="Q252">
        <v>1.44</v>
      </c>
      <c r="R252" t="s">
        <v>345</v>
      </c>
      <c r="S252">
        <v>2.4</v>
      </c>
      <c r="T252">
        <v>3.42</v>
      </c>
      <c r="U252">
        <v>46</v>
      </c>
    </row>
    <row r="253" spans="1:21" x14ac:dyDescent="0.25">
      <c r="A253" s="2">
        <v>45324.946956018517</v>
      </c>
      <c r="B253" t="s">
        <v>309</v>
      </c>
      <c r="C253" t="s">
        <v>368</v>
      </c>
      <c r="D253">
        <v>2</v>
      </c>
      <c r="E253" t="s">
        <v>39</v>
      </c>
      <c r="F253" t="s">
        <v>388</v>
      </c>
      <c r="G253">
        <f>(O253/(N253+O253+P253))*100</f>
        <v>2.1604938271604937</v>
      </c>
      <c r="H253">
        <f>(P253/(O253+P253+N253))*100</f>
        <v>0</v>
      </c>
      <c r="I253">
        <v>2.16</v>
      </c>
      <c r="J253">
        <f>(N253/(P253+O253+N253))*100</f>
        <v>97.839506172839506</v>
      </c>
      <c r="K253">
        <v>0.8</v>
      </c>
      <c r="L253">
        <v>0.3</v>
      </c>
      <c r="M253">
        <v>0.7</v>
      </c>
      <c r="N253">
        <v>634</v>
      </c>
      <c r="O253">
        <v>14</v>
      </c>
      <c r="P253">
        <v>0</v>
      </c>
      <c r="Q253">
        <v>2.16</v>
      </c>
      <c r="R253" t="s">
        <v>256</v>
      </c>
      <c r="S253">
        <v>0.18</v>
      </c>
      <c r="T253">
        <v>0.2</v>
      </c>
    </row>
    <row r="254" spans="1:21" x14ac:dyDescent="0.25">
      <c r="A254" t="s">
        <v>19</v>
      </c>
      <c r="B254" t="s">
        <v>20</v>
      </c>
      <c r="C254" t="s">
        <v>308</v>
      </c>
      <c r="D254">
        <v>3</v>
      </c>
      <c r="E254" t="s">
        <v>40</v>
      </c>
      <c r="F254" t="s">
        <v>388</v>
      </c>
      <c r="G254">
        <v>0</v>
      </c>
      <c r="H254">
        <v>0</v>
      </c>
      <c r="I254">
        <f>G254+H254</f>
        <v>0</v>
      </c>
      <c r="J254">
        <f>100-G254-H254</f>
        <v>100</v>
      </c>
      <c r="K254" t="s">
        <v>19</v>
      </c>
      <c r="L254" t="s">
        <v>19</v>
      </c>
      <c r="M254" t="s">
        <v>19</v>
      </c>
      <c r="N254" t="s">
        <v>19</v>
      </c>
      <c r="O254" t="s">
        <v>19</v>
      </c>
      <c r="P254" t="s">
        <v>19</v>
      </c>
      <c r="Q254">
        <f>I254</f>
        <v>0</v>
      </c>
      <c r="R254" t="s">
        <v>19</v>
      </c>
      <c r="S254" t="s">
        <v>19</v>
      </c>
      <c r="T254" t="s">
        <v>19</v>
      </c>
    </row>
    <row r="255" spans="1:21" x14ac:dyDescent="0.25">
      <c r="A255" t="s">
        <v>19</v>
      </c>
      <c r="B255" t="s">
        <v>20</v>
      </c>
      <c r="C255" t="s">
        <v>22</v>
      </c>
      <c r="D255">
        <v>3</v>
      </c>
      <c r="E255" t="s">
        <v>40</v>
      </c>
      <c r="F255" t="s">
        <v>388</v>
      </c>
      <c r="G255">
        <v>0</v>
      </c>
      <c r="H255">
        <v>0</v>
      </c>
      <c r="I255">
        <f>G255+H255</f>
        <v>0</v>
      </c>
      <c r="J255">
        <f>100-G255-H255</f>
        <v>100</v>
      </c>
      <c r="K255" t="s">
        <v>19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  <c r="Q255">
        <f>I255</f>
        <v>0</v>
      </c>
      <c r="R255" t="s">
        <v>19</v>
      </c>
      <c r="S255" t="s">
        <v>19</v>
      </c>
      <c r="T255" t="s">
        <v>19</v>
      </c>
    </row>
    <row r="256" spans="1:21" x14ac:dyDescent="0.25">
      <c r="A256" t="s">
        <v>19</v>
      </c>
      <c r="B256" t="s">
        <v>20</v>
      </c>
      <c r="C256" t="s">
        <v>305</v>
      </c>
      <c r="D256">
        <v>3</v>
      </c>
      <c r="E256" t="s">
        <v>40</v>
      </c>
      <c r="F256" t="s">
        <v>388</v>
      </c>
      <c r="G256">
        <v>0</v>
      </c>
      <c r="H256">
        <v>0</v>
      </c>
      <c r="I256">
        <f>G256+H256</f>
        <v>0</v>
      </c>
      <c r="J256">
        <f>100-G256-H256</f>
        <v>100</v>
      </c>
      <c r="K256" t="s">
        <v>19</v>
      </c>
      <c r="L256" t="s">
        <v>19</v>
      </c>
      <c r="M256" t="s">
        <v>19</v>
      </c>
      <c r="N256" t="s">
        <v>19</v>
      </c>
      <c r="O256" t="s">
        <v>19</v>
      </c>
      <c r="P256" t="s">
        <v>19</v>
      </c>
      <c r="Q256">
        <f>I256</f>
        <v>0</v>
      </c>
      <c r="R256" t="s">
        <v>19</v>
      </c>
      <c r="S256" t="s">
        <v>19</v>
      </c>
      <c r="T256" t="s">
        <v>19</v>
      </c>
    </row>
    <row r="257" spans="1:21" x14ac:dyDescent="0.25">
      <c r="A257" t="s">
        <v>19</v>
      </c>
      <c r="B257" t="s">
        <v>20</v>
      </c>
      <c r="C257" t="s">
        <v>307</v>
      </c>
      <c r="D257">
        <v>3</v>
      </c>
      <c r="E257" t="s">
        <v>40</v>
      </c>
      <c r="F257" t="s">
        <v>388</v>
      </c>
      <c r="G257">
        <v>0</v>
      </c>
      <c r="H257">
        <v>0</v>
      </c>
      <c r="I257">
        <f>G257+H257</f>
        <v>0</v>
      </c>
      <c r="J257">
        <f>100-G257-H257</f>
        <v>100</v>
      </c>
      <c r="K257" t="s">
        <v>19</v>
      </c>
      <c r="L257" t="s">
        <v>19</v>
      </c>
      <c r="M257" t="s">
        <v>19</v>
      </c>
      <c r="N257" t="s">
        <v>19</v>
      </c>
      <c r="O257" t="s">
        <v>19</v>
      </c>
      <c r="P257" t="s">
        <v>19</v>
      </c>
      <c r="Q257">
        <f>I257</f>
        <v>0</v>
      </c>
      <c r="R257" t="s">
        <v>19</v>
      </c>
      <c r="S257" t="s">
        <v>19</v>
      </c>
      <c r="T257" t="s">
        <v>19</v>
      </c>
    </row>
    <row r="258" spans="1:21" x14ac:dyDescent="0.25">
      <c r="A258" s="2">
        <v>45253.520138888889</v>
      </c>
      <c r="B258" t="s">
        <v>309</v>
      </c>
      <c r="C258" t="s">
        <v>213</v>
      </c>
      <c r="D258">
        <v>3</v>
      </c>
      <c r="E258" t="s">
        <v>40</v>
      </c>
      <c r="F258" t="s">
        <v>388</v>
      </c>
      <c r="G258">
        <v>0</v>
      </c>
      <c r="H258">
        <v>0</v>
      </c>
      <c r="I258">
        <v>0</v>
      </c>
      <c r="J258">
        <v>100</v>
      </c>
      <c r="K258">
        <v>0.8</v>
      </c>
      <c r="L258">
        <v>0.2</v>
      </c>
      <c r="M258">
        <v>0.7</v>
      </c>
      <c r="N258">
        <v>717</v>
      </c>
      <c r="O258">
        <v>0</v>
      </c>
      <c r="P258">
        <v>0</v>
      </c>
      <c r="Q258">
        <v>0</v>
      </c>
      <c r="R258" t="s">
        <v>248</v>
      </c>
      <c r="S258">
        <v>2.69</v>
      </c>
      <c r="T258">
        <v>3.44</v>
      </c>
    </row>
    <row r="259" spans="1:21" x14ac:dyDescent="0.25">
      <c r="A259" s="2">
        <v>45253.822916666664</v>
      </c>
      <c r="B259" t="s">
        <v>309</v>
      </c>
      <c r="C259" t="s">
        <v>215</v>
      </c>
      <c r="D259">
        <v>2</v>
      </c>
      <c r="E259" t="s">
        <v>40</v>
      </c>
      <c r="F259" t="s">
        <v>388</v>
      </c>
      <c r="G259">
        <v>2.3222060959999999</v>
      </c>
      <c r="H259">
        <v>0</v>
      </c>
      <c r="I259">
        <v>2.3222060959999999</v>
      </c>
      <c r="J259">
        <v>97.677793899999998</v>
      </c>
      <c r="K259">
        <v>0.8</v>
      </c>
      <c r="L259">
        <v>0.2</v>
      </c>
      <c r="M259">
        <v>0.7</v>
      </c>
      <c r="N259">
        <v>673</v>
      </c>
      <c r="O259">
        <v>16</v>
      </c>
      <c r="P259">
        <v>0</v>
      </c>
      <c r="Q259">
        <v>2.3199999999999998</v>
      </c>
      <c r="R259" t="s">
        <v>216</v>
      </c>
      <c r="S259">
        <v>7.0000000000000007E-2</v>
      </c>
      <c r="T259">
        <v>0.08</v>
      </c>
    </row>
    <row r="260" spans="1:21" x14ac:dyDescent="0.25">
      <c r="A260" s="2">
        <v>45253.988194444442</v>
      </c>
      <c r="B260" t="s">
        <v>309</v>
      </c>
      <c r="C260" t="s">
        <v>217</v>
      </c>
      <c r="D260">
        <v>2</v>
      </c>
      <c r="E260" t="s">
        <v>40</v>
      </c>
      <c r="F260" t="s">
        <v>388</v>
      </c>
      <c r="G260">
        <v>8.5714285710000002</v>
      </c>
      <c r="H260">
        <v>0</v>
      </c>
      <c r="I260">
        <v>8.5714285710000002</v>
      </c>
      <c r="J260">
        <v>91.428571430000005</v>
      </c>
      <c r="K260">
        <v>0.8</v>
      </c>
      <c r="L260">
        <v>0.2</v>
      </c>
      <c r="M260">
        <v>0.7</v>
      </c>
      <c r="N260">
        <v>544</v>
      </c>
      <c r="O260">
        <v>51</v>
      </c>
      <c r="P260">
        <v>0</v>
      </c>
      <c r="Q260">
        <v>8.57</v>
      </c>
      <c r="R260" t="s">
        <v>218</v>
      </c>
      <c r="S260">
        <v>0.28999999999999998</v>
      </c>
      <c r="T260">
        <v>0.32</v>
      </c>
    </row>
    <row r="261" spans="1:21" x14ac:dyDescent="0.25">
      <c r="A261" s="2">
        <v>45316.500694444447</v>
      </c>
      <c r="B261" t="s">
        <v>309</v>
      </c>
      <c r="C261" t="s">
        <v>219</v>
      </c>
      <c r="D261">
        <v>3</v>
      </c>
      <c r="E261" t="s">
        <v>40</v>
      </c>
      <c r="F261" t="s">
        <v>388</v>
      </c>
      <c r="G261">
        <v>0</v>
      </c>
      <c r="H261">
        <v>0.145772595</v>
      </c>
      <c r="I261">
        <v>0.145772595</v>
      </c>
      <c r="J261">
        <v>99.854227409999993</v>
      </c>
      <c r="K261">
        <v>0.8</v>
      </c>
      <c r="L261">
        <v>0.2</v>
      </c>
      <c r="M261">
        <v>0.7</v>
      </c>
      <c r="N261">
        <v>685</v>
      </c>
      <c r="O261">
        <v>0</v>
      </c>
      <c r="P261">
        <v>1</v>
      </c>
      <c r="Q261">
        <v>0.15</v>
      </c>
      <c r="R261" t="s">
        <v>225</v>
      </c>
      <c r="S261">
        <v>3.08</v>
      </c>
      <c r="T261">
        <v>4.71</v>
      </c>
    </row>
    <row r="262" spans="1:21" x14ac:dyDescent="0.25">
      <c r="A262" s="2">
        <v>45320.831250000003</v>
      </c>
      <c r="B262" t="s">
        <v>309</v>
      </c>
      <c r="C262" t="s">
        <v>221</v>
      </c>
      <c r="D262">
        <v>2</v>
      </c>
      <c r="E262" t="s">
        <v>40</v>
      </c>
      <c r="F262" t="s">
        <v>388</v>
      </c>
      <c r="G262">
        <v>0</v>
      </c>
      <c r="H262">
        <v>0</v>
      </c>
      <c r="I262">
        <v>0</v>
      </c>
      <c r="J262">
        <v>100</v>
      </c>
      <c r="K262">
        <v>0.8</v>
      </c>
      <c r="L262">
        <v>0.3</v>
      </c>
      <c r="M262">
        <v>0.7</v>
      </c>
      <c r="N262">
        <v>653</v>
      </c>
      <c r="O262">
        <v>0</v>
      </c>
      <c r="P262">
        <v>0</v>
      </c>
      <c r="Q262">
        <v>0</v>
      </c>
      <c r="R262" t="s">
        <v>252</v>
      </c>
      <c r="S262">
        <v>0.03</v>
      </c>
      <c r="T262">
        <v>0.03</v>
      </c>
    </row>
    <row r="263" spans="1:21" x14ac:dyDescent="0.25">
      <c r="A263" t="s">
        <v>19</v>
      </c>
      <c r="B263" t="s">
        <v>20</v>
      </c>
      <c r="C263" t="s">
        <v>306</v>
      </c>
      <c r="D263">
        <v>3</v>
      </c>
      <c r="E263" t="s">
        <v>40</v>
      </c>
      <c r="F263" t="s">
        <v>388</v>
      </c>
      <c r="G263">
        <v>0</v>
      </c>
      <c r="H263">
        <v>0</v>
      </c>
      <c r="I263">
        <f>G263+H263</f>
        <v>0</v>
      </c>
      <c r="J263">
        <f>100-G263-H263</f>
        <v>100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>
        <f>I263</f>
        <v>0</v>
      </c>
      <c r="R263" t="s">
        <v>19</v>
      </c>
      <c r="S263" t="s">
        <v>19</v>
      </c>
      <c r="T263" t="s">
        <v>19</v>
      </c>
    </row>
    <row r="264" spans="1:21" x14ac:dyDescent="0.25">
      <c r="A264" t="s">
        <v>19</v>
      </c>
      <c r="B264" t="s">
        <v>20</v>
      </c>
      <c r="C264" t="s">
        <v>320</v>
      </c>
      <c r="D264">
        <v>3</v>
      </c>
      <c r="E264" t="s">
        <v>40</v>
      </c>
      <c r="F264" t="s">
        <v>388</v>
      </c>
      <c r="G264">
        <v>0</v>
      </c>
      <c r="H264">
        <v>0</v>
      </c>
      <c r="I264">
        <f>100-J264</f>
        <v>0</v>
      </c>
      <c r="J264">
        <f>100-G264-H264</f>
        <v>100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>
        <f>I264</f>
        <v>0</v>
      </c>
      <c r="R264" t="s">
        <v>19</v>
      </c>
      <c r="S264" t="s">
        <v>19</v>
      </c>
      <c r="T264" t="s">
        <v>19</v>
      </c>
    </row>
    <row r="265" spans="1:21" x14ac:dyDescent="0.25">
      <c r="A265" s="2">
        <v>45323.521180555559</v>
      </c>
      <c r="B265" t="s">
        <v>309</v>
      </c>
      <c r="C265" t="s">
        <v>322</v>
      </c>
      <c r="D265">
        <v>3</v>
      </c>
      <c r="E265" t="s">
        <v>40</v>
      </c>
      <c r="F265" t="s">
        <v>388</v>
      </c>
      <c r="G265">
        <f>(O265/(N265+O265+P265))*100</f>
        <v>0.15105740181268881</v>
      </c>
      <c r="H265">
        <f>(P265/(O265+P265+N265))*100</f>
        <v>0</v>
      </c>
      <c r="I265">
        <f>((O265+P265)/(P265+O265+N265))*100</f>
        <v>0.15105740181268881</v>
      </c>
      <c r="J265">
        <f>(N265/(P265+O265+N265))*100</f>
        <v>99.848942598187307</v>
      </c>
      <c r="K265">
        <v>0.8</v>
      </c>
      <c r="L265">
        <v>0.3</v>
      </c>
      <c r="M265">
        <v>0.7</v>
      </c>
      <c r="N265">
        <v>661</v>
      </c>
      <c r="O265">
        <v>1</v>
      </c>
      <c r="P265">
        <v>0</v>
      </c>
      <c r="Q265">
        <v>0.15</v>
      </c>
      <c r="R265" t="s">
        <v>288</v>
      </c>
      <c r="S265">
        <v>2.4900000000000002</v>
      </c>
      <c r="T265">
        <v>3.07</v>
      </c>
      <c r="U265">
        <v>8</v>
      </c>
    </row>
    <row r="266" spans="1:21" x14ac:dyDescent="0.25">
      <c r="A266" s="2">
        <v>45323.520497685182</v>
      </c>
      <c r="B266" t="s">
        <v>309</v>
      </c>
      <c r="C266" t="s">
        <v>322</v>
      </c>
      <c r="D266">
        <v>3</v>
      </c>
      <c r="E266" t="s">
        <v>40</v>
      </c>
      <c r="F266" t="s">
        <v>388</v>
      </c>
      <c r="G266">
        <f>(O266/(N266+O266+P266))*100</f>
        <v>0.15105740181268881</v>
      </c>
      <c r="H266">
        <f>(P266/(O266+P266+N266))*100</f>
        <v>0</v>
      </c>
      <c r="I266">
        <v>0.15</v>
      </c>
      <c r="J266">
        <f>(N266/(P266+O266+N266))*100</f>
        <v>99.848942598187307</v>
      </c>
      <c r="K266">
        <v>0.7</v>
      </c>
      <c r="L266">
        <v>0.3</v>
      </c>
      <c r="M266">
        <v>0.7</v>
      </c>
      <c r="N266">
        <v>661</v>
      </c>
      <c r="O266">
        <v>1</v>
      </c>
      <c r="P266">
        <v>0</v>
      </c>
      <c r="Q266">
        <v>0.15</v>
      </c>
      <c r="R266" t="s">
        <v>289</v>
      </c>
      <c r="S266">
        <v>2.4900000000000002</v>
      </c>
      <c r="T266">
        <v>3.07</v>
      </c>
      <c r="U266">
        <v>8</v>
      </c>
    </row>
    <row r="267" spans="1:21" x14ac:dyDescent="0.25">
      <c r="A267" s="2">
        <v>45324.948379629626</v>
      </c>
      <c r="B267" t="s">
        <v>309</v>
      </c>
      <c r="C267" t="s">
        <v>368</v>
      </c>
      <c r="D267">
        <v>2</v>
      </c>
      <c r="E267" t="s">
        <v>40</v>
      </c>
      <c r="F267" t="s">
        <v>388</v>
      </c>
      <c r="G267">
        <f>(O267/(N267+O267+P267))*100</f>
        <v>0.61443932411674351</v>
      </c>
      <c r="H267">
        <f>(P267/(O267+P267+N267))*100</f>
        <v>0</v>
      </c>
      <c r="I267">
        <v>0.61</v>
      </c>
      <c r="J267">
        <f>(N267/(P267+O267+N267))*100</f>
        <v>99.385560675883255</v>
      </c>
      <c r="K267">
        <v>0.8</v>
      </c>
      <c r="L267">
        <v>0.3</v>
      </c>
      <c r="M267">
        <v>0.7</v>
      </c>
      <c r="N267">
        <v>647</v>
      </c>
      <c r="O267">
        <v>4</v>
      </c>
      <c r="P267">
        <v>0</v>
      </c>
      <c r="Q267">
        <v>0.61</v>
      </c>
      <c r="R267" t="s">
        <v>355</v>
      </c>
      <c r="S267">
        <v>0.05</v>
      </c>
      <c r="T267">
        <v>0.06</v>
      </c>
    </row>
    <row r="268" spans="1:21" x14ac:dyDescent="0.25">
      <c r="A268" t="s">
        <v>19</v>
      </c>
      <c r="B268" t="s">
        <v>20</v>
      </c>
      <c r="C268" t="s">
        <v>306</v>
      </c>
      <c r="D268">
        <v>3</v>
      </c>
      <c r="E268" t="s">
        <v>41</v>
      </c>
      <c r="F268" t="s">
        <v>373</v>
      </c>
      <c r="G268">
        <v>1</v>
      </c>
      <c r="H268">
        <v>0</v>
      </c>
      <c r="I268">
        <f>G268+H268</f>
        <v>1</v>
      </c>
      <c r="J268">
        <f>100-G268-H268</f>
        <v>99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  <c r="Q268">
        <f>I268</f>
        <v>1</v>
      </c>
      <c r="R268" t="s">
        <v>19</v>
      </c>
      <c r="S268" t="s">
        <v>19</v>
      </c>
      <c r="T268" t="s">
        <v>19</v>
      </c>
    </row>
    <row r="269" spans="1:21" x14ac:dyDescent="0.25">
      <c r="A269" t="s">
        <v>19</v>
      </c>
      <c r="B269" t="s">
        <v>20</v>
      </c>
      <c r="C269" t="s">
        <v>308</v>
      </c>
      <c r="D269">
        <v>3</v>
      </c>
      <c r="E269" t="s">
        <v>41</v>
      </c>
      <c r="F269" t="s">
        <v>373</v>
      </c>
      <c r="G269">
        <v>0</v>
      </c>
      <c r="H269">
        <v>0</v>
      </c>
      <c r="I269">
        <f>G269+H269</f>
        <v>0</v>
      </c>
      <c r="J269">
        <f>100-G269-H269</f>
        <v>100</v>
      </c>
      <c r="K269" t="s">
        <v>19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>
        <f>I269</f>
        <v>0</v>
      </c>
      <c r="R269" t="s">
        <v>19</v>
      </c>
      <c r="S269" t="s">
        <v>19</v>
      </c>
      <c r="T269" t="s">
        <v>19</v>
      </c>
    </row>
    <row r="270" spans="1:21" x14ac:dyDescent="0.25">
      <c r="A270" t="s">
        <v>19</v>
      </c>
      <c r="B270" t="s">
        <v>20</v>
      </c>
      <c r="C270" t="s">
        <v>22</v>
      </c>
      <c r="D270">
        <v>3</v>
      </c>
      <c r="E270" t="s">
        <v>41</v>
      </c>
      <c r="F270" t="s">
        <v>373</v>
      </c>
      <c r="G270">
        <v>0</v>
      </c>
      <c r="H270">
        <v>0</v>
      </c>
      <c r="I270">
        <f>G270+H270</f>
        <v>0</v>
      </c>
      <c r="J270">
        <f>100-G270-H270</f>
        <v>100</v>
      </c>
      <c r="K270" t="s">
        <v>19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  <c r="Q270">
        <f>I270</f>
        <v>0</v>
      </c>
      <c r="R270" t="s">
        <v>19</v>
      </c>
      <c r="S270" t="s">
        <v>19</v>
      </c>
      <c r="T270" t="s">
        <v>19</v>
      </c>
    </row>
    <row r="271" spans="1:21" x14ac:dyDescent="0.25">
      <c r="A271" t="s">
        <v>19</v>
      </c>
      <c r="B271" t="s">
        <v>20</v>
      </c>
      <c r="C271" t="s">
        <v>305</v>
      </c>
      <c r="D271">
        <v>3</v>
      </c>
      <c r="E271" t="s">
        <v>41</v>
      </c>
      <c r="F271" t="s">
        <v>373</v>
      </c>
      <c r="G271">
        <v>0</v>
      </c>
      <c r="H271">
        <v>0</v>
      </c>
      <c r="I271">
        <f>G271+H271</f>
        <v>0</v>
      </c>
      <c r="J271">
        <f>100-G271-H271</f>
        <v>100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>
        <f>I271</f>
        <v>0</v>
      </c>
      <c r="R271" t="s">
        <v>19</v>
      </c>
      <c r="S271" t="s">
        <v>19</v>
      </c>
      <c r="T271" t="s">
        <v>19</v>
      </c>
    </row>
    <row r="272" spans="1:21" x14ac:dyDescent="0.25">
      <c r="A272" t="s">
        <v>19</v>
      </c>
      <c r="B272" t="s">
        <v>20</v>
      </c>
      <c r="C272" t="s">
        <v>307</v>
      </c>
      <c r="D272">
        <v>3</v>
      </c>
      <c r="E272" t="s">
        <v>41</v>
      </c>
      <c r="F272" t="s">
        <v>373</v>
      </c>
      <c r="G272">
        <v>0</v>
      </c>
      <c r="H272">
        <v>0</v>
      </c>
      <c r="I272">
        <f>G272+H272</f>
        <v>0</v>
      </c>
      <c r="J272">
        <f>100-G272-H272</f>
        <v>100</v>
      </c>
      <c r="K272" t="s">
        <v>19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>
        <f>I272</f>
        <v>0</v>
      </c>
      <c r="R272" t="s">
        <v>19</v>
      </c>
      <c r="S272" t="s">
        <v>19</v>
      </c>
      <c r="T272" t="s">
        <v>19</v>
      </c>
    </row>
    <row r="273" spans="1:21" x14ac:dyDescent="0.25">
      <c r="A273" s="2">
        <v>45253.681250000001</v>
      </c>
      <c r="B273" t="s">
        <v>309</v>
      </c>
      <c r="C273" t="s">
        <v>213</v>
      </c>
      <c r="D273">
        <v>3</v>
      </c>
      <c r="E273" t="s">
        <v>41</v>
      </c>
      <c r="F273" t="s">
        <v>373</v>
      </c>
      <c r="G273">
        <v>0</v>
      </c>
      <c r="H273">
        <v>1.3458950199999999</v>
      </c>
      <c r="I273">
        <v>1.3458950199999999</v>
      </c>
      <c r="J273">
        <v>98.65410498</v>
      </c>
      <c r="K273">
        <v>0.8</v>
      </c>
      <c r="L273">
        <v>0.2</v>
      </c>
      <c r="M273">
        <v>0.7</v>
      </c>
      <c r="N273">
        <v>733</v>
      </c>
      <c r="O273">
        <v>0</v>
      </c>
      <c r="P273">
        <v>10</v>
      </c>
      <c r="Q273">
        <v>1.35</v>
      </c>
      <c r="R273" t="s">
        <v>234</v>
      </c>
      <c r="S273">
        <v>2.84</v>
      </c>
      <c r="T273">
        <v>3.26</v>
      </c>
    </row>
    <row r="274" spans="1:21" x14ac:dyDescent="0.25">
      <c r="A274" s="2">
        <v>45253.90902777778</v>
      </c>
      <c r="B274" t="s">
        <v>309</v>
      </c>
      <c r="C274" t="s">
        <v>215</v>
      </c>
      <c r="D274">
        <v>2</v>
      </c>
      <c r="E274" t="s">
        <v>41</v>
      </c>
      <c r="F274" t="s">
        <v>373</v>
      </c>
      <c r="G274">
        <v>2.1126760560000002</v>
      </c>
      <c r="H274">
        <v>0</v>
      </c>
      <c r="I274">
        <v>2.1126760560000002</v>
      </c>
      <c r="J274">
        <v>97.887323940000002</v>
      </c>
      <c r="K274">
        <v>0.8</v>
      </c>
      <c r="L274">
        <v>0.2</v>
      </c>
      <c r="M274">
        <v>0.7</v>
      </c>
      <c r="N274">
        <v>695</v>
      </c>
      <c r="O274">
        <v>15</v>
      </c>
      <c r="P274">
        <v>0</v>
      </c>
      <c r="Q274">
        <v>2.11</v>
      </c>
      <c r="R274" t="s">
        <v>224</v>
      </c>
      <c r="S274">
        <v>0.09</v>
      </c>
      <c r="T274">
        <v>0.1</v>
      </c>
    </row>
    <row r="275" spans="1:21" x14ac:dyDescent="0.25">
      <c r="A275" s="2">
        <v>45254.081944444442</v>
      </c>
      <c r="B275" t="s">
        <v>309</v>
      </c>
      <c r="C275" t="s">
        <v>217</v>
      </c>
      <c r="D275">
        <v>2</v>
      </c>
      <c r="E275" t="s">
        <v>41</v>
      </c>
      <c r="F275" t="s">
        <v>373</v>
      </c>
      <c r="G275">
        <v>2.263083451</v>
      </c>
      <c r="H275">
        <v>0</v>
      </c>
      <c r="I275">
        <v>2.263083451</v>
      </c>
      <c r="J275">
        <v>97.736916550000004</v>
      </c>
      <c r="K275">
        <v>0.8</v>
      </c>
      <c r="L275">
        <v>0.2</v>
      </c>
      <c r="M275">
        <v>0.7</v>
      </c>
      <c r="N275">
        <v>691</v>
      </c>
      <c r="O275">
        <v>16</v>
      </c>
      <c r="P275">
        <v>0</v>
      </c>
      <c r="Q275">
        <v>2.2599999999999998</v>
      </c>
      <c r="R275" t="s">
        <v>231</v>
      </c>
      <c r="S275">
        <v>0.1</v>
      </c>
      <c r="T275">
        <v>0.11</v>
      </c>
    </row>
    <row r="276" spans="1:21" x14ac:dyDescent="0.25">
      <c r="A276" s="2">
        <v>45316.418749999997</v>
      </c>
      <c r="B276" t="s">
        <v>309</v>
      </c>
      <c r="C276" t="s">
        <v>219</v>
      </c>
      <c r="D276">
        <v>3</v>
      </c>
      <c r="E276" t="s">
        <v>41</v>
      </c>
      <c r="F276" t="s">
        <v>373</v>
      </c>
      <c r="G276">
        <v>0.142450142</v>
      </c>
      <c r="H276">
        <v>1.566951567</v>
      </c>
      <c r="I276">
        <v>1.709401709</v>
      </c>
      <c r="J276">
        <v>98.290598290000005</v>
      </c>
      <c r="K276">
        <v>0.8</v>
      </c>
      <c r="L276">
        <v>0.2</v>
      </c>
      <c r="M276">
        <v>0.7</v>
      </c>
      <c r="N276">
        <v>690</v>
      </c>
      <c r="O276">
        <v>1</v>
      </c>
      <c r="P276">
        <v>11</v>
      </c>
      <c r="Q276">
        <v>1.71</v>
      </c>
      <c r="R276" t="s">
        <v>229</v>
      </c>
      <c r="S276">
        <v>3.07</v>
      </c>
      <c r="T276">
        <v>4.2300000000000004</v>
      </c>
    </row>
    <row r="277" spans="1:21" x14ac:dyDescent="0.25">
      <c r="A277" s="2">
        <v>45320.938888888886</v>
      </c>
      <c r="B277" t="s">
        <v>309</v>
      </c>
      <c r="C277" t="s">
        <v>221</v>
      </c>
      <c r="D277">
        <v>2</v>
      </c>
      <c r="E277" t="s">
        <v>41</v>
      </c>
      <c r="F277" t="s">
        <v>373</v>
      </c>
      <c r="G277">
        <v>0</v>
      </c>
      <c r="H277">
        <v>0</v>
      </c>
      <c r="I277">
        <v>0</v>
      </c>
      <c r="J277">
        <v>100</v>
      </c>
      <c r="K277">
        <v>0.8</v>
      </c>
      <c r="L277">
        <v>0.3</v>
      </c>
      <c r="M277">
        <v>0.7</v>
      </c>
      <c r="N277">
        <v>632</v>
      </c>
      <c r="O277">
        <v>0</v>
      </c>
      <c r="P277">
        <v>0</v>
      </c>
      <c r="Q277">
        <v>0</v>
      </c>
      <c r="R277" t="s">
        <v>235</v>
      </c>
      <c r="S277">
        <v>0.01</v>
      </c>
      <c r="T277">
        <v>0.01</v>
      </c>
    </row>
    <row r="278" spans="1:21" x14ac:dyDescent="0.25">
      <c r="A278" t="s">
        <v>19</v>
      </c>
      <c r="B278" t="s">
        <v>20</v>
      </c>
      <c r="C278" t="s">
        <v>320</v>
      </c>
      <c r="D278">
        <v>3</v>
      </c>
      <c r="E278" t="s">
        <v>41</v>
      </c>
      <c r="F278" t="s">
        <v>373</v>
      </c>
      <c r="G278">
        <v>0</v>
      </c>
      <c r="H278">
        <v>0</v>
      </c>
      <c r="I278">
        <f>100-J278</f>
        <v>0</v>
      </c>
      <c r="J278">
        <f>100-G278-H278</f>
        <v>100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>
        <f>I278</f>
        <v>0</v>
      </c>
      <c r="R278" t="s">
        <v>19</v>
      </c>
      <c r="S278" t="s">
        <v>19</v>
      </c>
      <c r="T278" t="s">
        <v>19</v>
      </c>
    </row>
    <row r="279" spans="1:21" x14ac:dyDescent="0.25">
      <c r="A279" s="2">
        <v>45323.520613425928</v>
      </c>
      <c r="B279" t="s">
        <v>309</v>
      </c>
      <c r="C279" t="s">
        <v>322</v>
      </c>
      <c r="D279">
        <v>3</v>
      </c>
      <c r="E279" t="s">
        <v>41</v>
      </c>
      <c r="F279" t="s">
        <v>373</v>
      </c>
      <c r="G279">
        <f>(O279/(N279+O279+P279))*100</f>
        <v>0</v>
      </c>
      <c r="H279">
        <f>(P279/(O279+P279+N279))*100</f>
        <v>0</v>
      </c>
      <c r="I279">
        <f>((O279+P279)/(P279+O279+N279))*100</f>
        <v>0</v>
      </c>
      <c r="J279">
        <f>(N279/(P279+O279+N279))*100</f>
        <v>100</v>
      </c>
      <c r="K279">
        <v>0.8</v>
      </c>
      <c r="L279">
        <v>0.3</v>
      </c>
      <c r="M279">
        <v>0.7</v>
      </c>
      <c r="N279">
        <v>631</v>
      </c>
      <c r="O279">
        <v>0</v>
      </c>
      <c r="P279">
        <v>0</v>
      </c>
      <c r="Q279">
        <v>0</v>
      </c>
      <c r="R279" t="s">
        <v>248</v>
      </c>
      <c r="S279">
        <v>2.69</v>
      </c>
      <c r="T279">
        <v>2.99</v>
      </c>
      <c r="U279">
        <v>8</v>
      </c>
    </row>
    <row r="280" spans="1:21" x14ac:dyDescent="0.25">
      <c r="A280" s="2">
        <v>45323.521608796298</v>
      </c>
      <c r="B280" t="s">
        <v>309</v>
      </c>
      <c r="C280" t="s">
        <v>322</v>
      </c>
      <c r="D280">
        <v>3</v>
      </c>
      <c r="E280" t="s">
        <v>41</v>
      </c>
      <c r="F280" t="s">
        <v>373</v>
      </c>
      <c r="G280">
        <f>(O280/(N280+O280+P280))*100</f>
        <v>0</v>
      </c>
      <c r="H280">
        <f>(P280/(O280+P280+N280))*100</f>
        <v>0</v>
      </c>
      <c r="I280">
        <f>((O280+P280)/(P280+O280+N280))*100</f>
        <v>0</v>
      </c>
      <c r="J280">
        <f>(N280/(P280+O280+N280))*100</f>
        <v>100</v>
      </c>
      <c r="K280">
        <v>0.7</v>
      </c>
      <c r="L280">
        <v>0.3</v>
      </c>
      <c r="M280">
        <v>0.7</v>
      </c>
      <c r="N280">
        <v>631</v>
      </c>
      <c r="O280">
        <v>0</v>
      </c>
      <c r="P280">
        <v>0</v>
      </c>
      <c r="Q280">
        <v>0</v>
      </c>
      <c r="R280" t="s">
        <v>296</v>
      </c>
      <c r="S280">
        <v>2.69</v>
      </c>
      <c r="T280">
        <v>2.99</v>
      </c>
      <c r="U280">
        <v>8</v>
      </c>
    </row>
    <row r="281" spans="1:21" x14ac:dyDescent="0.25">
      <c r="A281" s="2">
        <v>45325.101481481484</v>
      </c>
      <c r="B281" t="s">
        <v>309</v>
      </c>
      <c r="C281" t="s">
        <v>368</v>
      </c>
      <c r="D281">
        <v>2</v>
      </c>
      <c r="E281" t="s">
        <v>41</v>
      </c>
      <c r="F281" t="s">
        <v>373</v>
      </c>
      <c r="G281">
        <f>(O281/(N281+O281+P281))*100</f>
        <v>0</v>
      </c>
      <c r="H281">
        <f>(P281/(O281+P281+N281))*100</f>
        <v>0</v>
      </c>
      <c r="I281">
        <v>0</v>
      </c>
      <c r="J281">
        <f>(N281/(P281+O281+N281))*100</f>
        <v>100</v>
      </c>
      <c r="K281">
        <v>0.8</v>
      </c>
      <c r="L281">
        <v>0.3</v>
      </c>
      <c r="M281">
        <v>0.7</v>
      </c>
      <c r="N281">
        <v>638</v>
      </c>
      <c r="O281">
        <v>0</v>
      </c>
      <c r="P281">
        <v>0</v>
      </c>
      <c r="Q281">
        <v>0</v>
      </c>
      <c r="R281" t="s">
        <v>261</v>
      </c>
      <c r="S281">
        <v>0</v>
      </c>
      <c r="T281">
        <v>0</v>
      </c>
    </row>
    <row r="282" spans="1:21" x14ac:dyDescent="0.25">
      <c r="A282" t="s">
        <v>19</v>
      </c>
      <c r="B282" t="s">
        <v>20</v>
      </c>
      <c r="C282" t="s">
        <v>306</v>
      </c>
      <c r="D282">
        <v>3</v>
      </c>
      <c r="E282" t="s">
        <v>42</v>
      </c>
      <c r="F282" t="s">
        <v>373</v>
      </c>
      <c r="G282">
        <v>3</v>
      </c>
      <c r="H282">
        <v>0</v>
      </c>
      <c r="I282">
        <f>G282+H282</f>
        <v>3</v>
      </c>
      <c r="J282">
        <f>100-G282-H282</f>
        <v>97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>
        <f>I282</f>
        <v>3</v>
      </c>
      <c r="R282" t="s">
        <v>19</v>
      </c>
      <c r="S282" t="s">
        <v>19</v>
      </c>
      <c r="T282" t="s">
        <v>19</v>
      </c>
    </row>
    <row r="283" spans="1:21" x14ac:dyDescent="0.25">
      <c r="A283" t="s">
        <v>19</v>
      </c>
      <c r="B283" t="s">
        <v>20</v>
      </c>
      <c r="C283" t="s">
        <v>308</v>
      </c>
      <c r="D283">
        <v>3</v>
      </c>
      <c r="E283" t="s">
        <v>42</v>
      </c>
      <c r="F283" t="s">
        <v>373</v>
      </c>
      <c r="G283">
        <v>4</v>
      </c>
      <c r="H283">
        <v>0</v>
      </c>
      <c r="I283">
        <f>G283+H283</f>
        <v>4</v>
      </c>
      <c r="J283">
        <f>100-G283-H283</f>
        <v>96</v>
      </c>
      <c r="K283" t="s">
        <v>19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  <c r="Q283">
        <f>I283</f>
        <v>4</v>
      </c>
      <c r="R283" t="s">
        <v>19</v>
      </c>
      <c r="S283" t="s">
        <v>19</v>
      </c>
      <c r="T283" t="s">
        <v>19</v>
      </c>
    </row>
    <row r="284" spans="1:21" x14ac:dyDescent="0.25">
      <c r="A284" t="s">
        <v>19</v>
      </c>
      <c r="B284" t="s">
        <v>20</v>
      </c>
      <c r="C284" t="s">
        <v>22</v>
      </c>
      <c r="D284">
        <v>3</v>
      </c>
      <c r="E284" t="s">
        <v>42</v>
      </c>
      <c r="F284" t="s">
        <v>373</v>
      </c>
      <c r="G284">
        <v>7</v>
      </c>
      <c r="H284">
        <v>0</v>
      </c>
      <c r="I284">
        <f>G284+H284</f>
        <v>7</v>
      </c>
      <c r="J284">
        <f>100-G284-H284</f>
        <v>93</v>
      </c>
      <c r="K284" t="s">
        <v>19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  <c r="Q284">
        <f>I284</f>
        <v>7</v>
      </c>
      <c r="R284" t="s">
        <v>19</v>
      </c>
      <c r="S284" t="s">
        <v>19</v>
      </c>
      <c r="T284" t="s">
        <v>19</v>
      </c>
    </row>
    <row r="285" spans="1:21" x14ac:dyDescent="0.25">
      <c r="A285" t="s">
        <v>19</v>
      </c>
      <c r="B285" t="s">
        <v>20</v>
      </c>
      <c r="C285" t="s">
        <v>305</v>
      </c>
      <c r="D285">
        <v>3</v>
      </c>
      <c r="E285" t="s">
        <v>42</v>
      </c>
      <c r="F285" t="s">
        <v>373</v>
      </c>
      <c r="G285">
        <v>6</v>
      </c>
      <c r="H285">
        <v>0</v>
      </c>
      <c r="I285">
        <f>G285+H285</f>
        <v>6</v>
      </c>
      <c r="J285">
        <f>100-G285-H285</f>
        <v>94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>
        <f>I285</f>
        <v>6</v>
      </c>
      <c r="R285" t="s">
        <v>19</v>
      </c>
      <c r="S285" t="s">
        <v>19</v>
      </c>
      <c r="T285" t="s">
        <v>19</v>
      </c>
    </row>
    <row r="286" spans="1:21" x14ac:dyDescent="0.25">
      <c r="A286" t="s">
        <v>19</v>
      </c>
      <c r="B286" t="s">
        <v>20</v>
      </c>
      <c r="C286" t="s">
        <v>307</v>
      </c>
      <c r="D286">
        <v>3</v>
      </c>
      <c r="E286" t="s">
        <v>42</v>
      </c>
      <c r="F286" t="s">
        <v>373</v>
      </c>
      <c r="G286">
        <v>2</v>
      </c>
      <c r="H286">
        <v>0</v>
      </c>
      <c r="I286">
        <f>G286+H286</f>
        <v>2</v>
      </c>
      <c r="J286">
        <f>100-G286-H286</f>
        <v>98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>
        <f>I286</f>
        <v>2</v>
      </c>
      <c r="R286" t="s">
        <v>19</v>
      </c>
      <c r="S286" t="s">
        <v>19</v>
      </c>
      <c r="T286" t="s">
        <v>19</v>
      </c>
    </row>
    <row r="287" spans="1:21" x14ac:dyDescent="0.25">
      <c r="A287" s="2">
        <v>45253.682638888888</v>
      </c>
      <c r="B287" t="s">
        <v>309</v>
      </c>
      <c r="C287" t="s">
        <v>213</v>
      </c>
      <c r="D287">
        <v>3</v>
      </c>
      <c r="E287" t="s">
        <v>42</v>
      </c>
      <c r="F287" t="s">
        <v>373</v>
      </c>
      <c r="G287">
        <v>0.28208744699999999</v>
      </c>
      <c r="H287">
        <v>0</v>
      </c>
      <c r="I287">
        <v>0.28208744699999999</v>
      </c>
      <c r="J287">
        <v>99.717912549999994</v>
      </c>
      <c r="K287">
        <v>0.8</v>
      </c>
      <c r="L287">
        <v>0.2</v>
      </c>
      <c r="M287">
        <v>0.7</v>
      </c>
      <c r="N287">
        <v>707</v>
      </c>
      <c r="O287">
        <v>2</v>
      </c>
      <c r="P287">
        <v>0</v>
      </c>
      <c r="Q287">
        <v>0.28000000000000003</v>
      </c>
      <c r="R287" t="s">
        <v>253</v>
      </c>
      <c r="S287">
        <v>2.86</v>
      </c>
      <c r="T287">
        <v>3.15</v>
      </c>
    </row>
    <row r="288" spans="1:21" x14ac:dyDescent="0.25">
      <c r="A288" s="2">
        <v>45253.909722222219</v>
      </c>
      <c r="B288" t="s">
        <v>309</v>
      </c>
      <c r="C288" t="s">
        <v>215</v>
      </c>
      <c r="D288">
        <v>2</v>
      </c>
      <c r="E288" t="s">
        <v>42</v>
      </c>
      <c r="F288" t="s">
        <v>373</v>
      </c>
      <c r="G288">
        <v>1.26227209</v>
      </c>
      <c r="H288">
        <v>0</v>
      </c>
      <c r="I288">
        <v>1.26227209</v>
      </c>
      <c r="J288">
        <v>98.737727910000004</v>
      </c>
      <c r="K288">
        <v>0.8</v>
      </c>
      <c r="L288">
        <v>0.2</v>
      </c>
      <c r="M288">
        <v>0.7</v>
      </c>
      <c r="N288">
        <v>704</v>
      </c>
      <c r="O288">
        <v>9</v>
      </c>
      <c r="P288">
        <v>0</v>
      </c>
      <c r="Q288">
        <v>1.26</v>
      </c>
      <c r="R288" t="s">
        <v>243</v>
      </c>
      <c r="S288">
        <v>0.04</v>
      </c>
      <c r="T288">
        <v>0.05</v>
      </c>
    </row>
    <row r="289" spans="1:21" x14ac:dyDescent="0.25">
      <c r="A289" s="2">
        <v>45254.082638888889</v>
      </c>
      <c r="B289" t="s">
        <v>309</v>
      </c>
      <c r="C289" t="s">
        <v>217</v>
      </c>
      <c r="D289">
        <v>2</v>
      </c>
      <c r="E289" t="s">
        <v>42</v>
      </c>
      <c r="F289" t="s">
        <v>373</v>
      </c>
      <c r="G289">
        <v>1.697312588</v>
      </c>
      <c r="H289">
        <v>0</v>
      </c>
      <c r="I289">
        <v>1.697312588</v>
      </c>
      <c r="J289">
        <v>98.302687410000004</v>
      </c>
      <c r="K289">
        <v>0.8</v>
      </c>
      <c r="L289">
        <v>0.2</v>
      </c>
      <c r="M289">
        <v>0.7</v>
      </c>
      <c r="N289">
        <v>695</v>
      </c>
      <c r="O289">
        <v>12</v>
      </c>
      <c r="P289">
        <v>0</v>
      </c>
      <c r="Q289">
        <v>1.7</v>
      </c>
      <c r="R289" t="s">
        <v>231</v>
      </c>
      <c r="S289">
        <v>0.06</v>
      </c>
      <c r="T289">
        <v>0.06</v>
      </c>
    </row>
    <row r="290" spans="1:21" x14ac:dyDescent="0.25">
      <c r="A290" s="2">
        <v>45316.419444444444</v>
      </c>
      <c r="B290" t="s">
        <v>309</v>
      </c>
      <c r="C290" t="s">
        <v>219</v>
      </c>
      <c r="D290">
        <v>3</v>
      </c>
      <c r="E290" t="s">
        <v>42</v>
      </c>
      <c r="F290" t="s">
        <v>373</v>
      </c>
      <c r="G290">
        <v>0.60882800599999998</v>
      </c>
      <c r="H290">
        <v>0.15220700200000001</v>
      </c>
      <c r="I290">
        <v>0.76103500800000001</v>
      </c>
      <c r="J290">
        <v>99.238964989999999</v>
      </c>
      <c r="K290">
        <v>0.8</v>
      </c>
      <c r="L290">
        <v>0.2</v>
      </c>
      <c r="M290">
        <v>0.7</v>
      </c>
      <c r="N290">
        <v>652</v>
      </c>
      <c r="O290">
        <v>4</v>
      </c>
      <c r="P290">
        <v>1</v>
      </c>
      <c r="Q290">
        <v>0.76</v>
      </c>
      <c r="R290" t="s">
        <v>218</v>
      </c>
      <c r="S290">
        <v>3.04</v>
      </c>
      <c r="T290">
        <v>3.54</v>
      </c>
    </row>
    <row r="291" spans="1:21" x14ac:dyDescent="0.25">
      <c r="A291" s="2">
        <v>45320.939583333333</v>
      </c>
      <c r="B291" t="s">
        <v>309</v>
      </c>
      <c r="C291" t="s">
        <v>221</v>
      </c>
      <c r="D291">
        <v>2</v>
      </c>
      <c r="E291" t="s">
        <v>42</v>
      </c>
      <c r="F291" t="s">
        <v>373</v>
      </c>
      <c r="G291">
        <v>1.7316017319999999</v>
      </c>
      <c r="H291">
        <v>0</v>
      </c>
      <c r="I291">
        <v>1.7316017319999999</v>
      </c>
      <c r="J291">
        <v>98.268398270000006</v>
      </c>
      <c r="K291">
        <v>0.8</v>
      </c>
      <c r="L291">
        <v>0.3</v>
      </c>
      <c r="M291">
        <v>0.7</v>
      </c>
      <c r="N291">
        <v>681</v>
      </c>
      <c r="O291">
        <v>12</v>
      </c>
      <c r="P291">
        <v>0</v>
      </c>
      <c r="Q291">
        <v>1.73</v>
      </c>
      <c r="R291" t="s">
        <v>254</v>
      </c>
      <c r="S291">
        <v>7.0000000000000007E-2</v>
      </c>
      <c r="T291">
        <v>0.08</v>
      </c>
    </row>
    <row r="292" spans="1:21" x14ac:dyDescent="0.25">
      <c r="A292" t="s">
        <v>19</v>
      </c>
      <c r="B292" t="s">
        <v>20</v>
      </c>
      <c r="C292" t="s">
        <v>320</v>
      </c>
      <c r="D292">
        <v>3</v>
      </c>
      <c r="E292" t="s">
        <v>42</v>
      </c>
      <c r="F292" t="s">
        <v>373</v>
      </c>
      <c r="G292">
        <v>0</v>
      </c>
      <c r="H292">
        <v>0</v>
      </c>
      <c r="I292">
        <f>100-J292</f>
        <v>0</v>
      </c>
      <c r="J292">
        <f>100-G292-H292</f>
        <v>100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  <c r="Q292">
        <f>I292</f>
        <v>0</v>
      </c>
      <c r="R292" t="s">
        <v>19</v>
      </c>
      <c r="S292" t="s">
        <v>19</v>
      </c>
      <c r="T292" t="s">
        <v>19</v>
      </c>
    </row>
    <row r="293" spans="1:21" x14ac:dyDescent="0.25">
      <c r="A293" s="2">
        <v>45323.52207175926</v>
      </c>
      <c r="B293" t="s">
        <v>309</v>
      </c>
      <c r="C293" t="s">
        <v>322</v>
      </c>
      <c r="D293">
        <v>3</v>
      </c>
      <c r="E293" t="s">
        <v>42</v>
      </c>
      <c r="F293" t="s">
        <v>373</v>
      </c>
      <c r="G293">
        <f>(O293/(N293+O293+P293))*100</f>
        <v>0.8708272859216255</v>
      </c>
      <c r="H293">
        <f>(P293/(O293+P293+N293))*100</f>
        <v>0.29027576197387517</v>
      </c>
      <c r="I293">
        <f>((O293+P293)/(P293+O293+N293))*100</f>
        <v>1.1611030478955007</v>
      </c>
      <c r="J293">
        <f>(N293/(P293+O293+N293))*100</f>
        <v>98.838896952104506</v>
      </c>
      <c r="K293">
        <v>0.8</v>
      </c>
      <c r="L293">
        <v>0.3</v>
      </c>
      <c r="M293">
        <v>0.7</v>
      </c>
      <c r="N293">
        <v>681</v>
      </c>
      <c r="O293">
        <v>6</v>
      </c>
      <c r="P293">
        <v>2</v>
      </c>
      <c r="Q293">
        <v>1.1599999999999999</v>
      </c>
      <c r="R293" t="s">
        <v>329</v>
      </c>
      <c r="S293">
        <v>2.76</v>
      </c>
      <c r="T293">
        <v>3.31</v>
      </c>
      <c r="U293">
        <v>13</v>
      </c>
    </row>
    <row r="294" spans="1:21" x14ac:dyDescent="0.25">
      <c r="A294" s="2">
        <v>45323.523217592592</v>
      </c>
      <c r="B294" t="s">
        <v>309</v>
      </c>
      <c r="C294" t="s">
        <v>322</v>
      </c>
      <c r="D294">
        <v>3</v>
      </c>
      <c r="E294" t="s">
        <v>42</v>
      </c>
      <c r="F294" t="s">
        <v>373</v>
      </c>
      <c r="G294">
        <f>(O294/(N294+O294+P294))*100</f>
        <v>1.0144927536231882</v>
      </c>
      <c r="H294">
        <f>(P294/(O294+P294+N294))*100</f>
        <v>0.28985507246376813</v>
      </c>
      <c r="I294">
        <f>((O294+P294)/(P294+O294+N294))*100</f>
        <v>1.3043478260869565</v>
      </c>
      <c r="J294">
        <f>(N294/(P294+O294+N294))*100</f>
        <v>98.695652173913047</v>
      </c>
      <c r="K294">
        <v>0.7</v>
      </c>
      <c r="L294">
        <v>0.3</v>
      </c>
      <c r="M294">
        <v>0.7</v>
      </c>
      <c r="N294">
        <v>681</v>
      </c>
      <c r="O294">
        <v>7</v>
      </c>
      <c r="P294">
        <v>2</v>
      </c>
      <c r="Q294">
        <v>1.3</v>
      </c>
      <c r="R294" t="s">
        <v>360</v>
      </c>
      <c r="S294">
        <v>2.76</v>
      </c>
      <c r="T294">
        <v>3.31</v>
      </c>
      <c r="U294">
        <v>12</v>
      </c>
    </row>
    <row r="295" spans="1:21" x14ac:dyDescent="0.25">
      <c r="A295" s="2">
        <v>45325.102870370371</v>
      </c>
      <c r="B295" t="s">
        <v>309</v>
      </c>
      <c r="C295" t="s">
        <v>368</v>
      </c>
      <c r="D295">
        <v>2</v>
      </c>
      <c r="E295" t="s">
        <v>42</v>
      </c>
      <c r="F295" t="s">
        <v>373</v>
      </c>
      <c r="G295">
        <f>(O295/(N295+O295+P295))*100</f>
        <v>1.7725258493353029</v>
      </c>
      <c r="H295">
        <f>(P295/(O295+P295+N295))*100</f>
        <v>0</v>
      </c>
      <c r="I295">
        <v>1.77</v>
      </c>
      <c r="J295">
        <f>(N295/(P295+O295+N295))*100</f>
        <v>98.22747415066469</v>
      </c>
      <c r="K295">
        <v>0.8</v>
      </c>
      <c r="L295">
        <v>0.3</v>
      </c>
      <c r="M295">
        <v>0.7</v>
      </c>
      <c r="N295">
        <v>665</v>
      </c>
      <c r="O295">
        <v>12</v>
      </c>
      <c r="P295">
        <v>0</v>
      </c>
      <c r="Q295">
        <v>1.77</v>
      </c>
      <c r="R295" t="s">
        <v>259</v>
      </c>
      <c r="S295">
        <v>0.08</v>
      </c>
      <c r="T295">
        <v>0.08</v>
      </c>
    </row>
    <row r="296" spans="1:21" x14ac:dyDescent="0.25">
      <c r="A296" t="s">
        <v>19</v>
      </c>
      <c r="B296" t="s">
        <v>20</v>
      </c>
      <c r="C296" t="s">
        <v>306</v>
      </c>
      <c r="D296">
        <v>3</v>
      </c>
      <c r="E296" t="s">
        <v>43</v>
      </c>
      <c r="F296" t="s">
        <v>373</v>
      </c>
      <c r="G296">
        <v>1</v>
      </c>
      <c r="H296">
        <v>0</v>
      </c>
      <c r="I296">
        <f>G296+H296</f>
        <v>1</v>
      </c>
      <c r="J296">
        <f>100-G296-H296</f>
        <v>99</v>
      </c>
      <c r="K296" t="s">
        <v>19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>
        <f>I296</f>
        <v>1</v>
      </c>
      <c r="R296" t="s">
        <v>19</v>
      </c>
      <c r="S296" t="s">
        <v>19</v>
      </c>
      <c r="T296" t="s">
        <v>19</v>
      </c>
    </row>
    <row r="297" spans="1:21" x14ac:dyDescent="0.25">
      <c r="A297" t="s">
        <v>19</v>
      </c>
      <c r="B297" t="s">
        <v>20</v>
      </c>
      <c r="C297" t="s">
        <v>308</v>
      </c>
      <c r="D297">
        <v>3</v>
      </c>
      <c r="E297" t="s">
        <v>43</v>
      </c>
      <c r="F297" t="s">
        <v>373</v>
      </c>
      <c r="G297">
        <v>1</v>
      </c>
      <c r="H297">
        <v>0</v>
      </c>
      <c r="I297">
        <f>G297+H297</f>
        <v>1</v>
      </c>
      <c r="J297">
        <f>100-G297-H297</f>
        <v>99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>
        <f>I297</f>
        <v>1</v>
      </c>
      <c r="R297" t="s">
        <v>19</v>
      </c>
      <c r="S297" t="s">
        <v>19</v>
      </c>
      <c r="T297" t="s">
        <v>19</v>
      </c>
    </row>
    <row r="298" spans="1:21" x14ac:dyDescent="0.25">
      <c r="A298" t="s">
        <v>19</v>
      </c>
      <c r="B298" t="s">
        <v>20</v>
      </c>
      <c r="C298" t="s">
        <v>22</v>
      </c>
      <c r="D298">
        <v>3</v>
      </c>
      <c r="E298" t="s">
        <v>43</v>
      </c>
      <c r="F298" t="s">
        <v>373</v>
      </c>
      <c r="G298">
        <v>5</v>
      </c>
      <c r="H298">
        <v>0</v>
      </c>
      <c r="I298">
        <f>G298+H298</f>
        <v>5</v>
      </c>
      <c r="J298">
        <f>100-G298-H298</f>
        <v>95</v>
      </c>
      <c r="K298" t="s">
        <v>19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  <c r="Q298">
        <f>I298</f>
        <v>5</v>
      </c>
      <c r="R298" t="s">
        <v>19</v>
      </c>
      <c r="S298" t="s">
        <v>19</v>
      </c>
      <c r="T298" t="s">
        <v>19</v>
      </c>
    </row>
    <row r="299" spans="1:21" x14ac:dyDescent="0.25">
      <c r="A299" t="s">
        <v>19</v>
      </c>
      <c r="B299" t="s">
        <v>20</v>
      </c>
      <c r="C299" t="s">
        <v>305</v>
      </c>
      <c r="D299">
        <v>3</v>
      </c>
      <c r="E299" t="s">
        <v>43</v>
      </c>
      <c r="F299" t="s">
        <v>373</v>
      </c>
      <c r="G299">
        <v>0</v>
      </c>
      <c r="H299">
        <v>0</v>
      </c>
      <c r="I299">
        <f>G299+H299</f>
        <v>0</v>
      </c>
      <c r="J299">
        <f>100-G299-H299</f>
        <v>100</v>
      </c>
      <c r="K299" t="s">
        <v>19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  <c r="Q299">
        <f>I299</f>
        <v>0</v>
      </c>
      <c r="R299" t="s">
        <v>19</v>
      </c>
      <c r="S299" t="s">
        <v>19</v>
      </c>
      <c r="T299" t="s">
        <v>19</v>
      </c>
    </row>
    <row r="300" spans="1:21" x14ac:dyDescent="0.25">
      <c r="A300" t="s">
        <v>19</v>
      </c>
      <c r="B300" t="s">
        <v>20</v>
      </c>
      <c r="C300" t="s">
        <v>307</v>
      </c>
      <c r="D300">
        <v>3</v>
      </c>
      <c r="E300" t="s">
        <v>43</v>
      </c>
      <c r="F300" t="s">
        <v>373</v>
      </c>
      <c r="G300">
        <v>0</v>
      </c>
      <c r="H300">
        <v>0</v>
      </c>
      <c r="I300">
        <f>G300+H300</f>
        <v>0</v>
      </c>
      <c r="J300">
        <f>100-G300-H300</f>
        <v>100</v>
      </c>
      <c r="K300" t="s">
        <v>19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  <c r="Q300">
        <f>I300</f>
        <v>0</v>
      </c>
      <c r="R300" t="s">
        <v>19</v>
      </c>
      <c r="S300" t="s">
        <v>19</v>
      </c>
      <c r="T300" t="s">
        <v>19</v>
      </c>
    </row>
    <row r="301" spans="1:21" x14ac:dyDescent="0.25">
      <c r="A301" s="2">
        <v>45253.684027777781</v>
      </c>
      <c r="B301" t="s">
        <v>309</v>
      </c>
      <c r="C301" t="s">
        <v>213</v>
      </c>
      <c r="D301">
        <v>3</v>
      </c>
      <c r="E301" t="s">
        <v>43</v>
      </c>
      <c r="F301" t="s">
        <v>373</v>
      </c>
      <c r="G301">
        <v>38.172043010000003</v>
      </c>
      <c r="H301">
        <v>0</v>
      </c>
      <c r="I301">
        <v>38.172043010000003</v>
      </c>
      <c r="J301">
        <v>61.827956989999997</v>
      </c>
      <c r="K301">
        <v>0.8</v>
      </c>
      <c r="L301">
        <v>0.2</v>
      </c>
      <c r="M301">
        <v>0.7</v>
      </c>
      <c r="N301">
        <v>345</v>
      </c>
      <c r="O301">
        <v>213</v>
      </c>
      <c r="P301">
        <v>0</v>
      </c>
      <c r="Q301">
        <v>38.17</v>
      </c>
      <c r="R301" t="s">
        <v>255</v>
      </c>
      <c r="S301">
        <v>3.14</v>
      </c>
      <c r="T301">
        <v>3.63</v>
      </c>
    </row>
    <row r="302" spans="1:21" x14ac:dyDescent="0.25">
      <c r="A302" s="2">
        <v>45253.910416666666</v>
      </c>
      <c r="B302" t="s">
        <v>309</v>
      </c>
      <c r="C302" t="s">
        <v>215</v>
      </c>
      <c r="D302">
        <v>2</v>
      </c>
      <c r="E302" t="s">
        <v>43</v>
      </c>
      <c r="F302" t="s">
        <v>373</v>
      </c>
      <c r="G302">
        <v>0.83449234999999999</v>
      </c>
      <c r="H302">
        <v>0</v>
      </c>
      <c r="I302">
        <v>0.83449234999999999</v>
      </c>
      <c r="J302">
        <v>99.165507649999995</v>
      </c>
      <c r="K302">
        <v>0.8</v>
      </c>
      <c r="L302">
        <v>0.2</v>
      </c>
      <c r="M302">
        <v>0.7</v>
      </c>
      <c r="N302">
        <v>713</v>
      </c>
      <c r="O302">
        <v>6</v>
      </c>
      <c r="P302">
        <v>0</v>
      </c>
      <c r="Q302">
        <v>0.83</v>
      </c>
      <c r="R302" t="s">
        <v>243</v>
      </c>
      <c r="S302">
        <v>0.04</v>
      </c>
      <c r="T302">
        <v>0.04</v>
      </c>
    </row>
    <row r="303" spans="1:21" x14ac:dyDescent="0.25">
      <c r="A303" s="2">
        <v>45254.083333333336</v>
      </c>
      <c r="B303" t="s">
        <v>309</v>
      </c>
      <c r="C303" t="s">
        <v>217</v>
      </c>
      <c r="D303">
        <v>2</v>
      </c>
      <c r="E303" t="s">
        <v>43</v>
      </c>
      <c r="F303" t="s">
        <v>373</v>
      </c>
      <c r="G303">
        <v>1.6528925619999999</v>
      </c>
      <c r="H303">
        <v>0</v>
      </c>
      <c r="I303">
        <v>1.6528925619999999</v>
      </c>
      <c r="J303">
        <v>98.347107440000002</v>
      </c>
      <c r="K303">
        <v>0.8</v>
      </c>
      <c r="L303">
        <v>0.2</v>
      </c>
      <c r="M303">
        <v>0.7</v>
      </c>
      <c r="N303">
        <v>714</v>
      </c>
      <c r="O303">
        <v>12</v>
      </c>
      <c r="P303">
        <v>0</v>
      </c>
      <c r="Q303">
        <v>1.65</v>
      </c>
      <c r="R303" t="s">
        <v>227</v>
      </c>
      <c r="S303">
        <v>0.05</v>
      </c>
      <c r="T303">
        <v>0.05</v>
      </c>
    </row>
    <row r="304" spans="1:21" x14ac:dyDescent="0.25">
      <c r="A304" s="2">
        <v>45316.420138888891</v>
      </c>
      <c r="B304" t="s">
        <v>309</v>
      </c>
      <c r="C304" t="s">
        <v>219</v>
      </c>
      <c r="D304">
        <v>3</v>
      </c>
      <c r="E304" t="s">
        <v>43</v>
      </c>
      <c r="F304" t="s">
        <v>373</v>
      </c>
      <c r="G304">
        <v>34.203655349999998</v>
      </c>
      <c r="H304">
        <v>0</v>
      </c>
      <c r="I304">
        <v>34.203655349999998</v>
      </c>
      <c r="J304">
        <v>65.796344649999995</v>
      </c>
      <c r="K304">
        <v>0.8</v>
      </c>
      <c r="L304">
        <v>0.2</v>
      </c>
      <c r="M304">
        <v>0.7</v>
      </c>
      <c r="N304">
        <v>252</v>
      </c>
      <c r="O304">
        <v>131</v>
      </c>
      <c r="P304">
        <v>0</v>
      </c>
      <c r="Q304">
        <v>34.200000000000003</v>
      </c>
      <c r="R304" t="s">
        <v>220</v>
      </c>
      <c r="S304">
        <v>3.26</v>
      </c>
      <c r="T304">
        <v>4.59</v>
      </c>
    </row>
    <row r="305" spans="1:21" x14ac:dyDescent="0.25">
      <c r="A305" s="2">
        <v>45320.94027777778</v>
      </c>
      <c r="B305" t="s">
        <v>309</v>
      </c>
      <c r="C305" t="s">
        <v>221</v>
      </c>
      <c r="D305">
        <v>2</v>
      </c>
      <c r="E305" t="s">
        <v>43</v>
      </c>
      <c r="F305" t="s">
        <v>373</v>
      </c>
      <c r="G305">
        <v>14.11042945</v>
      </c>
      <c r="H305">
        <v>0</v>
      </c>
      <c r="I305">
        <v>14.11042945</v>
      </c>
      <c r="J305">
        <v>85.889570550000002</v>
      </c>
      <c r="K305">
        <v>0.8</v>
      </c>
      <c r="L305">
        <v>0.3</v>
      </c>
      <c r="M305">
        <v>0.7</v>
      </c>
      <c r="N305">
        <v>420</v>
      </c>
      <c r="O305">
        <v>69</v>
      </c>
      <c r="P305">
        <v>0</v>
      </c>
      <c r="Q305">
        <v>14.11</v>
      </c>
      <c r="R305" t="s">
        <v>239</v>
      </c>
      <c r="S305">
        <v>0.74</v>
      </c>
      <c r="T305">
        <v>0.77</v>
      </c>
    </row>
    <row r="306" spans="1:21" x14ac:dyDescent="0.25">
      <c r="A306" t="s">
        <v>19</v>
      </c>
      <c r="B306" t="s">
        <v>20</v>
      </c>
      <c r="C306" t="s">
        <v>320</v>
      </c>
      <c r="D306">
        <v>3</v>
      </c>
      <c r="E306" t="s">
        <v>43</v>
      </c>
      <c r="F306" t="s">
        <v>373</v>
      </c>
      <c r="G306">
        <v>0</v>
      </c>
      <c r="H306">
        <v>0</v>
      </c>
      <c r="I306">
        <f>100-J306</f>
        <v>0</v>
      </c>
      <c r="J306">
        <f>100-G306-H306</f>
        <v>100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  <c r="Q306">
        <f>I306</f>
        <v>0</v>
      </c>
      <c r="R306" t="s">
        <v>19</v>
      </c>
      <c r="S306" t="s">
        <v>19</v>
      </c>
      <c r="T306" t="s">
        <v>19</v>
      </c>
    </row>
    <row r="307" spans="1:21" x14ac:dyDescent="0.25">
      <c r="A307" s="2">
        <v>45323.523865740739</v>
      </c>
      <c r="B307" t="s">
        <v>309</v>
      </c>
      <c r="C307" t="s">
        <v>322</v>
      </c>
      <c r="D307">
        <v>3</v>
      </c>
      <c r="E307" t="s">
        <v>43</v>
      </c>
      <c r="F307" t="s">
        <v>373</v>
      </c>
      <c r="G307">
        <f>(O307/(N307+O307+P307))*100</f>
        <v>41.296928327645048</v>
      </c>
      <c r="H307">
        <f>(P307/(O307+P307+N307))*100</f>
        <v>0</v>
      </c>
      <c r="I307">
        <f>((O307+P307)/(P307+O307+N307))*100</f>
        <v>41.296928327645048</v>
      </c>
      <c r="J307">
        <f>(N307/(P307+O307+N307))*100</f>
        <v>58.703071672354945</v>
      </c>
      <c r="K307">
        <v>0.8</v>
      </c>
      <c r="L307">
        <v>0.3</v>
      </c>
      <c r="M307">
        <v>0.7</v>
      </c>
      <c r="N307">
        <v>344</v>
      </c>
      <c r="O307">
        <v>242</v>
      </c>
      <c r="P307">
        <v>0</v>
      </c>
      <c r="Q307">
        <v>41.3</v>
      </c>
      <c r="R307" t="s">
        <v>331</v>
      </c>
      <c r="S307">
        <v>2.92</v>
      </c>
      <c r="T307">
        <v>3.42</v>
      </c>
      <c r="U307">
        <v>127</v>
      </c>
    </row>
    <row r="308" spans="1:21" x14ac:dyDescent="0.25">
      <c r="A308" s="2">
        <v>45323.525208333333</v>
      </c>
      <c r="B308" t="s">
        <v>309</v>
      </c>
      <c r="C308" t="s">
        <v>322</v>
      </c>
      <c r="D308">
        <v>3</v>
      </c>
      <c r="E308" t="s">
        <v>43</v>
      </c>
      <c r="F308" t="s">
        <v>373</v>
      </c>
      <c r="G308">
        <f>(O308/(N308+O308+P308))*100</f>
        <v>43.882544861337685</v>
      </c>
      <c r="H308">
        <f>(P308/(O308+P308+N308))*100</f>
        <v>0</v>
      </c>
      <c r="I308">
        <f>((O308+P308)/(P308+O308+N308))*100</f>
        <v>43.882544861337685</v>
      </c>
      <c r="J308">
        <f>(N308/(P308+O308+N308))*100</f>
        <v>56.117455138662322</v>
      </c>
      <c r="K308">
        <v>0.7</v>
      </c>
      <c r="L308">
        <v>0.3</v>
      </c>
      <c r="M308">
        <v>0.7</v>
      </c>
      <c r="N308">
        <v>344</v>
      </c>
      <c r="O308">
        <v>269</v>
      </c>
      <c r="P308">
        <v>0</v>
      </c>
      <c r="Q308">
        <v>43.88</v>
      </c>
      <c r="R308" t="s">
        <v>361</v>
      </c>
      <c r="S308">
        <v>2.92</v>
      </c>
      <c r="T308">
        <v>3.42</v>
      </c>
      <c r="U308">
        <v>100</v>
      </c>
    </row>
    <row r="309" spans="1:21" x14ac:dyDescent="0.25">
      <c r="A309" s="2">
        <v>45325.104120370372</v>
      </c>
      <c r="B309" t="s">
        <v>309</v>
      </c>
      <c r="C309" t="s">
        <v>368</v>
      </c>
      <c r="D309">
        <v>2</v>
      </c>
      <c r="E309" t="s">
        <v>43</v>
      </c>
      <c r="F309" t="s">
        <v>373</v>
      </c>
      <c r="G309">
        <f>(O309/(N309+O309+P309))*100</f>
        <v>12.218045112781954</v>
      </c>
      <c r="H309">
        <f>(P309/(O309+P309+N309))*100</f>
        <v>0</v>
      </c>
      <c r="I309">
        <v>12.22</v>
      </c>
      <c r="J309">
        <f>(N309/(P309+O309+N309))*100</f>
        <v>87.781954887218049</v>
      </c>
      <c r="K309">
        <v>0.8</v>
      </c>
      <c r="L309">
        <v>0.3</v>
      </c>
      <c r="M309">
        <v>0.7</v>
      </c>
      <c r="N309">
        <v>467</v>
      </c>
      <c r="O309">
        <v>65</v>
      </c>
      <c r="P309">
        <v>0</v>
      </c>
      <c r="Q309">
        <v>12.22</v>
      </c>
      <c r="R309" t="s">
        <v>265</v>
      </c>
      <c r="S309">
        <v>0.57999999999999996</v>
      </c>
      <c r="T309">
        <v>0.61</v>
      </c>
    </row>
    <row r="310" spans="1:21" x14ac:dyDescent="0.25">
      <c r="A310" t="s">
        <v>19</v>
      </c>
      <c r="B310" t="s">
        <v>20</v>
      </c>
      <c r="C310" t="s">
        <v>306</v>
      </c>
      <c r="D310">
        <v>3</v>
      </c>
      <c r="E310" t="s">
        <v>44</v>
      </c>
      <c r="F310" t="s">
        <v>373</v>
      </c>
      <c r="G310">
        <v>7</v>
      </c>
      <c r="H310">
        <v>0</v>
      </c>
      <c r="I310">
        <f>G310+H310</f>
        <v>7</v>
      </c>
      <c r="J310">
        <f>100-G310-H310</f>
        <v>93</v>
      </c>
      <c r="K310" t="s">
        <v>19</v>
      </c>
      <c r="L310" t="s">
        <v>19</v>
      </c>
      <c r="M310" t="s">
        <v>19</v>
      </c>
      <c r="N310" t="s">
        <v>19</v>
      </c>
      <c r="O310" t="s">
        <v>19</v>
      </c>
      <c r="P310" t="s">
        <v>19</v>
      </c>
      <c r="Q310">
        <f>I310</f>
        <v>7</v>
      </c>
      <c r="R310" t="s">
        <v>19</v>
      </c>
      <c r="S310" t="s">
        <v>19</v>
      </c>
      <c r="T310" t="s">
        <v>19</v>
      </c>
    </row>
    <row r="311" spans="1:21" x14ac:dyDescent="0.25">
      <c r="A311" t="s">
        <v>19</v>
      </c>
      <c r="B311" t="s">
        <v>20</v>
      </c>
      <c r="C311" t="s">
        <v>308</v>
      </c>
      <c r="D311">
        <v>3</v>
      </c>
      <c r="E311" t="s">
        <v>44</v>
      </c>
      <c r="F311" t="s">
        <v>373</v>
      </c>
      <c r="G311">
        <v>10</v>
      </c>
      <c r="H311">
        <v>0</v>
      </c>
      <c r="I311">
        <f>G311+H311</f>
        <v>10</v>
      </c>
      <c r="J311">
        <f>100-G311-H311</f>
        <v>90</v>
      </c>
      <c r="K311" t="s">
        <v>19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  <c r="Q311">
        <f>I311</f>
        <v>10</v>
      </c>
      <c r="R311" t="s">
        <v>19</v>
      </c>
      <c r="S311" t="s">
        <v>19</v>
      </c>
      <c r="T311" t="s">
        <v>19</v>
      </c>
    </row>
    <row r="312" spans="1:21" x14ac:dyDescent="0.25">
      <c r="A312" t="s">
        <v>19</v>
      </c>
      <c r="B312" t="s">
        <v>20</v>
      </c>
      <c r="C312" t="s">
        <v>22</v>
      </c>
      <c r="D312">
        <v>3</v>
      </c>
      <c r="E312" t="s">
        <v>44</v>
      </c>
      <c r="F312" t="s">
        <v>373</v>
      </c>
      <c r="G312">
        <v>25</v>
      </c>
      <c r="H312">
        <v>0</v>
      </c>
      <c r="I312">
        <f>G312+H312</f>
        <v>25</v>
      </c>
      <c r="J312">
        <f>100-G312-H312</f>
        <v>75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>
        <f>I312</f>
        <v>25</v>
      </c>
      <c r="R312" t="s">
        <v>19</v>
      </c>
      <c r="S312" t="s">
        <v>19</v>
      </c>
      <c r="T312" t="s">
        <v>19</v>
      </c>
    </row>
    <row r="313" spans="1:21" x14ac:dyDescent="0.25">
      <c r="A313" t="s">
        <v>19</v>
      </c>
      <c r="B313" t="s">
        <v>20</v>
      </c>
      <c r="C313" t="s">
        <v>305</v>
      </c>
      <c r="D313">
        <v>3</v>
      </c>
      <c r="E313" t="s">
        <v>44</v>
      </c>
      <c r="F313" t="s">
        <v>373</v>
      </c>
      <c r="G313">
        <v>20</v>
      </c>
      <c r="H313">
        <v>0</v>
      </c>
      <c r="I313">
        <f>G313+H313</f>
        <v>20</v>
      </c>
      <c r="J313">
        <f>100-G313-H313</f>
        <v>80</v>
      </c>
      <c r="K313" t="s">
        <v>19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  <c r="Q313">
        <f>I313</f>
        <v>20</v>
      </c>
      <c r="R313" t="s">
        <v>19</v>
      </c>
      <c r="S313" t="s">
        <v>19</v>
      </c>
      <c r="T313" t="s">
        <v>19</v>
      </c>
    </row>
    <row r="314" spans="1:21" x14ac:dyDescent="0.25">
      <c r="A314" t="s">
        <v>19</v>
      </c>
      <c r="B314" t="s">
        <v>20</v>
      </c>
      <c r="C314" t="s">
        <v>307</v>
      </c>
      <c r="D314">
        <v>3</v>
      </c>
      <c r="E314" t="s">
        <v>44</v>
      </c>
      <c r="F314" t="s">
        <v>373</v>
      </c>
      <c r="G314">
        <v>4</v>
      </c>
      <c r="H314">
        <v>0</v>
      </c>
      <c r="I314">
        <f>G314+H314</f>
        <v>4</v>
      </c>
      <c r="J314">
        <f>100-G314-H314</f>
        <v>96</v>
      </c>
      <c r="K314" t="s">
        <v>19</v>
      </c>
      <c r="L314" t="s">
        <v>19</v>
      </c>
      <c r="M314" t="s">
        <v>19</v>
      </c>
      <c r="N314" t="s">
        <v>19</v>
      </c>
      <c r="O314" t="s">
        <v>19</v>
      </c>
      <c r="P314" t="s">
        <v>19</v>
      </c>
      <c r="Q314">
        <f>I314</f>
        <v>4</v>
      </c>
      <c r="R314" t="s">
        <v>19</v>
      </c>
      <c r="S314" t="s">
        <v>19</v>
      </c>
      <c r="T314" t="s">
        <v>19</v>
      </c>
    </row>
    <row r="315" spans="1:21" x14ac:dyDescent="0.25">
      <c r="A315" s="2">
        <v>45253.686111111114</v>
      </c>
      <c r="B315" t="s">
        <v>309</v>
      </c>
      <c r="C315" t="s">
        <v>213</v>
      </c>
      <c r="D315">
        <v>3</v>
      </c>
      <c r="E315" t="s">
        <v>44</v>
      </c>
      <c r="F315" t="s">
        <v>373</v>
      </c>
      <c r="G315">
        <v>6.7272727269999999</v>
      </c>
      <c r="H315">
        <v>1.818181818</v>
      </c>
      <c r="I315">
        <v>8.5454545450000001</v>
      </c>
      <c r="J315">
        <v>91.454545449999998</v>
      </c>
      <c r="K315">
        <v>0.8</v>
      </c>
      <c r="L315">
        <v>0.2</v>
      </c>
      <c r="M315">
        <v>0.7</v>
      </c>
      <c r="N315">
        <v>503</v>
      </c>
      <c r="O315">
        <v>37</v>
      </c>
      <c r="P315">
        <v>10</v>
      </c>
      <c r="Q315">
        <v>8.5500000000000007</v>
      </c>
      <c r="R315" t="s">
        <v>240</v>
      </c>
      <c r="S315">
        <v>2.73</v>
      </c>
      <c r="T315">
        <v>3.01</v>
      </c>
    </row>
    <row r="316" spans="1:21" x14ac:dyDescent="0.25">
      <c r="A316" s="2">
        <v>45253.911111111112</v>
      </c>
      <c r="B316" t="s">
        <v>309</v>
      </c>
      <c r="C316" t="s">
        <v>215</v>
      </c>
      <c r="D316">
        <v>2</v>
      </c>
      <c r="E316" t="s">
        <v>44</v>
      </c>
      <c r="F316" t="s">
        <v>373</v>
      </c>
      <c r="G316">
        <v>10.015408320000001</v>
      </c>
      <c r="H316">
        <v>0</v>
      </c>
      <c r="I316">
        <v>10.015408320000001</v>
      </c>
      <c r="J316">
        <v>89.984591679999994</v>
      </c>
      <c r="K316">
        <v>0.8</v>
      </c>
      <c r="L316">
        <v>0.2</v>
      </c>
      <c r="M316">
        <v>0.7</v>
      </c>
      <c r="N316">
        <v>584</v>
      </c>
      <c r="O316">
        <v>65</v>
      </c>
      <c r="P316">
        <v>0</v>
      </c>
      <c r="Q316">
        <v>10.02</v>
      </c>
      <c r="R316" t="s">
        <v>216</v>
      </c>
      <c r="S316">
        <v>0.28000000000000003</v>
      </c>
      <c r="T316">
        <v>0.3</v>
      </c>
    </row>
    <row r="317" spans="1:21" x14ac:dyDescent="0.25">
      <c r="A317" s="2">
        <v>45254.084027777775</v>
      </c>
      <c r="B317" t="s">
        <v>309</v>
      </c>
      <c r="C317" t="s">
        <v>217</v>
      </c>
      <c r="D317">
        <v>2</v>
      </c>
      <c r="E317" t="s">
        <v>44</v>
      </c>
      <c r="F317" t="s">
        <v>373</v>
      </c>
      <c r="G317">
        <v>14.35406699</v>
      </c>
      <c r="H317">
        <v>0</v>
      </c>
      <c r="I317">
        <v>14.35406699</v>
      </c>
      <c r="J317">
        <v>85.645933009999993</v>
      </c>
      <c r="K317">
        <v>0.8</v>
      </c>
      <c r="L317">
        <v>0.2</v>
      </c>
      <c r="M317">
        <v>0.7</v>
      </c>
      <c r="N317">
        <v>537</v>
      </c>
      <c r="O317">
        <v>90</v>
      </c>
      <c r="P317">
        <v>0</v>
      </c>
      <c r="Q317">
        <v>14.35</v>
      </c>
      <c r="R317" t="s">
        <v>218</v>
      </c>
      <c r="S317">
        <v>0.39</v>
      </c>
      <c r="T317">
        <v>0.41</v>
      </c>
    </row>
    <row r="318" spans="1:21" x14ac:dyDescent="0.25">
      <c r="A318" s="2">
        <v>45316.421527777777</v>
      </c>
      <c r="B318" t="s">
        <v>309</v>
      </c>
      <c r="C318" t="s">
        <v>219</v>
      </c>
      <c r="D318">
        <v>3</v>
      </c>
      <c r="E318" t="s">
        <v>44</v>
      </c>
      <c r="F318" t="s">
        <v>373</v>
      </c>
      <c r="G318">
        <v>6.4599483199999996</v>
      </c>
      <c r="H318">
        <v>2.5839793279999999</v>
      </c>
      <c r="I318">
        <v>9.0439276490000005</v>
      </c>
      <c r="J318">
        <v>90.956072349999999</v>
      </c>
      <c r="K318">
        <v>0.8</v>
      </c>
      <c r="L318">
        <v>0.2</v>
      </c>
      <c r="M318">
        <v>0.7</v>
      </c>
      <c r="N318">
        <v>352</v>
      </c>
      <c r="O318">
        <v>25</v>
      </c>
      <c r="P318">
        <v>10</v>
      </c>
      <c r="Q318">
        <v>9.0399999999999991</v>
      </c>
      <c r="R318" t="s">
        <v>225</v>
      </c>
      <c r="S318">
        <v>3.14</v>
      </c>
      <c r="T318">
        <v>3.95</v>
      </c>
    </row>
    <row r="319" spans="1:21" x14ac:dyDescent="0.25">
      <c r="A319" s="2">
        <v>45320.941666666666</v>
      </c>
      <c r="B319" t="s">
        <v>309</v>
      </c>
      <c r="C319" t="s">
        <v>221</v>
      </c>
      <c r="D319">
        <v>2</v>
      </c>
      <c r="E319" t="s">
        <v>44</v>
      </c>
      <c r="F319" t="s">
        <v>373</v>
      </c>
      <c r="G319">
        <v>13.10116086</v>
      </c>
      <c r="H319">
        <v>0</v>
      </c>
      <c r="I319">
        <v>13.10116086</v>
      </c>
      <c r="J319">
        <v>86.898839140000007</v>
      </c>
      <c r="K319">
        <v>0.8</v>
      </c>
      <c r="L319">
        <v>0.3</v>
      </c>
      <c r="M319">
        <v>0.7</v>
      </c>
      <c r="N319">
        <v>524</v>
      </c>
      <c r="O319">
        <v>79</v>
      </c>
      <c r="P319">
        <v>0</v>
      </c>
      <c r="Q319">
        <v>13.1</v>
      </c>
      <c r="R319" t="s">
        <v>235</v>
      </c>
      <c r="S319">
        <v>0.37</v>
      </c>
      <c r="T319">
        <v>0.4</v>
      </c>
    </row>
    <row r="320" spans="1:21" x14ac:dyDescent="0.25">
      <c r="A320" t="s">
        <v>19</v>
      </c>
      <c r="B320" t="s">
        <v>20</v>
      </c>
      <c r="C320" t="s">
        <v>320</v>
      </c>
      <c r="D320">
        <v>3</v>
      </c>
      <c r="E320" t="s">
        <v>44</v>
      </c>
      <c r="F320" t="s">
        <v>373</v>
      </c>
      <c r="G320">
        <v>15</v>
      </c>
      <c r="H320">
        <v>0</v>
      </c>
      <c r="I320">
        <f>100-J320</f>
        <v>15</v>
      </c>
      <c r="J320">
        <f>100-G320-H320</f>
        <v>85</v>
      </c>
      <c r="K320" t="s">
        <v>19</v>
      </c>
      <c r="L320" t="s">
        <v>19</v>
      </c>
      <c r="M320" t="s">
        <v>19</v>
      </c>
      <c r="N320" t="s">
        <v>19</v>
      </c>
      <c r="O320" t="s">
        <v>19</v>
      </c>
      <c r="P320" t="s">
        <v>19</v>
      </c>
      <c r="Q320">
        <f>I320</f>
        <v>15</v>
      </c>
      <c r="R320" t="s">
        <v>19</v>
      </c>
      <c r="S320" t="s">
        <v>19</v>
      </c>
      <c r="T320" t="s">
        <v>19</v>
      </c>
    </row>
    <row r="321" spans="1:21" x14ac:dyDescent="0.25">
      <c r="A321" s="2">
        <v>45323.525775462964</v>
      </c>
      <c r="B321" t="s">
        <v>309</v>
      </c>
      <c r="C321" t="s">
        <v>322</v>
      </c>
      <c r="D321">
        <v>3</v>
      </c>
      <c r="E321" t="s">
        <v>44</v>
      </c>
      <c r="F321" t="s">
        <v>373</v>
      </c>
      <c r="G321">
        <f>(O321/(N321+O321+P321))*100</f>
        <v>13.805309734513274</v>
      </c>
      <c r="H321">
        <f>(P321/(O321+P321+N321))*100</f>
        <v>0</v>
      </c>
      <c r="I321">
        <f>((O321+P321)/(P321+O321+N321))*100</f>
        <v>13.805309734513274</v>
      </c>
      <c r="J321">
        <f>(N321/(P321+O321+N321))*100</f>
        <v>86.194690265486727</v>
      </c>
      <c r="K321">
        <v>0.8</v>
      </c>
      <c r="L321">
        <v>0.3</v>
      </c>
      <c r="M321">
        <v>0.7</v>
      </c>
      <c r="N321">
        <v>487</v>
      </c>
      <c r="O321">
        <v>78</v>
      </c>
      <c r="P321">
        <v>0</v>
      </c>
      <c r="Q321">
        <v>13.81</v>
      </c>
      <c r="R321" t="s">
        <v>332</v>
      </c>
      <c r="S321">
        <v>2.65</v>
      </c>
      <c r="T321">
        <v>3.12</v>
      </c>
      <c r="U321">
        <v>75</v>
      </c>
    </row>
    <row r="322" spans="1:21" x14ac:dyDescent="0.25">
      <c r="A322" s="2">
        <v>45323.52716435185</v>
      </c>
      <c r="B322" t="s">
        <v>309</v>
      </c>
      <c r="C322" t="s">
        <v>322</v>
      </c>
      <c r="D322">
        <v>3</v>
      </c>
      <c r="E322" t="s">
        <v>44</v>
      </c>
      <c r="F322" t="s">
        <v>373</v>
      </c>
      <c r="G322">
        <f>(O322/(N322+O322+P322))*100</f>
        <v>15.304347826086955</v>
      </c>
      <c r="H322">
        <f>(P322/(O322+P322+N322))*100</f>
        <v>0.17391304347826086</v>
      </c>
      <c r="I322">
        <f>((O322+P322)/(P322+O322+N322))*100</f>
        <v>15.478260869565217</v>
      </c>
      <c r="J322">
        <f>(N322/(P322+O322+N322))*100</f>
        <v>84.521739130434781</v>
      </c>
      <c r="K322">
        <v>0.7</v>
      </c>
      <c r="L322">
        <v>0.3</v>
      </c>
      <c r="M322">
        <v>0.7</v>
      </c>
      <c r="N322">
        <v>486</v>
      </c>
      <c r="O322">
        <v>88</v>
      </c>
      <c r="P322">
        <v>1</v>
      </c>
      <c r="Q322">
        <v>15.48</v>
      </c>
      <c r="R322" t="s">
        <v>337</v>
      </c>
      <c r="S322">
        <v>2.65</v>
      </c>
      <c r="T322">
        <v>3.12</v>
      </c>
      <c r="U322">
        <v>65</v>
      </c>
    </row>
    <row r="323" spans="1:21" x14ac:dyDescent="0.25">
      <c r="A323" s="2">
        <v>45325.105590277781</v>
      </c>
      <c r="B323" t="s">
        <v>309</v>
      </c>
      <c r="C323" t="s">
        <v>368</v>
      </c>
      <c r="D323">
        <v>2</v>
      </c>
      <c r="E323" t="s">
        <v>44</v>
      </c>
      <c r="F323" t="s">
        <v>373</v>
      </c>
      <c r="G323">
        <f>(O323/(N323+O323+P323))*100</f>
        <v>14.745762711864408</v>
      </c>
      <c r="H323">
        <f>(P323/(O323+P323+N323))*100</f>
        <v>0</v>
      </c>
      <c r="I323">
        <v>14.75</v>
      </c>
      <c r="J323">
        <f>(N323/(P323+O323+N323))*100</f>
        <v>85.254237288135599</v>
      </c>
      <c r="K323">
        <v>0.8</v>
      </c>
      <c r="L323">
        <v>0.3</v>
      </c>
      <c r="M323">
        <v>0.7</v>
      </c>
      <c r="N323">
        <v>503</v>
      </c>
      <c r="O323">
        <v>87</v>
      </c>
      <c r="P323">
        <v>0</v>
      </c>
      <c r="Q323">
        <v>14.75</v>
      </c>
      <c r="R323" t="s">
        <v>285</v>
      </c>
      <c r="S323">
        <v>0.39</v>
      </c>
      <c r="T323">
        <v>0.42</v>
      </c>
    </row>
    <row r="324" spans="1:21" x14ac:dyDescent="0.25">
      <c r="A324" t="s">
        <v>19</v>
      </c>
      <c r="B324" t="s">
        <v>20</v>
      </c>
      <c r="C324" t="s">
        <v>306</v>
      </c>
      <c r="D324">
        <v>3</v>
      </c>
      <c r="E324" t="s">
        <v>45</v>
      </c>
      <c r="F324" t="s">
        <v>373</v>
      </c>
      <c r="G324">
        <v>4</v>
      </c>
      <c r="H324">
        <v>0</v>
      </c>
      <c r="I324">
        <f>G324+H324</f>
        <v>4</v>
      </c>
      <c r="J324">
        <f>100-G324-H324</f>
        <v>96</v>
      </c>
      <c r="K324" t="s">
        <v>19</v>
      </c>
      <c r="L324" t="s">
        <v>19</v>
      </c>
      <c r="M324" t="s">
        <v>19</v>
      </c>
      <c r="N324" t="s">
        <v>19</v>
      </c>
      <c r="O324" t="s">
        <v>19</v>
      </c>
      <c r="P324" t="s">
        <v>19</v>
      </c>
      <c r="Q324">
        <f>I324</f>
        <v>4</v>
      </c>
      <c r="R324" t="s">
        <v>19</v>
      </c>
      <c r="S324" t="s">
        <v>19</v>
      </c>
      <c r="T324" t="s">
        <v>19</v>
      </c>
    </row>
    <row r="325" spans="1:21" x14ac:dyDescent="0.25">
      <c r="A325" t="s">
        <v>19</v>
      </c>
      <c r="B325" t="s">
        <v>20</v>
      </c>
      <c r="C325" t="s">
        <v>308</v>
      </c>
      <c r="D325">
        <v>3</v>
      </c>
      <c r="E325" t="s">
        <v>45</v>
      </c>
      <c r="F325" t="s">
        <v>373</v>
      </c>
      <c r="G325">
        <v>1</v>
      </c>
      <c r="H325">
        <v>0</v>
      </c>
      <c r="I325">
        <f>G325+H325</f>
        <v>1</v>
      </c>
      <c r="J325">
        <f>100-G325-H325</f>
        <v>99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>
        <f>I325</f>
        <v>1</v>
      </c>
      <c r="R325" t="s">
        <v>19</v>
      </c>
      <c r="S325" t="s">
        <v>19</v>
      </c>
      <c r="T325" t="s">
        <v>19</v>
      </c>
    </row>
    <row r="326" spans="1:21" x14ac:dyDescent="0.25">
      <c r="A326" t="s">
        <v>19</v>
      </c>
      <c r="B326" t="s">
        <v>20</v>
      </c>
      <c r="C326" t="s">
        <v>22</v>
      </c>
      <c r="D326">
        <v>3</v>
      </c>
      <c r="E326" t="s">
        <v>45</v>
      </c>
      <c r="F326" t="s">
        <v>373</v>
      </c>
      <c r="G326">
        <v>5</v>
      </c>
      <c r="H326">
        <v>0</v>
      </c>
      <c r="I326">
        <f>G326+H326</f>
        <v>5</v>
      </c>
      <c r="J326">
        <f>100-G326-H326</f>
        <v>95</v>
      </c>
      <c r="K326" t="s">
        <v>19</v>
      </c>
      <c r="L326" t="s">
        <v>19</v>
      </c>
      <c r="M326" t="s">
        <v>19</v>
      </c>
      <c r="N326" t="s">
        <v>19</v>
      </c>
      <c r="O326" t="s">
        <v>19</v>
      </c>
      <c r="P326" t="s">
        <v>19</v>
      </c>
      <c r="Q326">
        <f>I326</f>
        <v>5</v>
      </c>
      <c r="R326" t="s">
        <v>19</v>
      </c>
      <c r="S326" t="s">
        <v>19</v>
      </c>
      <c r="T326" t="s">
        <v>19</v>
      </c>
    </row>
    <row r="327" spans="1:21" x14ac:dyDescent="0.25">
      <c r="A327" t="s">
        <v>19</v>
      </c>
      <c r="B327" t="s">
        <v>20</v>
      </c>
      <c r="C327" t="s">
        <v>305</v>
      </c>
      <c r="D327">
        <v>3</v>
      </c>
      <c r="E327" t="s">
        <v>45</v>
      </c>
      <c r="F327" t="s">
        <v>373</v>
      </c>
      <c r="G327">
        <v>2</v>
      </c>
      <c r="H327">
        <v>0</v>
      </c>
      <c r="I327">
        <f>G327+H327</f>
        <v>2</v>
      </c>
      <c r="J327">
        <f>100-G327-H327</f>
        <v>98</v>
      </c>
      <c r="K327" t="s">
        <v>19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  <c r="Q327">
        <f>I327</f>
        <v>2</v>
      </c>
      <c r="R327" t="s">
        <v>19</v>
      </c>
      <c r="S327" t="s">
        <v>19</v>
      </c>
      <c r="T327" t="s">
        <v>19</v>
      </c>
    </row>
    <row r="328" spans="1:21" x14ac:dyDescent="0.25">
      <c r="A328" t="s">
        <v>19</v>
      </c>
      <c r="B328" t="s">
        <v>20</v>
      </c>
      <c r="C328" t="s">
        <v>307</v>
      </c>
      <c r="D328">
        <v>3</v>
      </c>
      <c r="E328" t="s">
        <v>45</v>
      </c>
      <c r="F328" t="s">
        <v>373</v>
      </c>
      <c r="G328">
        <v>1</v>
      </c>
      <c r="H328">
        <v>0</v>
      </c>
      <c r="I328">
        <f>G328+H328</f>
        <v>1</v>
      </c>
      <c r="J328">
        <f>100-G328-H328</f>
        <v>99</v>
      </c>
      <c r="K328" t="s">
        <v>19</v>
      </c>
      <c r="L328" t="s">
        <v>19</v>
      </c>
      <c r="M328" t="s">
        <v>19</v>
      </c>
      <c r="N328" t="s">
        <v>19</v>
      </c>
      <c r="O328" t="s">
        <v>19</v>
      </c>
      <c r="P328" t="s">
        <v>19</v>
      </c>
      <c r="Q328">
        <f>I328</f>
        <v>1</v>
      </c>
      <c r="R328" t="s">
        <v>19</v>
      </c>
      <c r="S328" t="s">
        <v>19</v>
      </c>
      <c r="T328" t="s">
        <v>19</v>
      </c>
    </row>
    <row r="329" spans="1:21" x14ac:dyDescent="0.25">
      <c r="A329" s="2">
        <v>45253.6875</v>
      </c>
      <c r="B329" t="s">
        <v>309</v>
      </c>
      <c r="C329" t="s">
        <v>213</v>
      </c>
      <c r="D329">
        <v>3</v>
      </c>
      <c r="E329" t="s">
        <v>45</v>
      </c>
      <c r="F329" t="s">
        <v>373</v>
      </c>
      <c r="G329">
        <v>6.25</v>
      </c>
      <c r="H329">
        <v>0</v>
      </c>
      <c r="I329">
        <v>6.25</v>
      </c>
      <c r="J329">
        <v>93.75</v>
      </c>
      <c r="K329">
        <v>0.8</v>
      </c>
      <c r="L329">
        <v>0.2</v>
      </c>
      <c r="M329">
        <v>0.7</v>
      </c>
      <c r="N329">
        <v>480</v>
      </c>
      <c r="O329">
        <v>32</v>
      </c>
      <c r="P329">
        <v>0</v>
      </c>
      <c r="Q329">
        <v>6.25</v>
      </c>
      <c r="R329" t="s">
        <v>256</v>
      </c>
      <c r="S329">
        <v>2.69</v>
      </c>
      <c r="T329">
        <v>3.13</v>
      </c>
    </row>
    <row r="330" spans="1:21" x14ac:dyDescent="0.25">
      <c r="A330" s="2">
        <v>45253.912499999999</v>
      </c>
      <c r="B330" t="s">
        <v>309</v>
      </c>
      <c r="C330" t="s">
        <v>215</v>
      </c>
      <c r="D330">
        <v>2</v>
      </c>
      <c r="E330" t="s">
        <v>45</v>
      </c>
      <c r="F330" t="s">
        <v>373</v>
      </c>
      <c r="G330">
        <v>3.2040472179999999</v>
      </c>
      <c r="H330">
        <v>0</v>
      </c>
      <c r="I330">
        <v>3.2040472179999999</v>
      </c>
      <c r="J330">
        <v>96.795952779999993</v>
      </c>
      <c r="K330">
        <v>0.8</v>
      </c>
      <c r="L330">
        <v>0.2</v>
      </c>
      <c r="M330">
        <v>0.7</v>
      </c>
      <c r="N330">
        <v>574</v>
      </c>
      <c r="O330">
        <v>19</v>
      </c>
      <c r="P330">
        <v>0</v>
      </c>
      <c r="Q330">
        <v>3.2</v>
      </c>
      <c r="R330" t="s">
        <v>257</v>
      </c>
      <c r="S330">
        <v>0.13</v>
      </c>
      <c r="T330">
        <v>0.14000000000000001</v>
      </c>
    </row>
    <row r="331" spans="1:21" x14ac:dyDescent="0.25">
      <c r="A331" s="2">
        <v>45254.085416666669</v>
      </c>
      <c r="B331" t="s">
        <v>309</v>
      </c>
      <c r="C331" t="s">
        <v>217</v>
      </c>
      <c r="D331">
        <v>2</v>
      </c>
      <c r="E331" t="s">
        <v>45</v>
      </c>
      <c r="F331" t="s">
        <v>373</v>
      </c>
      <c r="G331">
        <v>5.0347222220000001</v>
      </c>
      <c r="H331">
        <v>0</v>
      </c>
      <c r="I331">
        <v>5.0347222220000001</v>
      </c>
      <c r="J331">
        <v>94.965277779999994</v>
      </c>
      <c r="K331">
        <v>0.8</v>
      </c>
      <c r="L331">
        <v>0.2</v>
      </c>
      <c r="M331">
        <v>0.7</v>
      </c>
      <c r="N331">
        <v>547</v>
      </c>
      <c r="O331">
        <v>29</v>
      </c>
      <c r="P331">
        <v>0</v>
      </c>
      <c r="Q331">
        <v>5.03</v>
      </c>
      <c r="R331" t="s">
        <v>227</v>
      </c>
      <c r="S331">
        <v>0.17</v>
      </c>
      <c r="T331">
        <v>0.18</v>
      </c>
    </row>
    <row r="332" spans="1:21" x14ac:dyDescent="0.25">
      <c r="A332" s="2">
        <v>45316.422222222223</v>
      </c>
      <c r="B332" t="s">
        <v>309</v>
      </c>
      <c r="C332" t="s">
        <v>219</v>
      </c>
      <c r="D332">
        <v>3</v>
      </c>
      <c r="E332" t="s">
        <v>45</v>
      </c>
      <c r="F332" t="s">
        <v>373</v>
      </c>
      <c r="G332">
        <v>6.0674157299999996</v>
      </c>
      <c r="H332">
        <v>0</v>
      </c>
      <c r="I332">
        <v>6.0674157299999996</v>
      </c>
      <c r="J332">
        <v>93.932584270000007</v>
      </c>
      <c r="K332">
        <v>0.8</v>
      </c>
      <c r="L332">
        <v>0.2</v>
      </c>
      <c r="M332">
        <v>0.7</v>
      </c>
      <c r="N332">
        <v>418</v>
      </c>
      <c r="O332">
        <v>27</v>
      </c>
      <c r="P332">
        <v>0</v>
      </c>
      <c r="Q332">
        <v>6.07</v>
      </c>
      <c r="R332" t="s">
        <v>243</v>
      </c>
      <c r="S332">
        <v>3.02</v>
      </c>
      <c r="T332">
        <v>3.76</v>
      </c>
    </row>
    <row r="333" spans="1:21" x14ac:dyDescent="0.25">
      <c r="A333" s="2">
        <v>45320.942361111112</v>
      </c>
      <c r="B333" t="s">
        <v>309</v>
      </c>
      <c r="C333" t="s">
        <v>221</v>
      </c>
      <c r="D333">
        <v>2</v>
      </c>
      <c r="E333" t="s">
        <v>45</v>
      </c>
      <c r="F333" t="s">
        <v>373</v>
      </c>
      <c r="G333">
        <v>4.1322314049999997</v>
      </c>
      <c r="H333">
        <v>0</v>
      </c>
      <c r="I333">
        <v>4.1322314049999997</v>
      </c>
      <c r="J333">
        <v>95.867768600000005</v>
      </c>
      <c r="K333">
        <v>0.8</v>
      </c>
      <c r="L333">
        <v>0.3</v>
      </c>
      <c r="M333">
        <v>0.7</v>
      </c>
      <c r="N333">
        <v>580</v>
      </c>
      <c r="O333">
        <v>25</v>
      </c>
      <c r="P333">
        <v>0</v>
      </c>
      <c r="Q333">
        <v>4.13</v>
      </c>
      <c r="R333" t="s">
        <v>222</v>
      </c>
      <c r="S333">
        <v>0.14000000000000001</v>
      </c>
      <c r="T333">
        <v>0.15</v>
      </c>
    </row>
    <row r="334" spans="1:21" x14ac:dyDescent="0.25">
      <c r="A334" t="s">
        <v>19</v>
      </c>
      <c r="B334" t="s">
        <v>20</v>
      </c>
      <c r="C334" t="s">
        <v>320</v>
      </c>
      <c r="D334">
        <v>3</v>
      </c>
      <c r="E334" t="s">
        <v>45</v>
      </c>
      <c r="F334" t="s">
        <v>373</v>
      </c>
      <c r="G334">
        <v>0</v>
      </c>
      <c r="H334">
        <v>0</v>
      </c>
      <c r="I334">
        <f>100-J334</f>
        <v>0</v>
      </c>
      <c r="J334">
        <f>100-G334-H334</f>
        <v>100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>
        <f>I334</f>
        <v>0</v>
      </c>
      <c r="R334" t="s">
        <v>19</v>
      </c>
      <c r="S334" t="s">
        <v>19</v>
      </c>
      <c r="T334" t="s">
        <v>19</v>
      </c>
    </row>
    <row r="335" spans="1:21" x14ac:dyDescent="0.25">
      <c r="A335" s="2">
        <v>45323.52747685185</v>
      </c>
      <c r="B335" t="s">
        <v>309</v>
      </c>
      <c r="C335" t="s">
        <v>322</v>
      </c>
      <c r="D335">
        <v>3</v>
      </c>
      <c r="E335" t="s">
        <v>45</v>
      </c>
      <c r="F335" t="s">
        <v>373</v>
      </c>
      <c r="G335">
        <f>(O335/(N335+O335+P335))*100</f>
        <v>4.2881646655231558</v>
      </c>
      <c r="H335">
        <f>(P335/(O335+P335+N335))*100</f>
        <v>0</v>
      </c>
      <c r="I335">
        <f>((O335+P335)/(P335+O335+N335))*100</f>
        <v>4.2881646655231558</v>
      </c>
      <c r="J335">
        <f>(N335/(P335+O335+N335))*100</f>
        <v>95.711835334476845</v>
      </c>
      <c r="K335">
        <v>0.8</v>
      </c>
      <c r="L335">
        <v>0.3</v>
      </c>
      <c r="M335">
        <v>0.7</v>
      </c>
      <c r="N335">
        <v>558</v>
      </c>
      <c r="O335">
        <v>25</v>
      </c>
      <c r="P335">
        <v>0</v>
      </c>
      <c r="Q335">
        <v>4.29</v>
      </c>
      <c r="R335" t="s">
        <v>333</v>
      </c>
      <c r="S335">
        <v>2.64</v>
      </c>
      <c r="T335">
        <v>2.91</v>
      </c>
      <c r="U335">
        <v>56</v>
      </c>
    </row>
    <row r="336" spans="1:21" x14ac:dyDescent="0.25">
      <c r="A336" s="2">
        <v>45323.528912037036</v>
      </c>
      <c r="B336" t="s">
        <v>309</v>
      </c>
      <c r="C336" t="s">
        <v>322</v>
      </c>
      <c r="D336">
        <v>3</v>
      </c>
      <c r="E336" t="s">
        <v>45</v>
      </c>
      <c r="F336" t="s">
        <v>373</v>
      </c>
      <c r="G336">
        <f>(O336/(N336+O336+P336))*100</f>
        <v>5.5837563451776653</v>
      </c>
      <c r="H336">
        <f>(P336/(O336+P336+N336))*100</f>
        <v>0</v>
      </c>
      <c r="I336">
        <f>((O336+P336)/(P336+O336+N336))*100</f>
        <v>5.5837563451776653</v>
      </c>
      <c r="J336">
        <f>(N336/(P336+O336+N336))*100</f>
        <v>94.416243654822338</v>
      </c>
      <c r="K336">
        <v>0.7</v>
      </c>
      <c r="L336">
        <v>0.3</v>
      </c>
      <c r="M336">
        <v>0.7</v>
      </c>
      <c r="N336">
        <v>558</v>
      </c>
      <c r="O336">
        <v>33</v>
      </c>
      <c r="P336">
        <v>0</v>
      </c>
      <c r="Q336">
        <v>5.58</v>
      </c>
      <c r="R336" t="s">
        <v>336</v>
      </c>
      <c r="S336">
        <v>2.64</v>
      </c>
      <c r="T336">
        <v>2.91</v>
      </c>
      <c r="U336">
        <v>48</v>
      </c>
    </row>
    <row r="337" spans="1:21" x14ac:dyDescent="0.25">
      <c r="A337" s="2">
        <v>45325.106944444444</v>
      </c>
      <c r="B337" t="s">
        <v>309</v>
      </c>
      <c r="C337" t="s">
        <v>368</v>
      </c>
      <c r="D337">
        <v>2</v>
      </c>
      <c r="E337" t="s">
        <v>45</v>
      </c>
      <c r="F337" t="s">
        <v>373</v>
      </c>
      <c r="G337">
        <f>(O337/(N337+O337+P337))*100</f>
        <v>1.6638935108153077</v>
      </c>
      <c r="H337">
        <f>(P337/(O337+P337+N337))*100</f>
        <v>0</v>
      </c>
      <c r="I337">
        <v>1.66</v>
      </c>
      <c r="J337">
        <f>(N337/(P337+O337+N337))*100</f>
        <v>98.336106489184687</v>
      </c>
      <c r="K337">
        <v>0.8</v>
      </c>
      <c r="L337">
        <v>0.3</v>
      </c>
      <c r="M337">
        <v>0.7</v>
      </c>
      <c r="N337">
        <v>591</v>
      </c>
      <c r="O337">
        <v>10</v>
      </c>
      <c r="P337">
        <v>0</v>
      </c>
      <c r="Q337">
        <v>1.66</v>
      </c>
      <c r="R337" t="s">
        <v>369</v>
      </c>
      <c r="S337">
        <v>0.1</v>
      </c>
      <c r="T337">
        <v>0.11</v>
      </c>
    </row>
    <row r="338" spans="1:21" x14ac:dyDescent="0.25">
      <c r="A338" t="s">
        <v>19</v>
      </c>
      <c r="B338" t="s">
        <v>20</v>
      </c>
      <c r="C338" t="s">
        <v>308</v>
      </c>
      <c r="D338">
        <v>3</v>
      </c>
      <c r="E338" t="s">
        <v>46</v>
      </c>
      <c r="F338" t="s">
        <v>388</v>
      </c>
      <c r="G338">
        <v>20</v>
      </c>
      <c r="H338">
        <v>65</v>
      </c>
      <c r="I338">
        <f>G338+H338</f>
        <v>85</v>
      </c>
      <c r="J338">
        <f>100-G338-H338</f>
        <v>15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  <c r="Q338">
        <f>I338</f>
        <v>85</v>
      </c>
      <c r="R338" t="s">
        <v>19</v>
      </c>
      <c r="S338" t="s">
        <v>19</v>
      </c>
      <c r="T338" t="s">
        <v>19</v>
      </c>
    </row>
    <row r="339" spans="1:21" x14ac:dyDescent="0.25">
      <c r="A339" t="s">
        <v>19</v>
      </c>
      <c r="B339" t="s">
        <v>20</v>
      </c>
      <c r="C339" t="s">
        <v>22</v>
      </c>
      <c r="D339">
        <v>3</v>
      </c>
      <c r="E339" t="s">
        <v>46</v>
      </c>
      <c r="F339" t="s">
        <v>388</v>
      </c>
      <c r="G339">
        <v>5</v>
      </c>
      <c r="H339">
        <v>70</v>
      </c>
      <c r="I339">
        <f>G339+H339</f>
        <v>75</v>
      </c>
      <c r="J339">
        <f>100-G339-H339</f>
        <v>25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>
        <f>I339</f>
        <v>75</v>
      </c>
      <c r="R339" t="s">
        <v>19</v>
      </c>
      <c r="S339" t="s">
        <v>19</v>
      </c>
      <c r="T339" t="s">
        <v>19</v>
      </c>
    </row>
    <row r="340" spans="1:21" x14ac:dyDescent="0.25">
      <c r="A340" t="s">
        <v>19</v>
      </c>
      <c r="B340" t="s">
        <v>20</v>
      </c>
      <c r="C340" t="s">
        <v>305</v>
      </c>
      <c r="D340">
        <v>3</v>
      </c>
      <c r="E340" t="s">
        <v>46</v>
      </c>
      <c r="F340" t="s">
        <v>388</v>
      </c>
      <c r="G340">
        <v>30</v>
      </c>
      <c r="H340">
        <v>50</v>
      </c>
      <c r="I340">
        <f>G340+H340</f>
        <v>80</v>
      </c>
      <c r="J340">
        <f>100-G340-H340</f>
        <v>20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>
        <f>I340</f>
        <v>80</v>
      </c>
      <c r="R340" t="s">
        <v>19</v>
      </c>
      <c r="S340" t="s">
        <v>19</v>
      </c>
      <c r="T340" t="s">
        <v>19</v>
      </c>
    </row>
    <row r="341" spans="1:21" x14ac:dyDescent="0.25">
      <c r="A341" t="s">
        <v>19</v>
      </c>
      <c r="B341" t="s">
        <v>20</v>
      </c>
      <c r="C341" t="s">
        <v>307</v>
      </c>
      <c r="D341">
        <v>3</v>
      </c>
      <c r="E341" t="s">
        <v>46</v>
      </c>
      <c r="F341" t="s">
        <v>388</v>
      </c>
      <c r="G341">
        <v>10</v>
      </c>
      <c r="H341">
        <v>50</v>
      </c>
      <c r="I341">
        <f>G341+H341</f>
        <v>60</v>
      </c>
      <c r="J341">
        <f>100-G341-H341</f>
        <v>40</v>
      </c>
      <c r="K341" t="s">
        <v>19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  <c r="Q341">
        <f>I341</f>
        <v>60</v>
      </c>
      <c r="R341" t="s">
        <v>19</v>
      </c>
      <c r="S341" t="s">
        <v>19</v>
      </c>
      <c r="T341" t="s">
        <v>19</v>
      </c>
    </row>
    <row r="342" spans="1:21" x14ac:dyDescent="0.25">
      <c r="A342" s="2">
        <v>45253.521527777775</v>
      </c>
      <c r="B342" t="s">
        <v>309</v>
      </c>
      <c r="C342" t="s">
        <v>213</v>
      </c>
      <c r="D342">
        <v>3</v>
      </c>
      <c r="E342" t="s">
        <v>46</v>
      </c>
      <c r="F342" t="s">
        <v>388</v>
      </c>
      <c r="G342">
        <v>2.3696682459999998</v>
      </c>
      <c r="H342">
        <v>70.774091630000001</v>
      </c>
      <c r="I342">
        <v>73.143759869999997</v>
      </c>
      <c r="J342">
        <v>26.85624013</v>
      </c>
      <c r="K342">
        <v>0.8</v>
      </c>
      <c r="L342">
        <v>0.2</v>
      </c>
      <c r="M342">
        <v>0.7</v>
      </c>
      <c r="N342">
        <v>170</v>
      </c>
      <c r="O342">
        <v>15</v>
      </c>
      <c r="P342">
        <v>448</v>
      </c>
      <c r="Q342">
        <v>73.14</v>
      </c>
      <c r="R342" t="s">
        <v>238</v>
      </c>
      <c r="S342">
        <v>2.92</v>
      </c>
      <c r="T342">
        <v>3.68</v>
      </c>
    </row>
    <row r="343" spans="1:21" x14ac:dyDescent="0.25">
      <c r="A343" s="2">
        <v>45253.823611111111</v>
      </c>
      <c r="B343" t="s">
        <v>309</v>
      </c>
      <c r="C343" t="s">
        <v>215</v>
      </c>
      <c r="D343">
        <v>2</v>
      </c>
      <c r="E343" t="s">
        <v>46</v>
      </c>
      <c r="F343" t="s">
        <v>388</v>
      </c>
      <c r="G343">
        <v>19.31818182</v>
      </c>
      <c r="H343">
        <v>0</v>
      </c>
      <c r="I343">
        <v>19.31818182</v>
      </c>
      <c r="J343">
        <v>80.681818179999993</v>
      </c>
      <c r="K343">
        <v>0.8</v>
      </c>
      <c r="L343">
        <v>0.2</v>
      </c>
      <c r="M343">
        <v>0.7</v>
      </c>
      <c r="N343">
        <v>497</v>
      </c>
      <c r="O343">
        <v>119</v>
      </c>
      <c r="P343">
        <v>0</v>
      </c>
      <c r="Q343">
        <v>19.32</v>
      </c>
      <c r="R343" t="s">
        <v>231</v>
      </c>
      <c r="S343">
        <v>0.53</v>
      </c>
      <c r="T343">
        <v>0.56999999999999995</v>
      </c>
    </row>
    <row r="344" spans="1:21" x14ac:dyDescent="0.25">
      <c r="A344" s="2">
        <v>45253.988888888889</v>
      </c>
      <c r="B344" t="s">
        <v>309</v>
      </c>
      <c r="C344" t="s">
        <v>217</v>
      </c>
      <c r="D344">
        <v>2</v>
      </c>
      <c r="E344" t="s">
        <v>46</v>
      </c>
      <c r="F344" t="s">
        <v>388</v>
      </c>
      <c r="G344">
        <v>29.200652529999999</v>
      </c>
      <c r="H344">
        <v>0</v>
      </c>
      <c r="I344">
        <v>29.200652529999999</v>
      </c>
      <c r="J344">
        <v>70.799347470000001</v>
      </c>
      <c r="K344">
        <v>0.8</v>
      </c>
      <c r="L344">
        <v>0.2</v>
      </c>
      <c r="M344">
        <v>0.7</v>
      </c>
      <c r="N344">
        <v>434</v>
      </c>
      <c r="O344">
        <v>179</v>
      </c>
      <c r="P344">
        <v>0</v>
      </c>
      <c r="Q344">
        <v>29.2</v>
      </c>
      <c r="R344" t="s">
        <v>232</v>
      </c>
      <c r="S344">
        <v>0.81</v>
      </c>
      <c r="T344">
        <v>0.88</v>
      </c>
    </row>
    <row r="345" spans="1:21" x14ac:dyDescent="0.25">
      <c r="A345" s="2">
        <v>45316.502083333333</v>
      </c>
      <c r="B345" t="s">
        <v>309</v>
      </c>
      <c r="C345" t="s">
        <v>219</v>
      </c>
      <c r="D345">
        <v>3</v>
      </c>
      <c r="E345" t="s">
        <v>46</v>
      </c>
      <c r="F345" t="s">
        <v>388</v>
      </c>
      <c r="G345">
        <v>3.442028986</v>
      </c>
      <c r="H345">
        <v>77.898550720000003</v>
      </c>
      <c r="I345">
        <v>81.34057971</v>
      </c>
      <c r="J345">
        <v>18.65942029</v>
      </c>
      <c r="K345">
        <v>0.8</v>
      </c>
      <c r="L345">
        <v>0.2</v>
      </c>
      <c r="M345">
        <v>0.7</v>
      </c>
      <c r="N345">
        <v>103</v>
      </c>
      <c r="O345">
        <v>19</v>
      </c>
      <c r="P345">
        <v>430</v>
      </c>
      <c r="Q345">
        <v>81.34</v>
      </c>
      <c r="R345" t="s">
        <v>225</v>
      </c>
      <c r="S345">
        <v>3.13</v>
      </c>
      <c r="T345">
        <v>4.49</v>
      </c>
    </row>
    <row r="346" spans="1:21" x14ac:dyDescent="0.25">
      <c r="A346" s="2">
        <v>45320.831944444442</v>
      </c>
      <c r="B346" t="s">
        <v>309</v>
      </c>
      <c r="C346" t="s">
        <v>221</v>
      </c>
      <c r="D346">
        <v>2</v>
      </c>
      <c r="E346" t="s">
        <v>46</v>
      </c>
      <c r="F346" t="s">
        <v>388</v>
      </c>
      <c r="G346">
        <v>82.642089089999999</v>
      </c>
      <c r="H346">
        <v>0</v>
      </c>
      <c r="I346">
        <v>82.642089089999999</v>
      </c>
      <c r="J346">
        <v>17.357910910000001</v>
      </c>
      <c r="K346">
        <v>0.8</v>
      </c>
      <c r="L346">
        <v>0.3</v>
      </c>
      <c r="M346">
        <v>0.7</v>
      </c>
      <c r="N346">
        <v>113</v>
      </c>
      <c r="O346">
        <v>538</v>
      </c>
      <c r="P346">
        <v>0</v>
      </c>
      <c r="Q346">
        <v>82.64</v>
      </c>
      <c r="R346" t="s">
        <v>246</v>
      </c>
      <c r="S346">
        <v>2.15</v>
      </c>
      <c r="T346">
        <v>2.27</v>
      </c>
    </row>
    <row r="347" spans="1:21" x14ac:dyDescent="0.25">
      <c r="A347" t="s">
        <v>19</v>
      </c>
      <c r="B347" t="s">
        <v>20</v>
      </c>
      <c r="C347" t="s">
        <v>306</v>
      </c>
      <c r="D347">
        <v>3</v>
      </c>
      <c r="E347" t="s">
        <v>46</v>
      </c>
      <c r="F347" t="s">
        <v>388</v>
      </c>
      <c r="G347">
        <v>20</v>
      </c>
      <c r="H347">
        <v>70</v>
      </c>
      <c r="I347">
        <v>90</v>
      </c>
      <c r="J347">
        <v>10</v>
      </c>
      <c r="K347" t="s">
        <v>19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  <c r="Q347">
        <f>I347</f>
        <v>90</v>
      </c>
      <c r="R347" t="s">
        <v>19</v>
      </c>
      <c r="S347" t="s">
        <v>19</v>
      </c>
      <c r="T347" t="s">
        <v>19</v>
      </c>
    </row>
    <row r="348" spans="1:21" x14ac:dyDescent="0.25">
      <c r="A348" t="s">
        <v>19</v>
      </c>
      <c r="B348" t="s">
        <v>20</v>
      </c>
      <c r="C348" t="s">
        <v>320</v>
      </c>
      <c r="D348">
        <v>3</v>
      </c>
      <c r="E348" t="s">
        <v>46</v>
      </c>
      <c r="F348" t="s">
        <v>388</v>
      </c>
      <c r="G348">
        <v>20</v>
      </c>
      <c r="H348">
        <v>75</v>
      </c>
      <c r="I348">
        <f>100-J348</f>
        <v>95</v>
      </c>
      <c r="J348">
        <f>100-G348-H348</f>
        <v>5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  <c r="Q348">
        <f>I348</f>
        <v>95</v>
      </c>
      <c r="R348" t="s">
        <v>19</v>
      </c>
      <c r="S348" t="s">
        <v>19</v>
      </c>
      <c r="T348" t="s">
        <v>19</v>
      </c>
    </row>
    <row r="349" spans="1:21" x14ac:dyDescent="0.25">
      <c r="A349" s="2">
        <v>45323.522789351853</v>
      </c>
      <c r="B349" t="s">
        <v>309</v>
      </c>
      <c r="C349" t="s">
        <v>322</v>
      </c>
      <c r="D349">
        <v>3</v>
      </c>
      <c r="E349" t="s">
        <v>46</v>
      </c>
      <c r="F349" t="s">
        <v>388</v>
      </c>
      <c r="G349">
        <f>(O349/(N349+O349+P349))*100</f>
        <v>11.9935170178282</v>
      </c>
      <c r="H349">
        <f>(P349/(O349+P349+N349))*100</f>
        <v>61.750405186385734</v>
      </c>
      <c r="I349">
        <f>((O349+P349)/(P349+O349+N349))*100</f>
        <v>73.743922204213945</v>
      </c>
      <c r="J349">
        <f>(N349/(P349+O349+N349))*100</f>
        <v>26.256077795786059</v>
      </c>
      <c r="K349">
        <v>0.8</v>
      </c>
      <c r="L349">
        <v>0.3</v>
      </c>
      <c r="M349">
        <v>0.7</v>
      </c>
      <c r="N349">
        <v>162</v>
      </c>
      <c r="O349">
        <v>74</v>
      </c>
      <c r="P349">
        <v>381</v>
      </c>
      <c r="Q349">
        <v>73.739999999999995</v>
      </c>
      <c r="R349" t="s">
        <v>334</v>
      </c>
      <c r="S349">
        <v>2.77</v>
      </c>
      <c r="T349">
        <v>4.21</v>
      </c>
      <c r="U349">
        <v>79</v>
      </c>
    </row>
    <row r="350" spans="1:21" x14ac:dyDescent="0.25">
      <c r="A350" s="2">
        <v>45323.52202546296</v>
      </c>
      <c r="B350" t="s">
        <v>309</v>
      </c>
      <c r="C350" t="s">
        <v>322</v>
      </c>
      <c r="D350">
        <v>3</v>
      </c>
      <c r="E350" t="s">
        <v>46</v>
      </c>
      <c r="F350" t="s">
        <v>388</v>
      </c>
      <c r="G350">
        <f>(O350/(N350+O350+P350))*100</f>
        <v>13.258785942492013</v>
      </c>
      <c r="H350">
        <f>(P350/(O350+P350+N350))*100</f>
        <v>64.057507987220447</v>
      </c>
      <c r="I350">
        <v>77.319999999999993</v>
      </c>
      <c r="J350">
        <f>(N350/(P350+O350+N350))*100</f>
        <v>22.683706070287542</v>
      </c>
      <c r="K350">
        <v>0.7</v>
      </c>
      <c r="L350">
        <v>0.3</v>
      </c>
      <c r="M350">
        <v>0.7</v>
      </c>
      <c r="N350">
        <v>142</v>
      </c>
      <c r="O350">
        <v>83</v>
      </c>
      <c r="P350">
        <v>401</v>
      </c>
      <c r="Q350">
        <v>77.319999999999993</v>
      </c>
      <c r="R350" t="s">
        <v>337</v>
      </c>
      <c r="S350">
        <v>2.77</v>
      </c>
      <c r="T350">
        <v>4.21</v>
      </c>
      <c r="U350">
        <v>70</v>
      </c>
    </row>
    <row r="351" spans="1:21" x14ac:dyDescent="0.25">
      <c r="A351" s="2">
        <v>45324.950173611112</v>
      </c>
      <c r="B351" t="s">
        <v>309</v>
      </c>
      <c r="C351" t="s">
        <v>368</v>
      </c>
      <c r="D351">
        <v>2</v>
      </c>
      <c r="E351" t="s">
        <v>46</v>
      </c>
      <c r="F351" t="s">
        <v>388</v>
      </c>
      <c r="G351">
        <f>(O351/(N351+O351+P351))*100</f>
        <v>87.751937984496124</v>
      </c>
      <c r="H351">
        <f>(P351/(O351+P351+N351))*100</f>
        <v>0</v>
      </c>
      <c r="I351">
        <v>87.75</v>
      </c>
      <c r="J351">
        <f>(N351/(P351+O351+N351))*100</f>
        <v>12.248062015503876</v>
      </c>
      <c r="K351">
        <v>0.8</v>
      </c>
      <c r="L351">
        <v>0.3</v>
      </c>
      <c r="M351">
        <v>0.7</v>
      </c>
      <c r="N351">
        <v>79</v>
      </c>
      <c r="O351">
        <v>566</v>
      </c>
      <c r="P351">
        <v>0</v>
      </c>
      <c r="Q351">
        <v>87.75</v>
      </c>
      <c r="R351" t="s">
        <v>334</v>
      </c>
      <c r="S351">
        <v>2.14</v>
      </c>
      <c r="T351">
        <v>2.36</v>
      </c>
    </row>
    <row r="352" spans="1:21" x14ac:dyDescent="0.25">
      <c r="A352" t="s">
        <v>19</v>
      </c>
      <c r="B352" t="s">
        <v>20</v>
      </c>
      <c r="C352" t="s">
        <v>306</v>
      </c>
      <c r="D352">
        <v>3</v>
      </c>
      <c r="E352" t="s">
        <v>47</v>
      </c>
      <c r="F352" t="s">
        <v>373</v>
      </c>
      <c r="G352">
        <v>15</v>
      </c>
      <c r="H352">
        <v>0</v>
      </c>
      <c r="I352">
        <f>G352+H352</f>
        <v>15</v>
      </c>
      <c r="J352">
        <f>100-G352-H352</f>
        <v>85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  <c r="Q352">
        <f>I352</f>
        <v>15</v>
      </c>
      <c r="R352" t="s">
        <v>19</v>
      </c>
      <c r="S352" t="s">
        <v>19</v>
      </c>
      <c r="T352" t="s">
        <v>19</v>
      </c>
    </row>
    <row r="353" spans="1:21" x14ac:dyDescent="0.25">
      <c r="A353" t="s">
        <v>19</v>
      </c>
      <c r="B353" t="s">
        <v>20</v>
      </c>
      <c r="C353" t="s">
        <v>308</v>
      </c>
      <c r="D353">
        <v>3</v>
      </c>
      <c r="E353" t="s">
        <v>47</v>
      </c>
      <c r="F353" t="s">
        <v>373</v>
      </c>
      <c r="G353">
        <v>30</v>
      </c>
      <c r="H353">
        <v>1</v>
      </c>
      <c r="I353">
        <f>G353+H353</f>
        <v>31</v>
      </c>
      <c r="J353">
        <f>100-G353-H353</f>
        <v>69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  <c r="P353" t="s">
        <v>19</v>
      </c>
      <c r="Q353">
        <f>I353</f>
        <v>31</v>
      </c>
      <c r="R353" t="s">
        <v>19</v>
      </c>
      <c r="S353" t="s">
        <v>19</v>
      </c>
      <c r="T353" t="s">
        <v>19</v>
      </c>
    </row>
    <row r="354" spans="1:21" x14ac:dyDescent="0.25">
      <c r="A354" t="s">
        <v>19</v>
      </c>
      <c r="B354" t="s">
        <v>20</v>
      </c>
      <c r="C354" t="s">
        <v>22</v>
      </c>
      <c r="D354">
        <v>3</v>
      </c>
      <c r="E354" t="s">
        <v>47</v>
      </c>
      <c r="F354" t="s">
        <v>373</v>
      </c>
      <c r="G354">
        <v>25</v>
      </c>
      <c r="H354">
        <v>0</v>
      </c>
      <c r="I354">
        <f>G354+H354</f>
        <v>25</v>
      </c>
      <c r="J354">
        <f>100-G354-H354</f>
        <v>75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  <c r="Q354">
        <f>I354</f>
        <v>25</v>
      </c>
      <c r="R354" t="s">
        <v>19</v>
      </c>
      <c r="S354" t="s">
        <v>19</v>
      </c>
      <c r="T354" t="s">
        <v>19</v>
      </c>
    </row>
    <row r="355" spans="1:21" x14ac:dyDescent="0.25">
      <c r="A355" t="s">
        <v>19</v>
      </c>
      <c r="B355" t="s">
        <v>20</v>
      </c>
      <c r="C355" t="s">
        <v>305</v>
      </c>
      <c r="D355">
        <v>3</v>
      </c>
      <c r="E355" t="s">
        <v>47</v>
      </c>
      <c r="F355" t="s">
        <v>373</v>
      </c>
      <c r="G355">
        <v>8</v>
      </c>
      <c r="H355">
        <v>0</v>
      </c>
      <c r="I355">
        <f>G355+H355</f>
        <v>8</v>
      </c>
      <c r="J355">
        <f>100-G355-H355</f>
        <v>92</v>
      </c>
      <c r="K355" t="s">
        <v>19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  <c r="Q355">
        <f>I355</f>
        <v>8</v>
      </c>
      <c r="R355" t="s">
        <v>19</v>
      </c>
      <c r="S355" t="s">
        <v>19</v>
      </c>
      <c r="T355" t="s">
        <v>19</v>
      </c>
    </row>
    <row r="356" spans="1:21" x14ac:dyDescent="0.25">
      <c r="A356" t="s">
        <v>19</v>
      </c>
      <c r="B356" t="s">
        <v>20</v>
      </c>
      <c r="C356" t="s">
        <v>307</v>
      </c>
      <c r="D356">
        <v>3</v>
      </c>
      <c r="E356" t="s">
        <v>47</v>
      </c>
      <c r="F356" t="s">
        <v>373</v>
      </c>
      <c r="G356">
        <v>4</v>
      </c>
      <c r="H356">
        <v>0</v>
      </c>
      <c r="I356">
        <f>G356+H356</f>
        <v>4</v>
      </c>
      <c r="J356">
        <f>100-G356-H356</f>
        <v>96</v>
      </c>
      <c r="K356" t="s">
        <v>19</v>
      </c>
      <c r="L356" t="s">
        <v>19</v>
      </c>
      <c r="M356" t="s">
        <v>19</v>
      </c>
      <c r="N356" t="s">
        <v>19</v>
      </c>
      <c r="O356" t="s">
        <v>19</v>
      </c>
      <c r="P356" t="s">
        <v>19</v>
      </c>
      <c r="Q356">
        <f>I356</f>
        <v>4</v>
      </c>
      <c r="R356" t="s">
        <v>19</v>
      </c>
      <c r="S356" t="s">
        <v>19</v>
      </c>
      <c r="T356" t="s">
        <v>19</v>
      </c>
    </row>
    <row r="357" spans="1:21" x14ac:dyDescent="0.25">
      <c r="A357" s="2">
        <v>45253.688888888886</v>
      </c>
      <c r="B357" t="s">
        <v>309</v>
      </c>
      <c r="C357" t="s">
        <v>213</v>
      </c>
      <c r="D357">
        <v>3</v>
      </c>
      <c r="E357" t="s">
        <v>47</v>
      </c>
      <c r="F357" t="s">
        <v>373</v>
      </c>
      <c r="G357">
        <v>15.56683587</v>
      </c>
      <c r="H357">
        <v>0.16920473799999999</v>
      </c>
      <c r="I357">
        <v>15.73604061</v>
      </c>
      <c r="J357">
        <v>84.263959389999997</v>
      </c>
      <c r="K357">
        <v>0.8</v>
      </c>
      <c r="L357">
        <v>0.2</v>
      </c>
      <c r="M357">
        <v>0.7</v>
      </c>
      <c r="N357">
        <v>498</v>
      </c>
      <c r="O357">
        <v>92</v>
      </c>
      <c r="P357">
        <v>1</v>
      </c>
      <c r="Q357">
        <v>15.74</v>
      </c>
      <c r="R357" t="s">
        <v>214</v>
      </c>
      <c r="S357">
        <v>2.84</v>
      </c>
      <c r="T357">
        <v>3.11</v>
      </c>
    </row>
    <row r="358" spans="1:21" x14ac:dyDescent="0.25">
      <c r="A358" s="2">
        <v>45253.913194444445</v>
      </c>
      <c r="B358" t="s">
        <v>309</v>
      </c>
      <c r="C358" t="s">
        <v>215</v>
      </c>
      <c r="D358">
        <v>2</v>
      </c>
      <c r="E358" t="s">
        <v>47</v>
      </c>
      <c r="F358" t="s">
        <v>373</v>
      </c>
      <c r="G358">
        <v>2.9197080290000001</v>
      </c>
      <c r="H358">
        <v>0</v>
      </c>
      <c r="I358">
        <v>2.9197080290000001</v>
      </c>
      <c r="J358">
        <v>97.080291970000005</v>
      </c>
      <c r="K358">
        <v>0.8</v>
      </c>
      <c r="L358">
        <v>0.2</v>
      </c>
      <c r="M358">
        <v>0.7</v>
      </c>
      <c r="N358">
        <v>665</v>
      </c>
      <c r="O358">
        <v>20</v>
      </c>
      <c r="P358">
        <v>0</v>
      </c>
      <c r="Q358">
        <v>2.92</v>
      </c>
      <c r="R358" t="s">
        <v>216</v>
      </c>
      <c r="S358">
        <v>0.1</v>
      </c>
      <c r="T358">
        <v>0.11</v>
      </c>
    </row>
    <row r="359" spans="1:21" x14ac:dyDescent="0.25">
      <c r="A359" s="2">
        <v>45254.086111111108</v>
      </c>
      <c r="B359" t="s">
        <v>309</v>
      </c>
      <c r="C359" t="s">
        <v>217</v>
      </c>
      <c r="D359">
        <v>2</v>
      </c>
      <c r="E359" t="s">
        <v>47</v>
      </c>
      <c r="F359" t="s">
        <v>373</v>
      </c>
      <c r="G359">
        <v>8.2474226799999997</v>
      </c>
      <c r="H359">
        <v>0</v>
      </c>
      <c r="I359">
        <v>8.2474226799999997</v>
      </c>
      <c r="J359">
        <v>91.75257732</v>
      </c>
      <c r="K359">
        <v>0.8</v>
      </c>
      <c r="L359">
        <v>0.2</v>
      </c>
      <c r="M359">
        <v>0.7</v>
      </c>
      <c r="N359">
        <v>623</v>
      </c>
      <c r="O359">
        <v>56</v>
      </c>
      <c r="P359">
        <v>0</v>
      </c>
      <c r="Q359">
        <v>8.25</v>
      </c>
      <c r="R359" t="s">
        <v>226</v>
      </c>
      <c r="S359">
        <v>0.25</v>
      </c>
      <c r="T359">
        <v>0.26</v>
      </c>
    </row>
    <row r="360" spans="1:21" x14ac:dyDescent="0.25">
      <c r="A360" s="2">
        <v>45316.42291666667</v>
      </c>
      <c r="B360" t="s">
        <v>309</v>
      </c>
      <c r="C360" t="s">
        <v>219</v>
      </c>
      <c r="D360">
        <v>3</v>
      </c>
      <c r="E360" t="s">
        <v>47</v>
      </c>
      <c r="F360" t="s">
        <v>373</v>
      </c>
      <c r="G360">
        <v>9.6509240250000001</v>
      </c>
      <c r="H360">
        <v>0.41067761800000002</v>
      </c>
      <c r="I360">
        <v>10.061601639999999</v>
      </c>
      <c r="J360">
        <v>89.938398359999994</v>
      </c>
      <c r="K360">
        <v>0.8</v>
      </c>
      <c r="L360">
        <v>0.2</v>
      </c>
      <c r="M360">
        <v>0.7</v>
      </c>
      <c r="N360">
        <v>438</v>
      </c>
      <c r="O360">
        <v>47</v>
      </c>
      <c r="P360">
        <v>2</v>
      </c>
      <c r="Q360">
        <v>10.06</v>
      </c>
      <c r="R360" t="s">
        <v>225</v>
      </c>
      <c r="S360">
        <v>3.15</v>
      </c>
      <c r="T360">
        <v>4.37</v>
      </c>
    </row>
    <row r="361" spans="1:21" x14ac:dyDescent="0.25">
      <c r="A361" s="2">
        <v>45320.943055555559</v>
      </c>
      <c r="B361" t="s">
        <v>309</v>
      </c>
      <c r="C361" t="s">
        <v>221</v>
      </c>
      <c r="D361">
        <v>2</v>
      </c>
      <c r="E361" t="s">
        <v>47</v>
      </c>
      <c r="F361" t="s">
        <v>373</v>
      </c>
      <c r="G361">
        <v>13.84863124</v>
      </c>
      <c r="H361">
        <v>0</v>
      </c>
      <c r="I361">
        <v>13.84863124</v>
      </c>
      <c r="J361">
        <v>86.151368759999997</v>
      </c>
      <c r="K361">
        <v>0.8</v>
      </c>
      <c r="L361">
        <v>0.3</v>
      </c>
      <c r="M361">
        <v>0.7</v>
      </c>
      <c r="N361">
        <v>535</v>
      </c>
      <c r="O361">
        <v>86</v>
      </c>
      <c r="P361">
        <v>0</v>
      </c>
      <c r="Q361">
        <v>13.85</v>
      </c>
      <c r="R361" t="s">
        <v>232</v>
      </c>
      <c r="S361">
        <v>0.47</v>
      </c>
      <c r="T361">
        <v>0.5</v>
      </c>
    </row>
    <row r="362" spans="1:21" x14ac:dyDescent="0.25">
      <c r="A362" t="s">
        <v>19</v>
      </c>
      <c r="B362" t="s">
        <v>20</v>
      </c>
      <c r="C362" t="s">
        <v>320</v>
      </c>
      <c r="D362">
        <v>3</v>
      </c>
      <c r="E362" t="s">
        <v>47</v>
      </c>
      <c r="F362" t="s">
        <v>373</v>
      </c>
      <c r="G362">
        <v>10</v>
      </c>
      <c r="H362">
        <v>0</v>
      </c>
      <c r="I362">
        <f>100-J362</f>
        <v>10</v>
      </c>
      <c r="J362">
        <f>100-G362-H362</f>
        <v>90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  <c r="Q362">
        <f>I362</f>
        <v>10</v>
      </c>
      <c r="R362" t="s">
        <v>19</v>
      </c>
      <c r="S362" t="s">
        <v>19</v>
      </c>
      <c r="T362" t="s">
        <v>19</v>
      </c>
    </row>
    <row r="363" spans="1:21" x14ac:dyDescent="0.25">
      <c r="A363" s="2">
        <v>45323.529189814813</v>
      </c>
      <c r="B363" t="s">
        <v>309</v>
      </c>
      <c r="C363" t="s">
        <v>322</v>
      </c>
      <c r="D363">
        <v>3</v>
      </c>
      <c r="E363" t="s">
        <v>47</v>
      </c>
      <c r="F363" t="s">
        <v>373</v>
      </c>
      <c r="G363">
        <f>(O363/(N363+O363+P363))*100</f>
        <v>16.29032258064516</v>
      </c>
      <c r="H363">
        <f>(P363/(O363+P363+N363))*100</f>
        <v>0</v>
      </c>
      <c r="I363">
        <f>((O363+P363)/(P363+O363+N363))*100</f>
        <v>16.29032258064516</v>
      </c>
      <c r="J363">
        <f>(N363/(P363+O363+N363))*100</f>
        <v>83.709677419354833</v>
      </c>
      <c r="K363">
        <v>0.8</v>
      </c>
      <c r="L363">
        <v>0.3</v>
      </c>
      <c r="M363">
        <v>0.7</v>
      </c>
      <c r="N363">
        <v>519</v>
      </c>
      <c r="O363">
        <v>101</v>
      </c>
      <c r="P363">
        <v>0</v>
      </c>
      <c r="Q363">
        <v>16.29</v>
      </c>
      <c r="R363" t="s">
        <v>334</v>
      </c>
      <c r="S363">
        <v>2.64</v>
      </c>
      <c r="T363">
        <v>3.01</v>
      </c>
      <c r="U363">
        <v>87</v>
      </c>
    </row>
    <row r="364" spans="1:21" x14ac:dyDescent="0.25">
      <c r="A364" s="2">
        <v>45323.530775462961</v>
      </c>
      <c r="B364" t="s">
        <v>309</v>
      </c>
      <c r="C364" t="s">
        <v>322</v>
      </c>
      <c r="D364">
        <v>3</v>
      </c>
      <c r="E364" t="s">
        <v>47</v>
      </c>
      <c r="F364" t="s">
        <v>373</v>
      </c>
      <c r="G364">
        <f>(O364/(N364+O364+P364))*100</f>
        <v>18.39622641509434</v>
      </c>
      <c r="H364">
        <f>(P364/(O364+P364+N364))*100</f>
        <v>0</v>
      </c>
      <c r="I364">
        <f>((O364+P364)/(P364+O364+N364))*100</f>
        <v>18.39622641509434</v>
      </c>
      <c r="J364">
        <f>(N364/(P364+O364+N364))*100</f>
        <v>81.603773584905653</v>
      </c>
      <c r="K364">
        <v>0.7</v>
      </c>
      <c r="L364">
        <v>0.3</v>
      </c>
      <c r="M364">
        <v>0.7</v>
      </c>
      <c r="N364">
        <v>519</v>
      </c>
      <c r="O364">
        <v>117</v>
      </c>
      <c r="P364">
        <v>0</v>
      </c>
      <c r="Q364">
        <v>18.399999999999999</v>
      </c>
      <c r="R364" t="s">
        <v>334</v>
      </c>
      <c r="S364">
        <v>2.64</v>
      </c>
      <c r="T364">
        <v>3.01</v>
      </c>
      <c r="U364">
        <v>71</v>
      </c>
    </row>
    <row r="365" spans="1:21" x14ac:dyDescent="0.25">
      <c r="A365" s="2">
        <v>45325.108275462961</v>
      </c>
      <c r="B365" t="s">
        <v>309</v>
      </c>
      <c r="C365" t="s">
        <v>368</v>
      </c>
      <c r="D365">
        <v>2</v>
      </c>
      <c r="E365" t="s">
        <v>47</v>
      </c>
      <c r="F365" t="s">
        <v>373</v>
      </c>
      <c r="G365">
        <f>(O365/(N365+O365+P365))*100</f>
        <v>20.975609756097562</v>
      </c>
      <c r="H365">
        <f>(P365/(O365+P365+N365))*100</f>
        <v>0</v>
      </c>
      <c r="I365">
        <v>20.98</v>
      </c>
      <c r="J365">
        <f>(N365/(P365+O365+N365))*100</f>
        <v>79.024390243902445</v>
      </c>
      <c r="K365">
        <v>0.8</v>
      </c>
      <c r="L365">
        <v>0.3</v>
      </c>
      <c r="M365">
        <v>0.7</v>
      </c>
      <c r="N365">
        <v>486</v>
      </c>
      <c r="O365">
        <v>129</v>
      </c>
      <c r="P365">
        <v>0</v>
      </c>
      <c r="Q365">
        <v>20.98</v>
      </c>
      <c r="R365" t="s">
        <v>258</v>
      </c>
      <c r="S365">
        <v>0.64</v>
      </c>
      <c r="T365">
        <v>0.68</v>
      </c>
    </row>
    <row r="366" spans="1:21" x14ac:dyDescent="0.25">
      <c r="A366" t="s">
        <v>19</v>
      </c>
      <c r="B366" t="s">
        <v>20</v>
      </c>
      <c r="C366" t="s">
        <v>308</v>
      </c>
      <c r="D366">
        <v>3</v>
      </c>
      <c r="E366" t="s">
        <v>48</v>
      </c>
      <c r="F366" t="s">
        <v>388</v>
      </c>
      <c r="G366">
        <v>0</v>
      </c>
      <c r="H366">
        <v>0</v>
      </c>
      <c r="I366">
        <f>G366+H366</f>
        <v>0</v>
      </c>
      <c r="J366">
        <f>100-G366-H366</f>
        <v>100</v>
      </c>
      <c r="K366" t="s">
        <v>19</v>
      </c>
      <c r="L366" t="s">
        <v>19</v>
      </c>
      <c r="M366" t="s">
        <v>19</v>
      </c>
      <c r="N366" t="s">
        <v>19</v>
      </c>
      <c r="O366" t="s">
        <v>19</v>
      </c>
      <c r="P366" t="s">
        <v>19</v>
      </c>
      <c r="Q366">
        <f>I366</f>
        <v>0</v>
      </c>
      <c r="R366" t="s">
        <v>19</v>
      </c>
      <c r="S366" t="s">
        <v>19</v>
      </c>
      <c r="T366" t="s">
        <v>19</v>
      </c>
    </row>
    <row r="367" spans="1:21" x14ac:dyDescent="0.25">
      <c r="A367" t="s">
        <v>19</v>
      </c>
      <c r="B367" t="s">
        <v>20</v>
      </c>
      <c r="C367" t="s">
        <v>22</v>
      </c>
      <c r="D367">
        <v>3</v>
      </c>
      <c r="E367" t="s">
        <v>48</v>
      </c>
      <c r="F367" t="s">
        <v>388</v>
      </c>
      <c r="G367">
        <v>0</v>
      </c>
      <c r="H367">
        <v>0</v>
      </c>
      <c r="I367">
        <f>G367+H367</f>
        <v>0</v>
      </c>
      <c r="J367">
        <f>100-G367-H367</f>
        <v>100</v>
      </c>
      <c r="K367" t="s">
        <v>19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  <c r="Q367">
        <f>I367</f>
        <v>0</v>
      </c>
      <c r="R367" t="s">
        <v>19</v>
      </c>
      <c r="S367" t="s">
        <v>19</v>
      </c>
      <c r="T367" t="s">
        <v>19</v>
      </c>
    </row>
    <row r="368" spans="1:21" x14ac:dyDescent="0.25">
      <c r="A368" t="s">
        <v>19</v>
      </c>
      <c r="B368" t="s">
        <v>20</v>
      </c>
      <c r="C368" t="s">
        <v>305</v>
      </c>
      <c r="D368">
        <v>3</v>
      </c>
      <c r="E368" t="s">
        <v>48</v>
      </c>
      <c r="F368" t="s">
        <v>388</v>
      </c>
      <c r="G368">
        <v>0</v>
      </c>
      <c r="H368">
        <v>0</v>
      </c>
      <c r="I368">
        <f>G368+H368</f>
        <v>0</v>
      </c>
      <c r="J368">
        <f>100-G368-H368</f>
        <v>100</v>
      </c>
      <c r="K368" t="s">
        <v>19</v>
      </c>
      <c r="L368" t="s">
        <v>19</v>
      </c>
      <c r="M368" t="s">
        <v>19</v>
      </c>
      <c r="N368" t="s">
        <v>19</v>
      </c>
      <c r="O368" t="s">
        <v>19</v>
      </c>
      <c r="P368" t="s">
        <v>19</v>
      </c>
      <c r="Q368">
        <f>I368</f>
        <v>0</v>
      </c>
      <c r="R368" t="s">
        <v>19</v>
      </c>
      <c r="S368" t="s">
        <v>19</v>
      </c>
      <c r="T368" t="s">
        <v>19</v>
      </c>
    </row>
    <row r="369" spans="1:21" x14ac:dyDescent="0.25">
      <c r="A369" t="s">
        <v>19</v>
      </c>
      <c r="B369" t="s">
        <v>20</v>
      </c>
      <c r="C369" t="s">
        <v>307</v>
      </c>
      <c r="D369">
        <v>3</v>
      </c>
      <c r="E369" t="s">
        <v>48</v>
      </c>
      <c r="F369" t="s">
        <v>388</v>
      </c>
      <c r="G369">
        <v>0</v>
      </c>
      <c r="H369">
        <v>0</v>
      </c>
      <c r="I369">
        <f>G369+H369</f>
        <v>0</v>
      </c>
      <c r="J369">
        <f>100-G369-H369</f>
        <v>100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  <c r="Q369">
        <f>I369</f>
        <v>0</v>
      </c>
      <c r="R369" t="s">
        <v>19</v>
      </c>
      <c r="S369" t="s">
        <v>19</v>
      </c>
      <c r="T369" t="s">
        <v>19</v>
      </c>
    </row>
    <row r="370" spans="1:21" x14ac:dyDescent="0.25">
      <c r="A370" s="2">
        <v>45253.522916666669</v>
      </c>
      <c r="B370" t="s">
        <v>309</v>
      </c>
      <c r="C370" t="s">
        <v>213</v>
      </c>
      <c r="D370">
        <v>3</v>
      </c>
      <c r="E370" t="s">
        <v>48</v>
      </c>
      <c r="F370" t="s">
        <v>388</v>
      </c>
      <c r="G370">
        <v>0</v>
      </c>
      <c r="H370">
        <v>0.92226613999999996</v>
      </c>
      <c r="I370">
        <v>0.92226613999999996</v>
      </c>
      <c r="J370">
        <v>99.077733859999995</v>
      </c>
      <c r="K370">
        <v>0.8</v>
      </c>
      <c r="L370">
        <v>0.2</v>
      </c>
      <c r="M370">
        <v>0.7</v>
      </c>
      <c r="N370">
        <v>752</v>
      </c>
      <c r="O370">
        <v>0</v>
      </c>
      <c r="P370">
        <v>7</v>
      </c>
      <c r="Q370">
        <v>0.92</v>
      </c>
      <c r="R370" t="s">
        <v>236</v>
      </c>
      <c r="S370">
        <v>2.99</v>
      </c>
      <c r="T370">
        <v>3.52</v>
      </c>
    </row>
    <row r="371" spans="1:21" x14ac:dyDescent="0.25">
      <c r="A371" s="2">
        <v>45253.824305555558</v>
      </c>
      <c r="B371" t="s">
        <v>309</v>
      </c>
      <c r="C371" t="s">
        <v>215</v>
      </c>
      <c r="D371">
        <v>2</v>
      </c>
      <c r="E371" t="s">
        <v>48</v>
      </c>
      <c r="F371" t="s">
        <v>388</v>
      </c>
      <c r="G371">
        <v>0.394218134</v>
      </c>
      <c r="H371">
        <v>0</v>
      </c>
      <c r="I371">
        <v>0.394218134</v>
      </c>
      <c r="J371">
        <v>99.605781870000001</v>
      </c>
      <c r="K371">
        <v>0.8</v>
      </c>
      <c r="L371">
        <v>0.2</v>
      </c>
      <c r="M371">
        <v>0.7</v>
      </c>
      <c r="N371">
        <v>758</v>
      </c>
      <c r="O371">
        <v>3</v>
      </c>
      <c r="P371">
        <v>0</v>
      </c>
      <c r="Q371">
        <v>0.39</v>
      </c>
      <c r="R371" t="s">
        <v>257</v>
      </c>
      <c r="S371">
        <v>0.01</v>
      </c>
      <c r="T371">
        <v>0.01</v>
      </c>
    </row>
    <row r="372" spans="1:21" x14ac:dyDescent="0.25">
      <c r="A372" s="2">
        <v>45253.990277777775</v>
      </c>
      <c r="B372" t="s">
        <v>309</v>
      </c>
      <c r="C372" t="s">
        <v>217</v>
      </c>
      <c r="D372">
        <v>2</v>
      </c>
      <c r="E372" t="s">
        <v>48</v>
      </c>
      <c r="F372" t="s">
        <v>388</v>
      </c>
      <c r="G372">
        <v>1.8641810919999999</v>
      </c>
      <c r="H372">
        <v>0</v>
      </c>
      <c r="I372">
        <v>1.8641810919999999</v>
      </c>
      <c r="J372">
        <v>98.135818909999998</v>
      </c>
      <c r="K372">
        <v>0.8</v>
      </c>
      <c r="L372">
        <v>0.2</v>
      </c>
      <c r="M372">
        <v>0.7</v>
      </c>
      <c r="N372">
        <v>737</v>
      </c>
      <c r="O372">
        <v>14</v>
      </c>
      <c r="P372">
        <v>0</v>
      </c>
      <c r="Q372">
        <v>1.86</v>
      </c>
      <c r="R372" t="s">
        <v>231</v>
      </c>
      <c r="S372">
        <v>0.06</v>
      </c>
      <c r="T372">
        <v>7.0000000000000007E-2</v>
      </c>
    </row>
    <row r="373" spans="1:21" x14ac:dyDescent="0.25">
      <c r="A373" s="2">
        <v>45316.50277777778</v>
      </c>
      <c r="B373" t="s">
        <v>309</v>
      </c>
      <c r="C373" t="s">
        <v>219</v>
      </c>
      <c r="D373">
        <v>3</v>
      </c>
      <c r="E373" t="s">
        <v>48</v>
      </c>
      <c r="F373" t="s">
        <v>388</v>
      </c>
      <c r="G373">
        <v>0</v>
      </c>
      <c r="H373">
        <v>0.41322313999999999</v>
      </c>
      <c r="I373">
        <v>0.41322313999999999</v>
      </c>
      <c r="J373">
        <v>99.586776860000001</v>
      </c>
      <c r="K373">
        <v>0.8</v>
      </c>
      <c r="L373">
        <v>0.2</v>
      </c>
      <c r="M373">
        <v>0.7</v>
      </c>
      <c r="N373">
        <v>723</v>
      </c>
      <c r="O373">
        <v>0</v>
      </c>
      <c r="P373">
        <v>3</v>
      </c>
      <c r="Q373">
        <v>0.41</v>
      </c>
      <c r="R373" t="s">
        <v>235</v>
      </c>
      <c r="S373">
        <v>3.23</v>
      </c>
      <c r="T373">
        <v>4.8499999999999996</v>
      </c>
    </row>
    <row r="374" spans="1:21" x14ac:dyDescent="0.25">
      <c r="A374" s="2">
        <v>45320.833333333336</v>
      </c>
      <c r="B374" t="s">
        <v>309</v>
      </c>
      <c r="C374" t="s">
        <v>221</v>
      </c>
      <c r="D374">
        <v>2</v>
      </c>
      <c r="E374" t="s">
        <v>48</v>
      </c>
      <c r="F374" t="s">
        <v>388</v>
      </c>
      <c r="G374">
        <v>0.13793103400000001</v>
      </c>
      <c r="H374">
        <v>0</v>
      </c>
      <c r="I374">
        <v>0.13793103400000001</v>
      </c>
      <c r="J374">
        <v>99.862068969999996</v>
      </c>
      <c r="K374">
        <v>0.8</v>
      </c>
      <c r="L374">
        <v>0.3</v>
      </c>
      <c r="M374">
        <v>0.7</v>
      </c>
      <c r="N374">
        <v>724</v>
      </c>
      <c r="O374">
        <v>1</v>
      </c>
      <c r="P374">
        <v>0</v>
      </c>
      <c r="Q374">
        <v>0.14000000000000001</v>
      </c>
      <c r="R374" t="s">
        <v>252</v>
      </c>
      <c r="S374">
        <v>0.02</v>
      </c>
      <c r="T374">
        <v>0.02</v>
      </c>
    </row>
    <row r="375" spans="1:21" x14ac:dyDescent="0.25">
      <c r="A375" t="s">
        <v>19</v>
      </c>
      <c r="B375" t="s">
        <v>20</v>
      </c>
      <c r="C375" t="s">
        <v>306</v>
      </c>
      <c r="D375">
        <v>3</v>
      </c>
      <c r="E375" t="s">
        <v>48</v>
      </c>
      <c r="F375" t="s">
        <v>388</v>
      </c>
      <c r="G375">
        <v>3</v>
      </c>
      <c r="H375">
        <v>2</v>
      </c>
      <c r="I375">
        <f>G375+H375</f>
        <v>5</v>
      </c>
      <c r="J375">
        <f>100-G375-H375</f>
        <v>95</v>
      </c>
      <c r="K375" t="s">
        <v>19</v>
      </c>
      <c r="L375" t="s">
        <v>19</v>
      </c>
      <c r="M375" t="s">
        <v>19</v>
      </c>
      <c r="N375" t="s">
        <v>19</v>
      </c>
      <c r="O375" t="s">
        <v>19</v>
      </c>
      <c r="P375" t="s">
        <v>19</v>
      </c>
      <c r="Q375">
        <f>I375</f>
        <v>5</v>
      </c>
      <c r="R375" t="s">
        <v>19</v>
      </c>
      <c r="S375" t="s">
        <v>19</v>
      </c>
      <c r="T375" t="s">
        <v>19</v>
      </c>
    </row>
    <row r="376" spans="1:21" x14ac:dyDescent="0.25">
      <c r="A376" t="s">
        <v>19</v>
      </c>
      <c r="B376" t="s">
        <v>20</v>
      </c>
      <c r="C376" t="s">
        <v>320</v>
      </c>
      <c r="D376">
        <v>3</v>
      </c>
      <c r="E376" t="s">
        <v>48</v>
      </c>
      <c r="F376" t="s">
        <v>388</v>
      </c>
      <c r="G376">
        <v>0</v>
      </c>
      <c r="H376">
        <v>0</v>
      </c>
      <c r="I376">
        <f>100-J376</f>
        <v>0</v>
      </c>
      <c r="J376">
        <f>100-G376-H376</f>
        <v>100</v>
      </c>
      <c r="K376" t="s">
        <v>19</v>
      </c>
      <c r="L376" t="s">
        <v>19</v>
      </c>
      <c r="M376" t="s">
        <v>19</v>
      </c>
      <c r="N376" t="s">
        <v>19</v>
      </c>
      <c r="O376" t="s">
        <v>19</v>
      </c>
      <c r="P376" t="s">
        <v>19</v>
      </c>
      <c r="Q376">
        <f>I376</f>
        <v>0</v>
      </c>
      <c r="R376" t="s">
        <v>19</v>
      </c>
      <c r="S376" t="s">
        <v>19</v>
      </c>
      <c r="T376" t="s">
        <v>19</v>
      </c>
    </row>
    <row r="377" spans="1:21" x14ac:dyDescent="0.25">
      <c r="A377" s="2">
        <v>45323.524652777778</v>
      </c>
      <c r="B377" t="s">
        <v>309</v>
      </c>
      <c r="C377" t="s">
        <v>322</v>
      </c>
      <c r="D377">
        <v>3</v>
      </c>
      <c r="E377" t="s">
        <v>48</v>
      </c>
      <c r="F377" t="s">
        <v>388</v>
      </c>
      <c r="G377">
        <f>(O377/(N377+O377+P377))*100</f>
        <v>0</v>
      </c>
      <c r="H377">
        <f>(P377/(O377+P377+N377))*100</f>
        <v>0.13623978201634876</v>
      </c>
      <c r="I377">
        <f>((O377+P377)/(P377+O377+N377))*100</f>
        <v>0.13623978201634876</v>
      </c>
      <c r="J377">
        <f>(N377/(P377+O377+N377))*100</f>
        <v>99.863760217983653</v>
      </c>
      <c r="K377">
        <v>0.8</v>
      </c>
      <c r="L377">
        <v>0.3</v>
      </c>
      <c r="M377">
        <v>0.7</v>
      </c>
      <c r="N377">
        <v>733</v>
      </c>
      <c r="O377">
        <v>0</v>
      </c>
      <c r="P377">
        <v>1</v>
      </c>
      <c r="Q377">
        <v>0.14000000000000001</v>
      </c>
      <c r="R377" t="s">
        <v>349</v>
      </c>
      <c r="S377">
        <v>2.64</v>
      </c>
      <c r="T377">
        <v>3.46</v>
      </c>
      <c r="U377">
        <v>2</v>
      </c>
    </row>
    <row r="378" spans="1:21" x14ac:dyDescent="0.25">
      <c r="A378" s="2">
        <v>45323.523784722223</v>
      </c>
      <c r="B378" t="s">
        <v>309</v>
      </c>
      <c r="C378" t="s">
        <v>322</v>
      </c>
      <c r="D378">
        <v>3</v>
      </c>
      <c r="E378" t="s">
        <v>48</v>
      </c>
      <c r="F378" t="s">
        <v>388</v>
      </c>
      <c r="G378">
        <f>(O378/(N378+O378+P378))*100</f>
        <v>0.13605442176870747</v>
      </c>
      <c r="H378">
        <f>(P378/(O378+P378+N378))*100</f>
        <v>0.13605442176870747</v>
      </c>
      <c r="I378">
        <v>0.27</v>
      </c>
      <c r="J378">
        <f>(N378/(P378+O378+N378))*100</f>
        <v>99.72789115646259</v>
      </c>
      <c r="K378">
        <v>0.7</v>
      </c>
      <c r="L378">
        <v>0.3</v>
      </c>
      <c r="M378">
        <v>0.7</v>
      </c>
      <c r="N378">
        <v>733</v>
      </c>
      <c r="O378">
        <v>1</v>
      </c>
      <c r="P378">
        <v>1</v>
      </c>
      <c r="Q378">
        <v>0.27</v>
      </c>
      <c r="R378" t="s">
        <v>360</v>
      </c>
      <c r="S378">
        <v>2.64</v>
      </c>
      <c r="T378">
        <v>3.46</v>
      </c>
      <c r="U378">
        <v>1</v>
      </c>
    </row>
    <row r="379" spans="1:21" x14ac:dyDescent="0.25">
      <c r="A379" s="2">
        <v>45324.952048611114</v>
      </c>
      <c r="B379" t="s">
        <v>309</v>
      </c>
      <c r="C379" t="s">
        <v>368</v>
      </c>
      <c r="D379">
        <v>2</v>
      </c>
      <c r="E379" t="s">
        <v>48</v>
      </c>
      <c r="F379" t="s">
        <v>388</v>
      </c>
      <c r="G379">
        <f>(O379/(N379+O379+P379))*100</f>
        <v>0.41958041958041958</v>
      </c>
      <c r="H379">
        <f>(P379/(O379+P379+N379))*100</f>
        <v>0</v>
      </c>
      <c r="I379">
        <v>0.42</v>
      </c>
      <c r="J379">
        <f>(N379/(P379+O379+N379))*100</f>
        <v>99.580419580419573</v>
      </c>
      <c r="K379">
        <v>0.8</v>
      </c>
      <c r="L379">
        <v>0.3</v>
      </c>
      <c r="M379">
        <v>0.7</v>
      </c>
      <c r="N379">
        <v>712</v>
      </c>
      <c r="O379">
        <v>3</v>
      </c>
      <c r="P379">
        <v>0</v>
      </c>
      <c r="Q379">
        <v>0.42</v>
      </c>
      <c r="R379" t="s">
        <v>279</v>
      </c>
      <c r="S379">
        <v>0.03</v>
      </c>
      <c r="T379">
        <v>0.04</v>
      </c>
    </row>
    <row r="380" spans="1:21" x14ac:dyDescent="0.25">
      <c r="A380" t="s">
        <v>19</v>
      </c>
      <c r="B380" t="s">
        <v>20</v>
      </c>
      <c r="C380" t="s">
        <v>308</v>
      </c>
      <c r="D380">
        <v>3</v>
      </c>
      <c r="E380" t="s">
        <v>49</v>
      </c>
      <c r="F380" t="s">
        <v>388</v>
      </c>
      <c r="G380">
        <v>25</v>
      </c>
      <c r="H380">
        <v>55</v>
      </c>
      <c r="I380">
        <f>G380+H380</f>
        <v>80</v>
      </c>
      <c r="J380">
        <f>100-G380-H380</f>
        <v>20</v>
      </c>
      <c r="K380" t="s">
        <v>19</v>
      </c>
      <c r="L380" t="s">
        <v>19</v>
      </c>
      <c r="M380" t="s">
        <v>19</v>
      </c>
      <c r="N380" t="s">
        <v>19</v>
      </c>
      <c r="O380" t="s">
        <v>19</v>
      </c>
      <c r="P380" t="s">
        <v>19</v>
      </c>
      <c r="Q380">
        <f>I380</f>
        <v>80</v>
      </c>
      <c r="R380" t="s">
        <v>19</v>
      </c>
      <c r="S380" t="s">
        <v>19</v>
      </c>
      <c r="T380" t="s">
        <v>19</v>
      </c>
    </row>
    <row r="381" spans="1:21" x14ac:dyDescent="0.25">
      <c r="A381" t="s">
        <v>19</v>
      </c>
      <c r="B381" t="s">
        <v>20</v>
      </c>
      <c r="C381" t="s">
        <v>22</v>
      </c>
      <c r="D381">
        <v>3</v>
      </c>
      <c r="E381" t="s">
        <v>49</v>
      </c>
      <c r="F381" t="s">
        <v>388</v>
      </c>
      <c r="G381">
        <v>10</v>
      </c>
      <c r="H381">
        <v>40</v>
      </c>
      <c r="I381">
        <f>G381+H381</f>
        <v>50</v>
      </c>
      <c r="J381">
        <f>100-G381-H381</f>
        <v>50</v>
      </c>
      <c r="K381" t="s">
        <v>19</v>
      </c>
      <c r="L381" t="s">
        <v>19</v>
      </c>
      <c r="M381" t="s">
        <v>19</v>
      </c>
      <c r="N381" t="s">
        <v>19</v>
      </c>
      <c r="O381" t="s">
        <v>19</v>
      </c>
      <c r="P381" t="s">
        <v>19</v>
      </c>
      <c r="Q381">
        <f>I381</f>
        <v>50</v>
      </c>
      <c r="R381" t="s">
        <v>19</v>
      </c>
      <c r="S381" t="s">
        <v>19</v>
      </c>
      <c r="T381" t="s">
        <v>19</v>
      </c>
    </row>
    <row r="382" spans="1:21" x14ac:dyDescent="0.25">
      <c r="A382" t="s">
        <v>19</v>
      </c>
      <c r="B382" t="s">
        <v>20</v>
      </c>
      <c r="C382" t="s">
        <v>305</v>
      </c>
      <c r="D382">
        <v>3</v>
      </c>
      <c r="E382" t="s">
        <v>49</v>
      </c>
      <c r="F382" t="s">
        <v>388</v>
      </c>
      <c r="G382">
        <v>15</v>
      </c>
      <c r="H382">
        <v>25</v>
      </c>
      <c r="I382">
        <f>G382+H382</f>
        <v>40</v>
      </c>
      <c r="J382">
        <f>100-G382-H382</f>
        <v>60</v>
      </c>
      <c r="K382" t="s">
        <v>19</v>
      </c>
      <c r="L382" t="s">
        <v>19</v>
      </c>
      <c r="M382" t="s">
        <v>19</v>
      </c>
      <c r="N382" t="s">
        <v>19</v>
      </c>
      <c r="O382" t="s">
        <v>19</v>
      </c>
      <c r="P382" t="s">
        <v>19</v>
      </c>
      <c r="Q382">
        <f>I382</f>
        <v>40</v>
      </c>
      <c r="R382" t="s">
        <v>19</v>
      </c>
      <c r="S382" t="s">
        <v>19</v>
      </c>
      <c r="T382" t="s">
        <v>19</v>
      </c>
    </row>
    <row r="383" spans="1:21" x14ac:dyDescent="0.25">
      <c r="A383" t="s">
        <v>19</v>
      </c>
      <c r="B383" t="s">
        <v>20</v>
      </c>
      <c r="C383" t="s">
        <v>307</v>
      </c>
      <c r="D383">
        <v>3</v>
      </c>
      <c r="E383" t="s">
        <v>49</v>
      </c>
      <c r="F383" t="s">
        <v>388</v>
      </c>
      <c r="G383">
        <v>5</v>
      </c>
      <c r="H383">
        <v>10</v>
      </c>
      <c r="I383">
        <f>G383+H383</f>
        <v>15</v>
      </c>
      <c r="J383">
        <f>100-G383-H383</f>
        <v>85</v>
      </c>
      <c r="K383" t="s">
        <v>19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  <c r="Q383">
        <f>I383</f>
        <v>15</v>
      </c>
      <c r="R383" t="s">
        <v>19</v>
      </c>
      <c r="S383" t="s">
        <v>19</v>
      </c>
      <c r="T383" t="s">
        <v>19</v>
      </c>
    </row>
    <row r="384" spans="1:21" x14ac:dyDescent="0.25">
      <c r="A384" s="2">
        <v>45253.524305555555</v>
      </c>
      <c r="B384" t="s">
        <v>309</v>
      </c>
      <c r="C384" t="s">
        <v>213</v>
      </c>
      <c r="D384">
        <v>3</v>
      </c>
      <c r="E384" t="s">
        <v>49</v>
      </c>
      <c r="F384" t="s">
        <v>388</v>
      </c>
      <c r="G384">
        <v>2.7729636050000002</v>
      </c>
      <c r="H384">
        <v>32.755632579999997</v>
      </c>
      <c r="I384">
        <v>35.528596190000002</v>
      </c>
      <c r="J384">
        <v>64.471403809999998</v>
      </c>
      <c r="K384">
        <v>0.8</v>
      </c>
      <c r="L384">
        <v>0.2</v>
      </c>
      <c r="M384">
        <v>0.7</v>
      </c>
      <c r="N384">
        <v>372</v>
      </c>
      <c r="O384">
        <v>16</v>
      </c>
      <c r="P384">
        <v>189</v>
      </c>
      <c r="Q384">
        <v>35.53</v>
      </c>
      <c r="R384" t="s">
        <v>240</v>
      </c>
      <c r="S384">
        <v>2.68</v>
      </c>
      <c r="T384">
        <v>3.07</v>
      </c>
    </row>
    <row r="385" spans="1:21" x14ac:dyDescent="0.25">
      <c r="A385" s="2">
        <v>45253.824999999997</v>
      </c>
      <c r="B385" t="s">
        <v>309</v>
      </c>
      <c r="C385" t="s">
        <v>215</v>
      </c>
      <c r="D385">
        <v>2</v>
      </c>
      <c r="E385" t="s">
        <v>49</v>
      </c>
      <c r="F385" t="s">
        <v>388</v>
      </c>
      <c r="G385">
        <v>19.354838709999999</v>
      </c>
      <c r="H385">
        <v>0</v>
      </c>
      <c r="I385">
        <v>19.354838709999999</v>
      </c>
      <c r="J385">
        <v>80.645161290000004</v>
      </c>
      <c r="K385">
        <v>0.8</v>
      </c>
      <c r="L385">
        <v>0.2</v>
      </c>
      <c r="M385">
        <v>0.7</v>
      </c>
      <c r="N385">
        <v>525</v>
      </c>
      <c r="O385">
        <v>126</v>
      </c>
      <c r="P385">
        <v>0</v>
      </c>
      <c r="Q385">
        <v>19.350000000000001</v>
      </c>
      <c r="R385" t="s">
        <v>231</v>
      </c>
      <c r="S385">
        <v>0.51</v>
      </c>
      <c r="T385">
        <v>0.55000000000000004</v>
      </c>
    </row>
    <row r="386" spans="1:21" x14ac:dyDescent="0.25">
      <c r="A386" s="2">
        <v>45253.990972222222</v>
      </c>
      <c r="B386" t="s">
        <v>309</v>
      </c>
      <c r="C386" t="s">
        <v>217</v>
      </c>
      <c r="D386">
        <v>2</v>
      </c>
      <c r="E386" t="s">
        <v>49</v>
      </c>
      <c r="F386" t="s">
        <v>388</v>
      </c>
      <c r="G386">
        <v>28.63705972</v>
      </c>
      <c r="H386">
        <v>0</v>
      </c>
      <c r="I386">
        <v>28.63705972</v>
      </c>
      <c r="J386">
        <v>71.362940280000004</v>
      </c>
      <c r="K386">
        <v>0.8</v>
      </c>
      <c r="L386">
        <v>0.2</v>
      </c>
      <c r="M386">
        <v>0.7</v>
      </c>
      <c r="N386">
        <v>466</v>
      </c>
      <c r="O386">
        <v>187</v>
      </c>
      <c r="P386">
        <v>0</v>
      </c>
      <c r="Q386">
        <v>28.64</v>
      </c>
      <c r="R386" t="s">
        <v>222</v>
      </c>
      <c r="S386">
        <v>0.72</v>
      </c>
      <c r="T386">
        <v>0.77</v>
      </c>
    </row>
    <row r="387" spans="1:21" x14ac:dyDescent="0.25">
      <c r="A387" s="2">
        <v>45316.503472222219</v>
      </c>
      <c r="B387" t="s">
        <v>309</v>
      </c>
      <c r="C387" t="s">
        <v>219</v>
      </c>
      <c r="D387">
        <v>3</v>
      </c>
      <c r="E387" t="s">
        <v>49</v>
      </c>
      <c r="F387" t="s">
        <v>388</v>
      </c>
      <c r="G387">
        <v>6.5306122450000004</v>
      </c>
      <c r="H387">
        <v>36.734693880000002</v>
      </c>
      <c r="I387">
        <v>43.265306119999998</v>
      </c>
      <c r="J387">
        <v>56.734693880000002</v>
      </c>
      <c r="K387">
        <v>0.8</v>
      </c>
      <c r="L387">
        <v>0.2</v>
      </c>
      <c r="M387">
        <v>0.7</v>
      </c>
      <c r="N387">
        <v>278</v>
      </c>
      <c r="O387">
        <v>32</v>
      </c>
      <c r="P387">
        <v>180</v>
      </c>
      <c r="Q387">
        <v>43.27</v>
      </c>
      <c r="R387" t="s">
        <v>218</v>
      </c>
      <c r="S387">
        <v>3.11</v>
      </c>
      <c r="T387">
        <v>4.41</v>
      </c>
    </row>
    <row r="388" spans="1:21" x14ac:dyDescent="0.25">
      <c r="A388" s="2">
        <v>45320.834722222222</v>
      </c>
      <c r="B388" t="s">
        <v>309</v>
      </c>
      <c r="C388" t="s">
        <v>221</v>
      </c>
      <c r="D388">
        <v>2</v>
      </c>
      <c r="E388" t="s">
        <v>49</v>
      </c>
      <c r="F388" t="s">
        <v>388</v>
      </c>
      <c r="G388">
        <v>56.333333330000002</v>
      </c>
      <c r="H388">
        <v>0</v>
      </c>
      <c r="I388">
        <v>56.333333330000002</v>
      </c>
      <c r="J388">
        <v>43.666666669999998</v>
      </c>
      <c r="K388">
        <v>0.8</v>
      </c>
      <c r="L388">
        <v>0.3</v>
      </c>
      <c r="M388">
        <v>0.7</v>
      </c>
      <c r="N388">
        <v>262</v>
      </c>
      <c r="O388">
        <v>338</v>
      </c>
      <c r="P388">
        <v>0</v>
      </c>
      <c r="Q388">
        <v>56.33</v>
      </c>
      <c r="R388" t="s">
        <v>258</v>
      </c>
      <c r="S388">
        <v>1.45</v>
      </c>
      <c r="T388">
        <v>1.57</v>
      </c>
    </row>
    <row r="389" spans="1:21" x14ac:dyDescent="0.25">
      <c r="A389" t="s">
        <v>19</v>
      </c>
      <c r="B389" t="s">
        <v>20</v>
      </c>
      <c r="C389" t="s">
        <v>306</v>
      </c>
      <c r="D389">
        <v>3</v>
      </c>
      <c r="E389" t="s">
        <v>49</v>
      </c>
      <c r="F389" t="s">
        <v>388</v>
      </c>
      <c r="G389">
        <v>35</v>
      </c>
      <c r="H389">
        <v>45</v>
      </c>
      <c r="I389">
        <v>80</v>
      </c>
      <c r="J389">
        <v>20</v>
      </c>
      <c r="K389" t="s">
        <v>19</v>
      </c>
      <c r="L389" t="s">
        <v>19</v>
      </c>
      <c r="M389" t="s">
        <v>19</v>
      </c>
      <c r="N389" t="s">
        <v>19</v>
      </c>
      <c r="O389" t="s">
        <v>19</v>
      </c>
      <c r="P389" t="s">
        <v>19</v>
      </c>
      <c r="Q389">
        <f>I389</f>
        <v>80</v>
      </c>
      <c r="R389" t="s">
        <v>19</v>
      </c>
      <c r="S389" t="s">
        <v>19</v>
      </c>
      <c r="T389" t="s">
        <v>19</v>
      </c>
    </row>
    <row r="390" spans="1:21" x14ac:dyDescent="0.25">
      <c r="A390" t="s">
        <v>19</v>
      </c>
      <c r="B390" t="s">
        <v>20</v>
      </c>
      <c r="C390" t="s">
        <v>320</v>
      </c>
      <c r="D390">
        <v>3</v>
      </c>
      <c r="E390" t="s">
        <v>49</v>
      </c>
      <c r="F390" t="s">
        <v>388</v>
      </c>
      <c r="G390">
        <v>15</v>
      </c>
      <c r="H390">
        <v>35</v>
      </c>
      <c r="I390">
        <f>100-J390</f>
        <v>50</v>
      </c>
      <c r="J390">
        <f>100-G390-H390</f>
        <v>50</v>
      </c>
      <c r="K390" t="s">
        <v>19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  <c r="Q390">
        <f>I390</f>
        <v>50</v>
      </c>
      <c r="R390" t="s">
        <v>19</v>
      </c>
      <c r="S390" t="s">
        <v>19</v>
      </c>
      <c r="T390" t="s">
        <v>19</v>
      </c>
    </row>
    <row r="391" spans="1:21" x14ac:dyDescent="0.25">
      <c r="A391" s="2">
        <v>45323.526631944442</v>
      </c>
      <c r="B391" t="s">
        <v>309</v>
      </c>
      <c r="C391" t="s">
        <v>322</v>
      </c>
      <c r="D391">
        <v>3</v>
      </c>
      <c r="E391" t="s">
        <v>49</v>
      </c>
      <c r="F391" t="s">
        <v>388</v>
      </c>
      <c r="G391">
        <f>(O391/(N391+O391+P391))*100</f>
        <v>17.826825127334462</v>
      </c>
      <c r="H391">
        <f>(P391/(O391+P391+N391))*100</f>
        <v>26.99490662139219</v>
      </c>
      <c r="I391">
        <f>((O391+P391)/(P391+O391+N391))*100</f>
        <v>44.821731748726656</v>
      </c>
      <c r="J391">
        <f>(N391/(P391+O391+N391))*100</f>
        <v>55.178268251273344</v>
      </c>
      <c r="K391">
        <v>0.8</v>
      </c>
      <c r="L391">
        <v>0.3</v>
      </c>
      <c r="M391">
        <v>0.7</v>
      </c>
      <c r="N391">
        <v>325</v>
      </c>
      <c r="O391">
        <v>105</v>
      </c>
      <c r="P391">
        <v>159</v>
      </c>
      <c r="Q391">
        <v>44.82</v>
      </c>
      <c r="R391" t="s">
        <v>350</v>
      </c>
      <c r="S391">
        <v>2.5299999999999998</v>
      </c>
      <c r="T391">
        <v>3.59</v>
      </c>
      <c r="U391">
        <v>121</v>
      </c>
    </row>
    <row r="392" spans="1:21" x14ac:dyDescent="0.25">
      <c r="A392" s="2">
        <v>45323.525763888887</v>
      </c>
      <c r="B392" t="s">
        <v>309</v>
      </c>
      <c r="C392" t="s">
        <v>322</v>
      </c>
      <c r="D392">
        <v>3</v>
      </c>
      <c r="E392" t="s">
        <v>49</v>
      </c>
      <c r="F392" t="s">
        <v>388</v>
      </c>
      <c r="G392">
        <f>(O392/(N392+O392+P392))*100</f>
        <v>20.263591433278417</v>
      </c>
      <c r="H392">
        <f>(P392/(O392+P392+N392))*100</f>
        <v>28.83031301482702</v>
      </c>
      <c r="I392">
        <v>49.09</v>
      </c>
      <c r="J392">
        <f>(N392/(P392+O392+N392))*100</f>
        <v>50.906095551894559</v>
      </c>
      <c r="K392">
        <v>0.7</v>
      </c>
      <c r="L392">
        <v>0.3</v>
      </c>
      <c r="M392">
        <v>0.7</v>
      </c>
      <c r="N392">
        <v>309</v>
      </c>
      <c r="O392">
        <v>123</v>
      </c>
      <c r="P392">
        <v>175</v>
      </c>
      <c r="Q392">
        <v>49.09</v>
      </c>
      <c r="R392" t="s">
        <v>354</v>
      </c>
      <c r="S392">
        <v>2.5299999999999998</v>
      </c>
      <c r="T392">
        <v>3.59</v>
      </c>
      <c r="U392">
        <v>103</v>
      </c>
    </row>
    <row r="393" spans="1:21" x14ac:dyDescent="0.25">
      <c r="A393" s="2">
        <v>45324.953460648147</v>
      </c>
      <c r="B393" t="s">
        <v>309</v>
      </c>
      <c r="C393" t="s">
        <v>368</v>
      </c>
      <c r="D393">
        <v>2</v>
      </c>
      <c r="E393" t="s">
        <v>49</v>
      </c>
      <c r="F393" t="s">
        <v>388</v>
      </c>
      <c r="G393">
        <f>(O393/(N393+O393+P393))*100</f>
        <v>58.206429780033844</v>
      </c>
      <c r="H393">
        <f>(P393/(O393+P393+N393))*100</f>
        <v>0</v>
      </c>
      <c r="I393">
        <v>58.21</v>
      </c>
      <c r="J393">
        <f>(N393/(P393+O393+N393))*100</f>
        <v>41.793570219966156</v>
      </c>
      <c r="K393">
        <v>0.8</v>
      </c>
      <c r="L393">
        <v>0.3</v>
      </c>
      <c r="M393">
        <v>0.7</v>
      </c>
      <c r="N393">
        <v>247</v>
      </c>
      <c r="O393">
        <v>344</v>
      </c>
      <c r="P393">
        <v>0</v>
      </c>
      <c r="Q393">
        <v>58.21</v>
      </c>
      <c r="R393" t="s">
        <v>296</v>
      </c>
      <c r="S393">
        <v>1.44</v>
      </c>
      <c r="T393">
        <v>1.57</v>
      </c>
    </row>
    <row r="394" spans="1:21" x14ac:dyDescent="0.25">
      <c r="A394" t="s">
        <v>19</v>
      </c>
      <c r="B394" t="s">
        <v>20</v>
      </c>
      <c r="C394" t="s">
        <v>308</v>
      </c>
      <c r="D394">
        <v>3</v>
      </c>
      <c r="E394" t="s">
        <v>50</v>
      </c>
      <c r="F394" t="s">
        <v>388</v>
      </c>
      <c r="G394">
        <v>4</v>
      </c>
      <c r="H394">
        <v>11</v>
      </c>
      <c r="I394">
        <f>G394+H394</f>
        <v>15</v>
      </c>
      <c r="J394">
        <f>100-G394-H394</f>
        <v>85</v>
      </c>
      <c r="K394" t="s">
        <v>19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  <c r="Q394">
        <f>I394</f>
        <v>15</v>
      </c>
      <c r="R394" t="s">
        <v>19</v>
      </c>
      <c r="S394" t="s">
        <v>19</v>
      </c>
      <c r="T394" t="s">
        <v>19</v>
      </c>
    </row>
    <row r="395" spans="1:21" x14ac:dyDescent="0.25">
      <c r="A395" t="s">
        <v>19</v>
      </c>
      <c r="B395" t="s">
        <v>20</v>
      </c>
      <c r="C395" t="s">
        <v>22</v>
      </c>
      <c r="D395">
        <v>3</v>
      </c>
      <c r="E395" t="s">
        <v>50</v>
      </c>
      <c r="F395" t="s">
        <v>388</v>
      </c>
      <c r="G395">
        <v>0</v>
      </c>
      <c r="H395">
        <v>10</v>
      </c>
      <c r="I395">
        <f>G395+H395</f>
        <v>10</v>
      </c>
      <c r="J395">
        <f>100-G395-H395</f>
        <v>90</v>
      </c>
      <c r="K395" t="s">
        <v>19</v>
      </c>
      <c r="L395" t="s">
        <v>19</v>
      </c>
      <c r="M395" t="s">
        <v>19</v>
      </c>
      <c r="N395" t="s">
        <v>19</v>
      </c>
      <c r="O395" t="s">
        <v>19</v>
      </c>
      <c r="P395" t="s">
        <v>19</v>
      </c>
      <c r="Q395">
        <f>I395</f>
        <v>10</v>
      </c>
      <c r="R395" t="s">
        <v>19</v>
      </c>
      <c r="S395" t="s">
        <v>19</v>
      </c>
      <c r="T395" t="s">
        <v>19</v>
      </c>
    </row>
    <row r="396" spans="1:21" x14ac:dyDescent="0.25">
      <c r="A396" t="s">
        <v>19</v>
      </c>
      <c r="B396" t="s">
        <v>20</v>
      </c>
      <c r="C396" t="s">
        <v>305</v>
      </c>
      <c r="D396">
        <v>3</v>
      </c>
      <c r="E396" t="s">
        <v>50</v>
      </c>
      <c r="F396" t="s">
        <v>388</v>
      </c>
      <c r="G396">
        <v>15</v>
      </c>
      <c r="H396">
        <v>20</v>
      </c>
      <c r="I396">
        <f>G396+H396</f>
        <v>35</v>
      </c>
      <c r="J396">
        <f>100-G396-H396</f>
        <v>65</v>
      </c>
      <c r="K396" t="s">
        <v>19</v>
      </c>
      <c r="L396" t="s">
        <v>19</v>
      </c>
      <c r="M396" t="s">
        <v>19</v>
      </c>
      <c r="N396" t="s">
        <v>19</v>
      </c>
      <c r="O396" t="s">
        <v>19</v>
      </c>
      <c r="P396" t="s">
        <v>19</v>
      </c>
      <c r="Q396">
        <f>I396</f>
        <v>35</v>
      </c>
      <c r="R396" t="s">
        <v>19</v>
      </c>
      <c r="S396" t="s">
        <v>19</v>
      </c>
      <c r="T396" t="s">
        <v>19</v>
      </c>
    </row>
    <row r="397" spans="1:21" x14ac:dyDescent="0.25">
      <c r="A397" t="s">
        <v>19</v>
      </c>
      <c r="B397" t="s">
        <v>20</v>
      </c>
      <c r="C397" t="s">
        <v>307</v>
      </c>
      <c r="D397">
        <v>3</v>
      </c>
      <c r="E397" t="s">
        <v>50</v>
      </c>
      <c r="F397" t="s">
        <v>388</v>
      </c>
      <c r="G397">
        <v>1</v>
      </c>
      <c r="H397">
        <v>4</v>
      </c>
      <c r="I397">
        <f>G397+H397</f>
        <v>5</v>
      </c>
      <c r="J397">
        <f>100-G397-H397</f>
        <v>95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  <c r="Q397">
        <f>I397</f>
        <v>5</v>
      </c>
      <c r="R397" t="s">
        <v>19</v>
      </c>
      <c r="S397" t="s">
        <v>19</v>
      </c>
      <c r="T397" t="s">
        <v>19</v>
      </c>
    </row>
    <row r="398" spans="1:21" x14ac:dyDescent="0.25">
      <c r="A398" s="2">
        <v>45253.525694444441</v>
      </c>
      <c r="B398" t="s">
        <v>309</v>
      </c>
      <c r="C398" t="s">
        <v>213</v>
      </c>
      <c r="D398">
        <v>3</v>
      </c>
      <c r="E398" t="s">
        <v>50</v>
      </c>
      <c r="F398" t="s">
        <v>388</v>
      </c>
      <c r="G398">
        <v>0.89285714299999996</v>
      </c>
      <c r="H398">
        <v>12.79761905</v>
      </c>
      <c r="I398">
        <v>13.69047619</v>
      </c>
      <c r="J398">
        <v>86.309523810000002</v>
      </c>
      <c r="K398">
        <v>0.8</v>
      </c>
      <c r="L398">
        <v>0.2</v>
      </c>
      <c r="M398">
        <v>0.7</v>
      </c>
      <c r="N398">
        <v>580</v>
      </c>
      <c r="O398">
        <v>6</v>
      </c>
      <c r="P398">
        <v>86</v>
      </c>
      <c r="Q398">
        <v>13.69</v>
      </c>
      <c r="R398" t="s">
        <v>223</v>
      </c>
      <c r="S398">
        <v>2.87</v>
      </c>
      <c r="T398">
        <v>3.13</v>
      </c>
    </row>
    <row r="399" spans="1:21" x14ac:dyDescent="0.25">
      <c r="A399" s="2">
        <v>45253.825694444444</v>
      </c>
      <c r="B399" t="s">
        <v>309</v>
      </c>
      <c r="C399" t="s">
        <v>215</v>
      </c>
      <c r="D399">
        <v>2</v>
      </c>
      <c r="E399" t="s">
        <v>50</v>
      </c>
      <c r="F399" t="s">
        <v>388</v>
      </c>
      <c r="G399">
        <v>8.2962962959999995</v>
      </c>
      <c r="H399">
        <v>0</v>
      </c>
      <c r="I399">
        <v>8.2962962959999995</v>
      </c>
      <c r="J399">
        <v>91.703703700000005</v>
      </c>
      <c r="K399">
        <v>0.8</v>
      </c>
      <c r="L399">
        <v>0.2</v>
      </c>
      <c r="M399">
        <v>0.7</v>
      </c>
      <c r="N399">
        <v>619</v>
      </c>
      <c r="O399">
        <v>56</v>
      </c>
      <c r="P399">
        <v>0</v>
      </c>
      <c r="Q399">
        <v>8.3000000000000007</v>
      </c>
      <c r="R399" t="s">
        <v>224</v>
      </c>
      <c r="S399">
        <v>0.23</v>
      </c>
      <c r="T399">
        <v>0.24</v>
      </c>
    </row>
    <row r="400" spans="1:21" x14ac:dyDescent="0.25">
      <c r="A400" s="2">
        <v>45253.991666666669</v>
      </c>
      <c r="B400" t="s">
        <v>309</v>
      </c>
      <c r="C400" t="s">
        <v>217</v>
      </c>
      <c r="D400">
        <v>2</v>
      </c>
      <c r="E400" t="s">
        <v>50</v>
      </c>
      <c r="F400" t="s">
        <v>388</v>
      </c>
      <c r="G400">
        <v>13.08270677</v>
      </c>
      <c r="H400">
        <v>0</v>
      </c>
      <c r="I400">
        <v>13.08270677</v>
      </c>
      <c r="J400">
        <v>86.917293229999999</v>
      </c>
      <c r="K400">
        <v>0.8</v>
      </c>
      <c r="L400">
        <v>0.2</v>
      </c>
      <c r="M400">
        <v>0.7</v>
      </c>
      <c r="N400">
        <v>578</v>
      </c>
      <c r="O400">
        <v>87</v>
      </c>
      <c r="P400">
        <v>0</v>
      </c>
      <c r="Q400">
        <v>13.08</v>
      </c>
      <c r="R400" t="s">
        <v>218</v>
      </c>
      <c r="S400">
        <v>0.35</v>
      </c>
      <c r="T400">
        <v>0.37</v>
      </c>
    </row>
    <row r="401" spans="1:21" x14ac:dyDescent="0.25">
      <c r="A401" s="2">
        <v>45316.504166666666</v>
      </c>
      <c r="B401" t="s">
        <v>309</v>
      </c>
      <c r="C401" t="s">
        <v>219</v>
      </c>
      <c r="D401">
        <v>3</v>
      </c>
      <c r="E401" t="s">
        <v>50</v>
      </c>
      <c r="F401" t="s">
        <v>388</v>
      </c>
      <c r="G401">
        <v>1.325757576</v>
      </c>
      <c r="H401">
        <v>13.06818182</v>
      </c>
      <c r="I401">
        <v>14.39393939</v>
      </c>
      <c r="J401">
        <v>85.60606061</v>
      </c>
      <c r="K401">
        <v>0.8</v>
      </c>
      <c r="L401">
        <v>0.2</v>
      </c>
      <c r="M401">
        <v>0.7</v>
      </c>
      <c r="N401">
        <v>452</v>
      </c>
      <c r="O401">
        <v>7</v>
      </c>
      <c r="P401">
        <v>69</v>
      </c>
      <c r="Q401">
        <v>14.39</v>
      </c>
      <c r="R401" t="s">
        <v>225</v>
      </c>
      <c r="S401">
        <v>3.23</v>
      </c>
      <c r="T401">
        <v>4.66</v>
      </c>
    </row>
    <row r="402" spans="1:21" x14ac:dyDescent="0.25">
      <c r="A402" s="2">
        <v>45320.836111111108</v>
      </c>
      <c r="B402" t="s">
        <v>309</v>
      </c>
      <c r="C402" t="s">
        <v>221</v>
      </c>
      <c r="D402">
        <v>2</v>
      </c>
      <c r="E402" t="s">
        <v>50</v>
      </c>
      <c r="F402" t="s">
        <v>388</v>
      </c>
      <c r="G402">
        <v>20</v>
      </c>
      <c r="H402">
        <v>0</v>
      </c>
      <c r="I402">
        <v>20</v>
      </c>
      <c r="J402">
        <v>80</v>
      </c>
      <c r="K402">
        <v>0.8</v>
      </c>
      <c r="L402">
        <v>0.3</v>
      </c>
      <c r="M402">
        <v>0.7</v>
      </c>
      <c r="N402">
        <v>520</v>
      </c>
      <c r="O402">
        <v>130</v>
      </c>
      <c r="P402">
        <v>0</v>
      </c>
      <c r="Q402">
        <v>20</v>
      </c>
      <c r="R402" t="s">
        <v>259</v>
      </c>
      <c r="S402">
        <v>0.54</v>
      </c>
      <c r="T402">
        <v>0.59</v>
      </c>
    </row>
    <row r="403" spans="1:21" x14ac:dyDescent="0.25">
      <c r="A403" t="s">
        <v>19</v>
      </c>
      <c r="B403" t="s">
        <v>20</v>
      </c>
      <c r="C403" t="s">
        <v>306</v>
      </c>
      <c r="D403">
        <v>3</v>
      </c>
      <c r="E403" t="s">
        <v>50</v>
      </c>
      <c r="F403" t="s">
        <v>388</v>
      </c>
      <c r="G403">
        <v>25</v>
      </c>
      <c r="H403">
        <v>15</v>
      </c>
      <c r="I403">
        <v>40</v>
      </c>
      <c r="J403">
        <v>60</v>
      </c>
      <c r="K403" t="s">
        <v>19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  <c r="Q403">
        <f>I403</f>
        <v>40</v>
      </c>
      <c r="R403" t="s">
        <v>19</v>
      </c>
      <c r="S403" t="s">
        <v>19</v>
      </c>
      <c r="T403" t="s">
        <v>19</v>
      </c>
    </row>
    <row r="404" spans="1:21" x14ac:dyDescent="0.25">
      <c r="A404" t="s">
        <v>19</v>
      </c>
      <c r="B404" t="s">
        <v>20</v>
      </c>
      <c r="C404" t="s">
        <v>320</v>
      </c>
      <c r="D404">
        <v>3</v>
      </c>
      <c r="E404" t="s">
        <v>50</v>
      </c>
      <c r="F404" t="s">
        <v>388</v>
      </c>
      <c r="G404">
        <v>0</v>
      </c>
      <c r="H404">
        <v>20</v>
      </c>
      <c r="I404">
        <f>100-J404</f>
        <v>20</v>
      </c>
      <c r="J404">
        <f>100-G404-H404</f>
        <v>80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>
        <f>I404</f>
        <v>20</v>
      </c>
      <c r="R404" t="s">
        <v>19</v>
      </c>
      <c r="S404" t="s">
        <v>19</v>
      </c>
      <c r="T404" t="s">
        <v>19</v>
      </c>
    </row>
    <row r="405" spans="1:21" x14ac:dyDescent="0.25">
      <c r="A405" s="2">
        <v>45323.528564814813</v>
      </c>
      <c r="B405" t="s">
        <v>309</v>
      </c>
      <c r="C405" t="s">
        <v>322</v>
      </c>
      <c r="D405">
        <v>3</v>
      </c>
      <c r="E405" t="s">
        <v>50</v>
      </c>
      <c r="F405" t="s">
        <v>388</v>
      </c>
      <c r="G405">
        <f>(O405/(N405+O405+P405))*100</f>
        <v>5.4927302100161546</v>
      </c>
      <c r="H405">
        <f>(P405/(O405+P405+N405))*100</f>
        <v>11.308562197092083</v>
      </c>
      <c r="I405">
        <f>((O405+P405)/(P405+O405+N405))*100</f>
        <v>16.801292407108239</v>
      </c>
      <c r="J405">
        <f>(N405/(P405+O405+N405))*100</f>
        <v>83.198707592891765</v>
      </c>
      <c r="K405">
        <v>0.8</v>
      </c>
      <c r="L405">
        <v>0.3</v>
      </c>
      <c r="M405">
        <v>0.7</v>
      </c>
      <c r="N405">
        <v>515</v>
      </c>
      <c r="O405">
        <v>34</v>
      </c>
      <c r="P405">
        <v>70</v>
      </c>
      <c r="Q405">
        <v>16.8</v>
      </c>
      <c r="R405" t="s">
        <v>351</v>
      </c>
      <c r="S405">
        <v>2.6</v>
      </c>
      <c r="T405">
        <v>3.18</v>
      </c>
      <c r="U405">
        <v>71</v>
      </c>
    </row>
    <row r="406" spans="1:21" x14ac:dyDescent="0.25">
      <c r="A406" s="2">
        <v>45323.527581018519</v>
      </c>
      <c r="B406" t="s">
        <v>309</v>
      </c>
      <c r="C406" t="s">
        <v>322</v>
      </c>
      <c r="D406">
        <v>3</v>
      </c>
      <c r="E406" t="s">
        <v>50</v>
      </c>
      <c r="F406" t="s">
        <v>388</v>
      </c>
      <c r="G406">
        <f>(O406/(N406+O406+P406))*100</f>
        <v>6.995230524642289</v>
      </c>
      <c r="H406">
        <f>(P406/(O406+P406+N406))*100</f>
        <v>11.923688394276629</v>
      </c>
      <c r="I406">
        <v>18.920000000000002</v>
      </c>
      <c r="J406">
        <f>(N406/(P406+O406+N406))*100</f>
        <v>81.081081081081081</v>
      </c>
      <c r="K406">
        <v>0.7</v>
      </c>
      <c r="L406">
        <v>0.3</v>
      </c>
      <c r="M406">
        <v>0.7</v>
      </c>
      <c r="N406">
        <v>510</v>
      </c>
      <c r="O406">
        <v>44</v>
      </c>
      <c r="P406">
        <v>75</v>
      </c>
      <c r="Q406">
        <v>18.920000000000002</v>
      </c>
      <c r="R406" t="s">
        <v>354</v>
      </c>
      <c r="S406">
        <v>2.6</v>
      </c>
      <c r="T406">
        <v>3.18</v>
      </c>
      <c r="U406">
        <v>61</v>
      </c>
    </row>
    <row r="407" spans="1:21" x14ac:dyDescent="0.25">
      <c r="A407" s="2">
        <v>45324.955092592594</v>
      </c>
      <c r="B407" t="s">
        <v>309</v>
      </c>
      <c r="C407" t="s">
        <v>368</v>
      </c>
      <c r="D407">
        <v>2</v>
      </c>
      <c r="E407" t="s">
        <v>50</v>
      </c>
      <c r="F407" t="s">
        <v>388</v>
      </c>
      <c r="G407">
        <f>(O407/(N407+O407+P407))*100</f>
        <v>19.431279620853083</v>
      </c>
      <c r="H407">
        <f>(P407/(O407+P407+N407))*100</f>
        <v>0</v>
      </c>
      <c r="I407">
        <v>19.43</v>
      </c>
      <c r="J407">
        <f>(N407/(P407+O407+N407))*100</f>
        <v>80.568720379146924</v>
      </c>
      <c r="K407">
        <v>0.8</v>
      </c>
      <c r="L407">
        <v>0.3</v>
      </c>
      <c r="M407">
        <v>0.7</v>
      </c>
      <c r="N407">
        <v>510</v>
      </c>
      <c r="O407">
        <v>123</v>
      </c>
      <c r="P407">
        <v>0</v>
      </c>
      <c r="Q407">
        <v>19.43</v>
      </c>
      <c r="R407" t="s">
        <v>258</v>
      </c>
      <c r="S407">
        <v>0.52</v>
      </c>
      <c r="T407">
        <v>0.56999999999999995</v>
      </c>
    </row>
    <row r="408" spans="1:21" x14ac:dyDescent="0.25">
      <c r="A408" t="s">
        <v>19</v>
      </c>
      <c r="B408" t="s">
        <v>20</v>
      </c>
      <c r="C408" t="s">
        <v>308</v>
      </c>
      <c r="D408">
        <v>3</v>
      </c>
      <c r="E408" t="s">
        <v>51</v>
      </c>
      <c r="F408" t="s">
        <v>388</v>
      </c>
      <c r="G408">
        <v>25</v>
      </c>
      <c r="H408">
        <v>20</v>
      </c>
      <c r="I408">
        <f>G408+H408</f>
        <v>45</v>
      </c>
      <c r="J408">
        <f>100-G408-H408</f>
        <v>55</v>
      </c>
      <c r="K408" t="s">
        <v>19</v>
      </c>
      <c r="L408" t="s">
        <v>19</v>
      </c>
      <c r="M408" t="s">
        <v>19</v>
      </c>
      <c r="N408" t="s">
        <v>19</v>
      </c>
      <c r="O408" t="s">
        <v>19</v>
      </c>
      <c r="P408" t="s">
        <v>19</v>
      </c>
      <c r="Q408">
        <f>I408</f>
        <v>45</v>
      </c>
      <c r="R408" t="s">
        <v>19</v>
      </c>
      <c r="S408" t="s">
        <v>19</v>
      </c>
      <c r="T408" t="s">
        <v>19</v>
      </c>
    </row>
    <row r="409" spans="1:21" x14ac:dyDescent="0.25">
      <c r="A409" t="s">
        <v>19</v>
      </c>
      <c r="B409" t="s">
        <v>20</v>
      </c>
      <c r="C409" t="s">
        <v>22</v>
      </c>
      <c r="D409">
        <v>3</v>
      </c>
      <c r="E409" t="s">
        <v>51</v>
      </c>
      <c r="F409" t="s">
        <v>388</v>
      </c>
      <c r="G409">
        <v>20</v>
      </c>
      <c r="H409">
        <v>20</v>
      </c>
      <c r="I409">
        <f>G409+H409</f>
        <v>40</v>
      </c>
      <c r="J409">
        <f>100-G409-H409</f>
        <v>60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  <c r="P409" t="s">
        <v>19</v>
      </c>
      <c r="Q409">
        <f>I409</f>
        <v>40</v>
      </c>
      <c r="R409" t="s">
        <v>19</v>
      </c>
      <c r="S409" t="s">
        <v>19</v>
      </c>
      <c r="T409" t="s">
        <v>19</v>
      </c>
    </row>
    <row r="410" spans="1:21" x14ac:dyDescent="0.25">
      <c r="A410" t="s">
        <v>19</v>
      </c>
      <c r="B410" t="s">
        <v>20</v>
      </c>
      <c r="C410" t="s">
        <v>305</v>
      </c>
      <c r="D410">
        <v>3</v>
      </c>
      <c r="E410" t="s">
        <v>51</v>
      </c>
      <c r="F410" t="s">
        <v>388</v>
      </c>
      <c r="G410">
        <v>30</v>
      </c>
      <c r="H410">
        <v>30</v>
      </c>
      <c r="I410">
        <f>G410+H410</f>
        <v>60</v>
      </c>
      <c r="J410">
        <f>100-G410-H410</f>
        <v>40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>
        <f>I410</f>
        <v>60</v>
      </c>
      <c r="R410" t="s">
        <v>19</v>
      </c>
      <c r="S410" t="s">
        <v>19</v>
      </c>
      <c r="T410" t="s">
        <v>19</v>
      </c>
    </row>
    <row r="411" spans="1:21" x14ac:dyDescent="0.25">
      <c r="A411" t="s">
        <v>19</v>
      </c>
      <c r="B411" t="s">
        <v>20</v>
      </c>
      <c r="C411" t="s">
        <v>307</v>
      </c>
      <c r="D411">
        <v>3</v>
      </c>
      <c r="E411" t="s">
        <v>51</v>
      </c>
      <c r="F411" t="s">
        <v>388</v>
      </c>
      <c r="G411">
        <v>9</v>
      </c>
      <c r="H411">
        <v>9</v>
      </c>
      <c r="I411">
        <f>G411+H411</f>
        <v>18</v>
      </c>
      <c r="J411">
        <f>100-G411-H411</f>
        <v>82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>
        <f>I411</f>
        <v>18</v>
      </c>
      <c r="R411" t="s">
        <v>19</v>
      </c>
      <c r="S411" t="s">
        <v>19</v>
      </c>
      <c r="T411" t="s">
        <v>19</v>
      </c>
    </row>
    <row r="412" spans="1:21" x14ac:dyDescent="0.25">
      <c r="A412" s="2">
        <v>45253.527083333334</v>
      </c>
      <c r="B412" t="s">
        <v>309</v>
      </c>
      <c r="C412" t="s">
        <v>213</v>
      </c>
      <c r="D412">
        <v>3</v>
      </c>
      <c r="E412" t="s">
        <v>51</v>
      </c>
      <c r="F412" t="s">
        <v>388</v>
      </c>
      <c r="G412">
        <v>12.85714286</v>
      </c>
      <c r="H412">
        <v>19.795918369999999</v>
      </c>
      <c r="I412">
        <v>32.653061219999998</v>
      </c>
      <c r="J412">
        <v>67.346938780000002</v>
      </c>
      <c r="K412">
        <v>0.8</v>
      </c>
      <c r="L412">
        <v>0.2</v>
      </c>
      <c r="M412">
        <v>0.7</v>
      </c>
      <c r="N412">
        <v>330</v>
      </c>
      <c r="O412">
        <v>63</v>
      </c>
      <c r="P412">
        <v>97</v>
      </c>
      <c r="Q412">
        <v>32.65</v>
      </c>
      <c r="R412" t="s">
        <v>260</v>
      </c>
      <c r="S412">
        <v>2.66</v>
      </c>
      <c r="T412">
        <v>3.03</v>
      </c>
    </row>
    <row r="413" spans="1:21" x14ac:dyDescent="0.25">
      <c r="A413" s="2">
        <v>45253.826388888891</v>
      </c>
      <c r="B413" t="s">
        <v>309</v>
      </c>
      <c r="C413" t="s">
        <v>215</v>
      </c>
      <c r="D413">
        <v>2</v>
      </c>
      <c r="E413" t="s">
        <v>51</v>
      </c>
      <c r="F413" t="s">
        <v>388</v>
      </c>
      <c r="G413">
        <v>34.939759039999998</v>
      </c>
      <c r="H413">
        <v>0</v>
      </c>
      <c r="I413">
        <v>34.939759039999998</v>
      </c>
      <c r="J413">
        <v>65.060240960000002</v>
      </c>
      <c r="K413">
        <v>0.8</v>
      </c>
      <c r="L413">
        <v>0.2</v>
      </c>
      <c r="M413">
        <v>0.7</v>
      </c>
      <c r="N413">
        <v>324</v>
      </c>
      <c r="O413">
        <v>174</v>
      </c>
      <c r="P413">
        <v>0</v>
      </c>
      <c r="Q413">
        <v>34.94</v>
      </c>
      <c r="R413" t="s">
        <v>225</v>
      </c>
      <c r="S413">
        <v>0.87</v>
      </c>
      <c r="T413">
        <v>0.94</v>
      </c>
    </row>
    <row r="414" spans="1:21" x14ac:dyDescent="0.25">
      <c r="A414" s="2">
        <v>45253.992361111108</v>
      </c>
      <c r="B414" t="s">
        <v>309</v>
      </c>
      <c r="C414" t="s">
        <v>217</v>
      </c>
      <c r="D414">
        <v>2</v>
      </c>
      <c r="E414" t="s">
        <v>51</v>
      </c>
      <c r="F414" t="s">
        <v>388</v>
      </c>
      <c r="G414">
        <v>34.205933680000001</v>
      </c>
      <c r="H414">
        <v>0</v>
      </c>
      <c r="I414">
        <v>34.205933680000001</v>
      </c>
      <c r="J414">
        <v>65.794066319999999</v>
      </c>
      <c r="K414">
        <v>0.8</v>
      </c>
      <c r="L414">
        <v>0.2</v>
      </c>
      <c r="M414">
        <v>0.7</v>
      </c>
      <c r="N414">
        <v>377</v>
      </c>
      <c r="O414">
        <v>196</v>
      </c>
      <c r="P414">
        <v>0</v>
      </c>
      <c r="Q414">
        <v>34.21</v>
      </c>
      <c r="R414" t="s">
        <v>254</v>
      </c>
      <c r="S414">
        <v>0.9</v>
      </c>
      <c r="T414">
        <v>0.95</v>
      </c>
    </row>
    <row r="415" spans="1:21" x14ac:dyDescent="0.25">
      <c r="A415" s="2">
        <v>45316.504861111112</v>
      </c>
      <c r="B415" t="s">
        <v>309</v>
      </c>
      <c r="C415" t="s">
        <v>219</v>
      </c>
      <c r="D415">
        <v>3</v>
      </c>
      <c r="E415" t="s">
        <v>51</v>
      </c>
      <c r="F415" t="s">
        <v>388</v>
      </c>
      <c r="G415">
        <v>15.89242054</v>
      </c>
      <c r="H415">
        <v>16.136919320000001</v>
      </c>
      <c r="I415">
        <v>32.02933985</v>
      </c>
      <c r="J415">
        <v>67.97066015</v>
      </c>
      <c r="K415">
        <v>0.8</v>
      </c>
      <c r="L415">
        <v>0.2</v>
      </c>
      <c r="M415">
        <v>0.7</v>
      </c>
      <c r="N415">
        <v>278</v>
      </c>
      <c r="O415">
        <v>65</v>
      </c>
      <c r="P415">
        <v>66</v>
      </c>
      <c r="Q415">
        <v>32.03</v>
      </c>
      <c r="R415" t="s">
        <v>227</v>
      </c>
      <c r="S415">
        <v>3.03</v>
      </c>
      <c r="T415">
        <v>4.57</v>
      </c>
    </row>
    <row r="416" spans="1:21" x14ac:dyDescent="0.25">
      <c r="A416" s="2">
        <v>45320.837500000001</v>
      </c>
      <c r="B416" t="s">
        <v>309</v>
      </c>
      <c r="C416" t="s">
        <v>221</v>
      </c>
      <c r="D416">
        <v>2</v>
      </c>
      <c r="E416" t="s">
        <v>51</v>
      </c>
      <c r="F416" t="s">
        <v>388</v>
      </c>
      <c r="G416">
        <v>54.591836729999997</v>
      </c>
      <c r="H416">
        <v>0</v>
      </c>
      <c r="I416">
        <v>54.591836729999997</v>
      </c>
      <c r="J416">
        <v>45.408163270000003</v>
      </c>
      <c r="K416">
        <v>0.8</v>
      </c>
      <c r="L416">
        <v>0.3</v>
      </c>
      <c r="M416">
        <v>0.7</v>
      </c>
      <c r="N416">
        <v>267</v>
      </c>
      <c r="O416">
        <v>321</v>
      </c>
      <c r="P416">
        <v>0</v>
      </c>
      <c r="Q416">
        <v>54.59</v>
      </c>
      <c r="R416" t="s">
        <v>261</v>
      </c>
      <c r="S416">
        <v>1.49</v>
      </c>
      <c r="T416">
        <v>1.57</v>
      </c>
    </row>
    <row r="417" spans="1:21" x14ac:dyDescent="0.25">
      <c r="A417" t="s">
        <v>19</v>
      </c>
      <c r="B417" t="s">
        <v>20</v>
      </c>
      <c r="C417" t="s">
        <v>306</v>
      </c>
      <c r="D417">
        <v>3</v>
      </c>
      <c r="E417" t="s">
        <v>51</v>
      </c>
      <c r="F417" t="s">
        <v>388</v>
      </c>
      <c r="G417">
        <v>50</v>
      </c>
      <c r="H417">
        <v>30</v>
      </c>
      <c r="I417">
        <v>80</v>
      </c>
      <c r="J417">
        <v>20</v>
      </c>
      <c r="K417" t="s">
        <v>19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  <c r="Q417">
        <f>I417</f>
        <v>80</v>
      </c>
      <c r="R417" t="s">
        <v>19</v>
      </c>
      <c r="S417" t="s">
        <v>19</v>
      </c>
      <c r="T417" t="s">
        <v>19</v>
      </c>
    </row>
    <row r="418" spans="1:21" x14ac:dyDescent="0.25">
      <c r="A418" t="s">
        <v>19</v>
      </c>
      <c r="B418" t="s">
        <v>20</v>
      </c>
      <c r="C418" t="s">
        <v>320</v>
      </c>
      <c r="D418">
        <v>3</v>
      </c>
      <c r="E418" t="s">
        <v>51</v>
      </c>
      <c r="F418" t="s">
        <v>388</v>
      </c>
      <c r="G418">
        <v>15</v>
      </c>
      <c r="H418">
        <v>20</v>
      </c>
      <c r="I418">
        <f>100-J418</f>
        <v>35</v>
      </c>
      <c r="J418">
        <f>100-G418-H418</f>
        <v>65</v>
      </c>
      <c r="K418" t="s">
        <v>19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  <c r="Q418">
        <f>I418</f>
        <v>35</v>
      </c>
      <c r="R418" t="s">
        <v>19</v>
      </c>
      <c r="S418" t="s">
        <v>19</v>
      </c>
      <c r="T418" t="s">
        <v>19</v>
      </c>
    </row>
    <row r="419" spans="1:21" x14ac:dyDescent="0.25">
      <c r="A419" s="2">
        <v>45323.530474537038</v>
      </c>
      <c r="B419" t="s">
        <v>309</v>
      </c>
      <c r="C419" t="s">
        <v>322</v>
      </c>
      <c r="D419">
        <v>3</v>
      </c>
      <c r="E419" t="s">
        <v>51</v>
      </c>
      <c r="F419" t="s">
        <v>388</v>
      </c>
      <c r="G419">
        <f>(O419/(N419+O419+P419))*100</f>
        <v>38.358778625954201</v>
      </c>
      <c r="H419">
        <f>(P419/(O419+P419+N419))*100</f>
        <v>10.496183206106871</v>
      </c>
      <c r="I419">
        <f>((O419+P419)/(P419+O419+N419))*100</f>
        <v>48.854961832061065</v>
      </c>
      <c r="J419">
        <f>(N419/(P419+O419+N419))*100</f>
        <v>51.145038167938928</v>
      </c>
      <c r="K419">
        <v>0.8</v>
      </c>
      <c r="L419">
        <v>0.3</v>
      </c>
      <c r="M419">
        <v>0.7</v>
      </c>
      <c r="N419">
        <v>268</v>
      </c>
      <c r="O419">
        <v>201</v>
      </c>
      <c r="P419">
        <v>55</v>
      </c>
      <c r="Q419">
        <v>48.85</v>
      </c>
      <c r="R419" t="s">
        <v>352</v>
      </c>
      <c r="S419">
        <v>2.5099999999999998</v>
      </c>
      <c r="T419">
        <v>3.03</v>
      </c>
      <c r="U419">
        <v>163</v>
      </c>
    </row>
    <row r="420" spans="1:21" x14ac:dyDescent="0.25">
      <c r="A420" s="2">
        <v>45323.529409722221</v>
      </c>
      <c r="B420" t="s">
        <v>309</v>
      </c>
      <c r="C420" t="s">
        <v>322</v>
      </c>
      <c r="D420">
        <v>3</v>
      </c>
      <c r="E420" t="s">
        <v>51</v>
      </c>
      <c r="F420" t="s">
        <v>388</v>
      </c>
      <c r="G420">
        <f>(O420/(N420+O420+P420))*100</f>
        <v>42.628774422735347</v>
      </c>
      <c r="H420">
        <f>(P420/(O420+P420+N420))*100</f>
        <v>10.657193605683837</v>
      </c>
      <c r="I420">
        <v>53.29</v>
      </c>
      <c r="J420">
        <f>(N420/(P420+O420+N420))*100</f>
        <v>46.714031971580816</v>
      </c>
      <c r="K420">
        <v>0.7</v>
      </c>
      <c r="L420">
        <v>0.3</v>
      </c>
      <c r="M420">
        <v>0.7</v>
      </c>
      <c r="N420">
        <v>263</v>
      </c>
      <c r="O420">
        <v>240</v>
      </c>
      <c r="P420">
        <v>60</v>
      </c>
      <c r="Q420">
        <v>53.29</v>
      </c>
      <c r="R420" t="s">
        <v>355</v>
      </c>
      <c r="S420">
        <v>2.5099999999999998</v>
      </c>
      <c r="T420">
        <v>3.03</v>
      </c>
      <c r="U420">
        <v>124</v>
      </c>
    </row>
    <row r="421" spans="1:21" x14ac:dyDescent="0.25">
      <c r="A421" s="2">
        <v>45324.956446759257</v>
      </c>
      <c r="B421" t="s">
        <v>309</v>
      </c>
      <c r="C421" t="s">
        <v>368</v>
      </c>
      <c r="D421">
        <v>2</v>
      </c>
      <c r="E421" t="s">
        <v>51</v>
      </c>
      <c r="F421" t="s">
        <v>388</v>
      </c>
      <c r="G421">
        <f>(O421/(N421+O421+P421))*100</f>
        <v>58.536585365853654</v>
      </c>
      <c r="H421">
        <f>(P421/(O421+P421+N421))*100</f>
        <v>0</v>
      </c>
      <c r="I421">
        <v>58.54</v>
      </c>
      <c r="J421">
        <f>(N421/(P421+O421+N421))*100</f>
        <v>41.463414634146339</v>
      </c>
      <c r="K421">
        <v>0.8</v>
      </c>
      <c r="L421">
        <v>0.3</v>
      </c>
      <c r="M421">
        <v>0.7</v>
      </c>
      <c r="N421">
        <v>238</v>
      </c>
      <c r="O421">
        <v>336</v>
      </c>
      <c r="P421">
        <v>0</v>
      </c>
      <c r="Q421">
        <v>58.54</v>
      </c>
      <c r="R421" t="s">
        <v>289</v>
      </c>
      <c r="S421">
        <v>1.5</v>
      </c>
      <c r="T421">
        <v>1.62</v>
      </c>
    </row>
    <row r="422" spans="1:21" x14ac:dyDescent="0.25">
      <c r="A422" t="s">
        <v>19</v>
      </c>
      <c r="B422" t="s">
        <v>20</v>
      </c>
      <c r="C422" t="s">
        <v>306</v>
      </c>
      <c r="D422">
        <v>3</v>
      </c>
      <c r="E422" t="s">
        <v>52</v>
      </c>
      <c r="F422" t="s">
        <v>373</v>
      </c>
      <c r="G422">
        <v>3</v>
      </c>
      <c r="H422">
        <v>0</v>
      </c>
      <c r="I422">
        <f>G422+H422</f>
        <v>3</v>
      </c>
      <c r="J422">
        <f>100-G422-H422</f>
        <v>97</v>
      </c>
      <c r="K422" t="s">
        <v>19</v>
      </c>
      <c r="L422" t="s">
        <v>19</v>
      </c>
      <c r="M422" t="s">
        <v>19</v>
      </c>
      <c r="N422" t="s">
        <v>19</v>
      </c>
      <c r="O422" t="s">
        <v>19</v>
      </c>
      <c r="P422" t="s">
        <v>19</v>
      </c>
      <c r="Q422">
        <f>I422</f>
        <v>3</v>
      </c>
      <c r="R422" t="s">
        <v>19</v>
      </c>
      <c r="S422" t="s">
        <v>19</v>
      </c>
      <c r="T422" t="s">
        <v>19</v>
      </c>
    </row>
    <row r="423" spans="1:21" x14ac:dyDescent="0.25">
      <c r="A423" t="s">
        <v>19</v>
      </c>
      <c r="B423" t="s">
        <v>20</v>
      </c>
      <c r="C423" t="s">
        <v>308</v>
      </c>
      <c r="D423">
        <v>3</v>
      </c>
      <c r="E423" t="s">
        <v>52</v>
      </c>
      <c r="F423" t="s">
        <v>373</v>
      </c>
      <c r="G423">
        <v>10</v>
      </c>
      <c r="H423">
        <v>1</v>
      </c>
      <c r="I423">
        <f>G423+H423</f>
        <v>11</v>
      </c>
      <c r="J423">
        <f>100-G423-H423</f>
        <v>89</v>
      </c>
      <c r="K423" t="s">
        <v>19</v>
      </c>
      <c r="L423" t="s">
        <v>19</v>
      </c>
      <c r="M423" t="s">
        <v>19</v>
      </c>
      <c r="N423" t="s">
        <v>19</v>
      </c>
      <c r="O423" t="s">
        <v>19</v>
      </c>
      <c r="P423" t="s">
        <v>19</v>
      </c>
      <c r="Q423">
        <f>I423</f>
        <v>11</v>
      </c>
      <c r="R423" t="s">
        <v>19</v>
      </c>
      <c r="S423" t="s">
        <v>19</v>
      </c>
      <c r="T423" t="s">
        <v>19</v>
      </c>
    </row>
    <row r="424" spans="1:21" x14ac:dyDescent="0.25">
      <c r="A424" t="s">
        <v>19</v>
      </c>
      <c r="B424" t="s">
        <v>20</v>
      </c>
      <c r="C424" t="s">
        <v>22</v>
      </c>
      <c r="D424">
        <v>3</v>
      </c>
      <c r="E424" t="s">
        <v>52</v>
      </c>
      <c r="F424" t="s">
        <v>373</v>
      </c>
      <c r="G424">
        <v>10</v>
      </c>
      <c r="H424">
        <v>0</v>
      </c>
      <c r="I424">
        <f>G424+H424</f>
        <v>10</v>
      </c>
      <c r="J424">
        <f>100-G424-H424</f>
        <v>90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>
        <f>I424</f>
        <v>10</v>
      </c>
      <c r="R424" t="s">
        <v>19</v>
      </c>
      <c r="S424" t="s">
        <v>19</v>
      </c>
      <c r="T424" t="s">
        <v>19</v>
      </c>
    </row>
    <row r="425" spans="1:21" x14ac:dyDescent="0.25">
      <c r="A425" t="s">
        <v>19</v>
      </c>
      <c r="B425" t="s">
        <v>20</v>
      </c>
      <c r="C425" t="s">
        <v>305</v>
      </c>
      <c r="D425">
        <v>3</v>
      </c>
      <c r="E425" t="s">
        <v>52</v>
      </c>
      <c r="F425" t="s">
        <v>373</v>
      </c>
      <c r="G425">
        <v>4</v>
      </c>
      <c r="H425">
        <v>0</v>
      </c>
      <c r="I425">
        <f>G425+H425</f>
        <v>4</v>
      </c>
      <c r="J425">
        <f>100-G425-H425</f>
        <v>96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>
        <f>I425</f>
        <v>4</v>
      </c>
      <c r="R425" t="s">
        <v>19</v>
      </c>
      <c r="S425" t="s">
        <v>19</v>
      </c>
      <c r="T425" t="s">
        <v>19</v>
      </c>
    </row>
    <row r="426" spans="1:21" x14ac:dyDescent="0.25">
      <c r="A426" t="s">
        <v>19</v>
      </c>
      <c r="B426" t="s">
        <v>20</v>
      </c>
      <c r="C426" t="s">
        <v>307</v>
      </c>
      <c r="D426">
        <v>3</v>
      </c>
      <c r="E426" t="s">
        <v>52</v>
      </c>
      <c r="F426" t="s">
        <v>373</v>
      </c>
      <c r="G426">
        <v>2</v>
      </c>
      <c r="H426">
        <v>1</v>
      </c>
      <c r="I426">
        <f>G426+H426</f>
        <v>3</v>
      </c>
      <c r="J426">
        <f>100-G426-H426</f>
        <v>97</v>
      </c>
      <c r="K426" t="s">
        <v>19</v>
      </c>
      <c r="L426" t="s">
        <v>19</v>
      </c>
      <c r="M426" t="s">
        <v>19</v>
      </c>
      <c r="N426" t="s">
        <v>19</v>
      </c>
      <c r="O426" t="s">
        <v>19</v>
      </c>
      <c r="P426" t="s">
        <v>19</v>
      </c>
      <c r="Q426">
        <f>I426</f>
        <v>3</v>
      </c>
      <c r="R426" t="s">
        <v>19</v>
      </c>
      <c r="S426" t="s">
        <v>19</v>
      </c>
      <c r="T426" t="s">
        <v>19</v>
      </c>
    </row>
    <row r="427" spans="1:21" x14ac:dyDescent="0.25">
      <c r="A427" s="2">
        <v>45253.69027777778</v>
      </c>
      <c r="B427" t="s">
        <v>309</v>
      </c>
      <c r="C427" t="s">
        <v>213</v>
      </c>
      <c r="D427">
        <v>3</v>
      </c>
      <c r="E427" t="s">
        <v>52</v>
      </c>
      <c r="F427" t="s">
        <v>373</v>
      </c>
      <c r="G427">
        <v>3.5450516990000001</v>
      </c>
      <c r="H427">
        <v>0</v>
      </c>
      <c r="I427">
        <v>3.5450516990000001</v>
      </c>
      <c r="J427">
        <v>96.454948299999998</v>
      </c>
      <c r="K427">
        <v>0.8</v>
      </c>
      <c r="L427">
        <v>0.2</v>
      </c>
      <c r="M427">
        <v>0.7</v>
      </c>
      <c r="N427">
        <v>653</v>
      </c>
      <c r="O427">
        <v>24</v>
      </c>
      <c r="P427">
        <v>0</v>
      </c>
      <c r="Q427">
        <v>3.55</v>
      </c>
      <c r="R427" t="s">
        <v>214</v>
      </c>
      <c r="S427">
        <v>2.93</v>
      </c>
      <c r="T427">
        <v>3.29</v>
      </c>
    </row>
    <row r="428" spans="1:21" x14ac:dyDescent="0.25">
      <c r="A428" s="2">
        <v>45253.913888888892</v>
      </c>
      <c r="B428" t="s">
        <v>309</v>
      </c>
      <c r="C428" t="s">
        <v>215</v>
      </c>
      <c r="D428">
        <v>2</v>
      </c>
      <c r="E428" t="s">
        <v>52</v>
      </c>
      <c r="F428" t="s">
        <v>373</v>
      </c>
      <c r="G428">
        <v>2.5568181820000002</v>
      </c>
      <c r="H428">
        <v>0</v>
      </c>
      <c r="I428">
        <v>2.5568181820000002</v>
      </c>
      <c r="J428">
        <v>97.443181820000007</v>
      </c>
      <c r="K428">
        <v>0.8</v>
      </c>
      <c r="L428">
        <v>0.2</v>
      </c>
      <c r="M428">
        <v>0.7</v>
      </c>
      <c r="N428">
        <v>686</v>
      </c>
      <c r="O428">
        <v>18</v>
      </c>
      <c r="P428">
        <v>0</v>
      </c>
      <c r="Q428">
        <v>2.56</v>
      </c>
      <c r="R428" t="s">
        <v>216</v>
      </c>
      <c r="S428">
        <v>0.12</v>
      </c>
      <c r="T428">
        <v>0.13</v>
      </c>
    </row>
    <row r="429" spans="1:21" x14ac:dyDescent="0.25">
      <c r="A429" s="2">
        <v>45254.086805555555</v>
      </c>
      <c r="B429" t="s">
        <v>309</v>
      </c>
      <c r="C429" t="s">
        <v>217</v>
      </c>
      <c r="D429">
        <v>2</v>
      </c>
      <c r="E429" t="s">
        <v>52</v>
      </c>
      <c r="F429" t="s">
        <v>373</v>
      </c>
      <c r="G429">
        <v>3.4674063799999999</v>
      </c>
      <c r="H429">
        <v>0</v>
      </c>
      <c r="I429">
        <v>3.4674063799999999</v>
      </c>
      <c r="J429">
        <v>96.53259362</v>
      </c>
      <c r="K429">
        <v>0.8</v>
      </c>
      <c r="L429">
        <v>0.2</v>
      </c>
      <c r="M429">
        <v>0.7</v>
      </c>
      <c r="N429">
        <v>696</v>
      </c>
      <c r="O429">
        <v>25</v>
      </c>
      <c r="P429">
        <v>0</v>
      </c>
      <c r="Q429">
        <v>3.47</v>
      </c>
      <c r="R429" t="s">
        <v>226</v>
      </c>
      <c r="S429">
        <v>0.12</v>
      </c>
      <c r="T429">
        <v>0.12</v>
      </c>
    </row>
    <row r="430" spans="1:21" x14ac:dyDescent="0.25">
      <c r="A430" s="2">
        <v>45316.423611111109</v>
      </c>
      <c r="B430" t="s">
        <v>309</v>
      </c>
      <c r="C430" t="s">
        <v>219</v>
      </c>
      <c r="D430">
        <v>3</v>
      </c>
      <c r="E430" t="s">
        <v>52</v>
      </c>
      <c r="F430" t="s">
        <v>373</v>
      </c>
      <c r="G430">
        <v>3.4682080919999998</v>
      </c>
      <c r="H430">
        <v>0</v>
      </c>
      <c r="I430">
        <v>3.4682080919999998</v>
      </c>
      <c r="J430">
        <v>96.531791909999995</v>
      </c>
      <c r="K430">
        <v>0.8</v>
      </c>
      <c r="L430">
        <v>0.2</v>
      </c>
      <c r="M430">
        <v>0.7</v>
      </c>
      <c r="N430">
        <v>501</v>
      </c>
      <c r="O430">
        <v>18</v>
      </c>
      <c r="P430">
        <v>0</v>
      </c>
      <c r="Q430">
        <v>3.47</v>
      </c>
      <c r="R430" t="s">
        <v>218</v>
      </c>
      <c r="S430">
        <v>3.15</v>
      </c>
      <c r="T430">
        <v>4.3899999999999997</v>
      </c>
    </row>
    <row r="431" spans="1:21" x14ac:dyDescent="0.25">
      <c r="A431" s="2">
        <v>45320.943749999999</v>
      </c>
      <c r="B431" t="s">
        <v>309</v>
      </c>
      <c r="C431" t="s">
        <v>221</v>
      </c>
      <c r="D431">
        <v>2</v>
      </c>
      <c r="E431" t="s">
        <v>52</v>
      </c>
      <c r="F431" t="s">
        <v>373</v>
      </c>
      <c r="G431">
        <v>6.6951566949999997</v>
      </c>
      <c r="H431">
        <v>0</v>
      </c>
      <c r="I431">
        <v>6.6951566949999997</v>
      </c>
      <c r="J431">
        <v>93.304843300000002</v>
      </c>
      <c r="K431">
        <v>0.8</v>
      </c>
      <c r="L431">
        <v>0.3</v>
      </c>
      <c r="M431">
        <v>0.7</v>
      </c>
      <c r="N431">
        <v>655</v>
      </c>
      <c r="O431">
        <v>47</v>
      </c>
      <c r="P431">
        <v>0</v>
      </c>
      <c r="Q431">
        <v>6.7</v>
      </c>
      <c r="R431" t="s">
        <v>229</v>
      </c>
      <c r="S431">
        <v>0.24</v>
      </c>
      <c r="T431">
        <v>0.25</v>
      </c>
    </row>
    <row r="432" spans="1:21" x14ac:dyDescent="0.25">
      <c r="A432" t="s">
        <v>19</v>
      </c>
      <c r="B432" t="s">
        <v>20</v>
      </c>
      <c r="C432" t="s">
        <v>320</v>
      </c>
      <c r="D432">
        <v>3</v>
      </c>
      <c r="E432" t="s">
        <v>52</v>
      </c>
      <c r="F432" t="s">
        <v>373</v>
      </c>
      <c r="G432">
        <v>0</v>
      </c>
      <c r="H432">
        <v>0</v>
      </c>
      <c r="I432">
        <f>100-J432</f>
        <v>0</v>
      </c>
      <c r="J432">
        <f>100-G432-H432</f>
        <v>100</v>
      </c>
      <c r="K432" t="s">
        <v>19</v>
      </c>
      <c r="L432" t="s">
        <v>19</v>
      </c>
      <c r="M432" t="s">
        <v>19</v>
      </c>
      <c r="N432" t="s">
        <v>19</v>
      </c>
      <c r="O432" t="s">
        <v>19</v>
      </c>
      <c r="P432" t="s">
        <v>19</v>
      </c>
      <c r="Q432">
        <f>I432</f>
        <v>0</v>
      </c>
      <c r="R432" t="s">
        <v>19</v>
      </c>
      <c r="S432" t="s">
        <v>19</v>
      </c>
      <c r="T432" t="s">
        <v>19</v>
      </c>
    </row>
    <row r="433" spans="1:21" x14ac:dyDescent="0.25">
      <c r="A433" s="2">
        <v>45323.531064814815</v>
      </c>
      <c r="B433" t="s">
        <v>309</v>
      </c>
      <c r="C433" t="s">
        <v>322</v>
      </c>
      <c r="D433">
        <v>3</v>
      </c>
      <c r="E433" t="s">
        <v>52</v>
      </c>
      <c r="F433" t="s">
        <v>373</v>
      </c>
      <c r="G433">
        <f>(O433/(N433+O433+P433))*100</f>
        <v>6.6091954022988508</v>
      </c>
      <c r="H433">
        <f>(P433/(O433+P433+N433))*100</f>
        <v>0</v>
      </c>
      <c r="I433">
        <f>((O433+P433)/(P433+O433+N433))*100</f>
        <v>6.6091954022988508</v>
      </c>
      <c r="J433">
        <f>(N433/(P433+O433+N433))*100</f>
        <v>93.390804597701148</v>
      </c>
      <c r="K433">
        <v>0.8</v>
      </c>
      <c r="L433">
        <v>0.3</v>
      </c>
      <c r="M433">
        <v>0.7</v>
      </c>
      <c r="N433">
        <v>650</v>
      </c>
      <c r="O433">
        <v>46</v>
      </c>
      <c r="P433">
        <v>0</v>
      </c>
      <c r="Q433">
        <v>6.61</v>
      </c>
      <c r="R433" t="s">
        <v>335</v>
      </c>
      <c r="S433">
        <v>2.74</v>
      </c>
      <c r="T433">
        <v>3.1</v>
      </c>
      <c r="U433">
        <v>50</v>
      </c>
    </row>
    <row r="434" spans="1:21" x14ac:dyDescent="0.25">
      <c r="A434" s="2">
        <v>45323.532650462963</v>
      </c>
      <c r="B434" t="s">
        <v>309</v>
      </c>
      <c r="C434" t="s">
        <v>322</v>
      </c>
      <c r="D434">
        <v>3</v>
      </c>
      <c r="E434" t="s">
        <v>52</v>
      </c>
      <c r="F434" t="s">
        <v>373</v>
      </c>
      <c r="G434">
        <f>(O434/(N434+O434+P434))*100</f>
        <v>7.9320113314447589</v>
      </c>
      <c r="H434">
        <f>(P434/(O434+P434+N434))*100</f>
        <v>0</v>
      </c>
      <c r="I434">
        <f>((O434+P434)/(P434+O434+N434))*100</f>
        <v>7.9320113314447589</v>
      </c>
      <c r="J434">
        <f>(N434/(P434+O434+N434))*100</f>
        <v>92.067988668555245</v>
      </c>
      <c r="K434">
        <v>0.7</v>
      </c>
      <c r="L434">
        <v>0.3</v>
      </c>
      <c r="M434">
        <v>0.7</v>
      </c>
      <c r="N434">
        <v>650</v>
      </c>
      <c r="O434">
        <v>56</v>
      </c>
      <c r="P434">
        <v>0</v>
      </c>
      <c r="Q434">
        <v>7.93</v>
      </c>
      <c r="R434" t="s">
        <v>362</v>
      </c>
      <c r="S434">
        <v>2.74</v>
      </c>
      <c r="T434">
        <v>3.1</v>
      </c>
      <c r="U434">
        <v>40</v>
      </c>
    </row>
    <row r="435" spans="1:21" x14ac:dyDescent="0.25">
      <c r="A435" s="2">
        <v>45325.109652777777</v>
      </c>
      <c r="B435" t="s">
        <v>309</v>
      </c>
      <c r="C435" t="s">
        <v>368</v>
      </c>
      <c r="D435">
        <v>2</v>
      </c>
      <c r="E435" t="s">
        <v>52</v>
      </c>
      <c r="F435" t="s">
        <v>373</v>
      </c>
      <c r="G435">
        <f>(O435/(N435+O435+P435))*100</f>
        <v>8.9622641509433958</v>
      </c>
      <c r="H435">
        <f>(P435/(O435+P435+N435))*100</f>
        <v>0</v>
      </c>
      <c r="I435">
        <v>8.9600000000000009</v>
      </c>
      <c r="J435">
        <f>(N435/(P435+O435+N435))*100</f>
        <v>91.037735849056602</v>
      </c>
      <c r="K435">
        <v>0.8</v>
      </c>
      <c r="L435">
        <v>0.3</v>
      </c>
      <c r="M435">
        <v>0.7</v>
      </c>
      <c r="N435">
        <v>579</v>
      </c>
      <c r="O435">
        <v>57</v>
      </c>
      <c r="P435">
        <v>0</v>
      </c>
      <c r="Q435">
        <v>8.9600000000000009</v>
      </c>
      <c r="R435" t="s">
        <v>367</v>
      </c>
      <c r="S435">
        <v>0.35</v>
      </c>
      <c r="T435">
        <v>0.36</v>
      </c>
    </row>
    <row r="436" spans="1:21" x14ac:dyDescent="0.25">
      <c r="A436" t="s">
        <v>19</v>
      </c>
      <c r="B436" t="s">
        <v>20</v>
      </c>
      <c r="C436" t="s">
        <v>306</v>
      </c>
      <c r="D436">
        <v>3</v>
      </c>
      <c r="E436" t="s">
        <v>53</v>
      </c>
      <c r="F436" t="s">
        <v>373</v>
      </c>
      <c r="G436">
        <v>73</v>
      </c>
      <c r="H436">
        <v>17</v>
      </c>
      <c r="I436">
        <f>G436+H436</f>
        <v>90</v>
      </c>
      <c r="J436">
        <f>100-G436-H436</f>
        <v>10</v>
      </c>
      <c r="K436" t="s">
        <v>19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  <c r="Q436">
        <f>I436</f>
        <v>90</v>
      </c>
      <c r="R436" t="s">
        <v>19</v>
      </c>
      <c r="S436" t="s">
        <v>19</v>
      </c>
      <c r="T436" t="s">
        <v>19</v>
      </c>
    </row>
    <row r="437" spans="1:21" x14ac:dyDescent="0.25">
      <c r="A437" t="s">
        <v>19</v>
      </c>
      <c r="B437" t="s">
        <v>20</v>
      </c>
      <c r="C437" t="s">
        <v>308</v>
      </c>
      <c r="D437">
        <v>3</v>
      </c>
      <c r="E437" t="s">
        <v>53</v>
      </c>
      <c r="F437" t="s">
        <v>373</v>
      </c>
      <c r="G437">
        <v>75</v>
      </c>
      <c r="H437">
        <v>2</v>
      </c>
      <c r="I437">
        <f>G437+H437</f>
        <v>77</v>
      </c>
      <c r="J437">
        <f>100-G437-H437</f>
        <v>23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  <c r="P437" t="s">
        <v>19</v>
      </c>
      <c r="Q437">
        <f>I437</f>
        <v>77</v>
      </c>
      <c r="R437" t="s">
        <v>19</v>
      </c>
      <c r="S437" t="s">
        <v>19</v>
      </c>
      <c r="T437" t="s">
        <v>19</v>
      </c>
    </row>
    <row r="438" spans="1:21" x14ac:dyDescent="0.25">
      <c r="A438" t="s">
        <v>19</v>
      </c>
      <c r="B438" t="s">
        <v>20</v>
      </c>
      <c r="C438" t="s">
        <v>22</v>
      </c>
      <c r="D438">
        <v>3</v>
      </c>
      <c r="E438" t="s">
        <v>53</v>
      </c>
      <c r="F438" t="s">
        <v>373</v>
      </c>
      <c r="G438">
        <v>90</v>
      </c>
      <c r="H438">
        <v>0</v>
      </c>
      <c r="I438">
        <f>G438+H438</f>
        <v>90</v>
      </c>
      <c r="J438">
        <f>100-G438-H438</f>
        <v>10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  <c r="P438" t="s">
        <v>19</v>
      </c>
      <c r="Q438">
        <f>I438</f>
        <v>90</v>
      </c>
      <c r="R438" t="s">
        <v>19</v>
      </c>
      <c r="S438" t="s">
        <v>19</v>
      </c>
      <c r="T438" t="s">
        <v>19</v>
      </c>
    </row>
    <row r="439" spans="1:21" x14ac:dyDescent="0.25">
      <c r="A439" t="s">
        <v>19</v>
      </c>
      <c r="B439" t="s">
        <v>20</v>
      </c>
      <c r="C439" t="s">
        <v>305</v>
      </c>
      <c r="D439">
        <v>3</v>
      </c>
      <c r="E439" t="s">
        <v>53</v>
      </c>
      <c r="F439" t="s">
        <v>373</v>
      </c>
      <c r="G439">
        <v>65</v>
      </c>
      <c r="H439">
        <v>2</v>
      </c>
      <c r="I439">
        <f>G439+H439</f>
        <v>67</v>
      </c>
      <c r="J439">
        <f>100-G439-H439</f>
        <v>33</v>
      </c>
      <c r="K439" t="s">
        <v>19</v>
      </c>
      <c r="L439" t="s">
        <v>19</v>
      </c>
      <c r="M439" t="s">
        <v>19</v>
      </c>
      <c r="N439" t="s">
        <v>19</v>
      </c>
      <c r="O439" t="s">
        <v>19</v>
      </c>
      <c r="P439" t="s">
        <v>19</v>
      </c>
      <c r="Q439">
        <f>I439</f>
        <v>67</v>
      </c>
      <c r="R439" t="s">
        <v>19</v>
      </c>
      <c r="S439" t="s">
        <v>19</v>
      </c>
      <c r="T439" t="s">
        <v>19</v>
      </c>
    </row>
    <row r="440" spans="1:21" x14ac:dyDescent="0.25">
      <c r="A440" t="s">
        <v>19</v>
      </c>
      <c r="B440" t="s">
        <v>20</v>
      </c>
      <c r="C440" t="s">
        <v>307</v>
      </c>
      <c r="D440">
        <v>3</v>
      </c>
      <c r="E440" t="s">
        <v>53</v>
      </c>
      <c r="F440" t="s">
        <v>373</v>
      </c>
      <c r="G440">
        <v>28</v>
      </c>
      <c r="H440">
        <v>2</v>
      </c>
      <c r="I440">
        <f>G440+H440</f>
        <v>30</v>
      </c>
      <c r="J440">
        <f>100-G440-H440</f>
        <v>70</v>
      </c>
      <c r="K440" t="s">
        <v>19</v>
      </c>
      <c r="L440" t="s">
        <v>19</v>
      </c>
      <c r="M440" t="s">
        <v>19</v>
      </c>
      <c r="N440" t="s">
        <v>19</v>
      </c>
      <c r="O440" t="s">
        <v>19</v>
      </c>
      <c r="P440" t="s">
        <v>19</v>
      </c>
      <c r="Q440">
        <f>I440</f>
        <v>30</v>
      </c>
      <c r="R440" t="s">
        <v>19</v>
      </c>
      <c r="S440" t="s">
        <v>19</v>
      </c>
      <c r="T440" t="s">
        <v>19</v>
      </c>
    </row>
    <row r="441" spans="1:21" x14ac:dyDescent="0.25">
      <c r="A441" s="2">
        <v>45253.691666666666</v>
      </c>
      <c r="B441" t="s">
        <v>309</v>
      </c>
      <c r="C441" t="s">
        <v>213</v>
      </c>
      <c r="D441">
        <v>3</v>
      </c>
      <c r="E441" t="s">
        <v>53</v>
      </c>
      <c r="F441" t="s">
        <v>373</v>
      </c>
      <c r="G441">
        <v>84.31677019</v>
      </c>
      <c r="H441">
        <v>0</v>
      </c>
      <c r="I441">
        <v>84.31677019</v>
      </c>
      <c r="J441">
        <v>15.68322981</v>
      </c>
      <c r="K441">
        <v>0.8</v>
      </c>
      <c r="L441">
        <v>0.2</v>
      </c>
      <c r="M441">
        <v>0.7</v>
      </c>
      <c r="N441">
        <v>101</v>
      </c>
      <c r="O441">
        <v>543</v>
      </c>
      <c r="P441">
        <v>0</v>
      </c>
      <c r="Q441">
        <v>84.32</v>
      </c>
      <c r="R441" t="s">
        <v>236</v>
      </c>
      <c r="S441">
        <v>3.11</v>
      </c>
      <c r="T441">
        <v>3.36</v>
      </c>
    </row>
    <row r="442" spans="1:21" x14ac:dyDescent="0.25">
      <c r="A442" s="2">
        <v>45253.914583333331</v>
      </c>
      <c r="B442" t="s">
        <v>309</v>
      </c>
      <c r="C442" t="s">
        <v>215</v>
      </c>
      <c r="D442">
        <v>2</v>
      </c>
      <c r="E442" t="s">
        <v>53</v>
      </c>
      <c r="F442" t="s">
        <v>373</v>
      </c>
      <c r="G442">
        <v>49.183303090000003</v>
      </c>
      <c r="H442">
        <v>0</v>
      </c>
      <c r="I442">
        <v>49.183303090000003</v>
      </c>
      <c r="J442">
        <v>50.816696909999997</v>
      </c>
      <c r="K442">
        <v>0.8</v>
      </c>
      <c r="L442">
        <v>0.2</v>
      </c>
      <c r="M442">
        <v>0.7</v>
      </c>
      <c r="N442">
        <v>280</v>
      </c>
      <c r="O442">
        <v>271</v>
      </c>
      <c r="P442">
        <v>0</v>
      </c>
      <c r="Q442">
        <v>49.18</v>
      </c>
      <c r="R442" t="s">
        <v>235</v>
      </c>
      <c r="S442">
        <v>1.1100000000000001</v>
      </c>
      <c r="T442">
        <v>1.2</v>
      </c>
    </row>
    <row r="443" spans="1:21" x14ac:dyDescent="0.25">
      <c r="A443" s="2">
        <v>45254.087500000001</v>
      </c>
      <c r="B443" t="s">
        <v>309</v>
      </c>
      <c r="C443" t="s">
        <v>217</v>
      </c>
      <c r="D443">
        <v>2</v>
      </c>
      <c r="E443" t="s">
        <v>53</v>
      </c>
      <c r="F443" t="s">
        <v>373</v>
      </c>
      <c r="G443">
        <v>73.870967739999998</v>
      </c>
      <c r="H443">
        <v>0</v>
      </c>
      <c r="I443">
        <v>73.870967739999998</v>
      </c>
      <c r="J443">
        <v>26.129032259999999</v>
      </c>
      <c r="K443">
        <v>0.8</v>
      </c>
      <c r="L443">
        <v>0.2</v>
      </c>
      <c r="M443">
        <v>0.7</v>
      </c>
      <c r="N443">
        <v>162</v>
      </c>
      <c r="O443">
        <v>458</v>
      </c>
      <c r="P443">
        <v>0</v>
      </c>
      <c r="Q443">
        <v>73.87</v>
      </c>
      <c r="R443" t="s">
        <v>262</v>
      </c>
      <c r="S443">
        <v>1.7</v>
      </c>
      <c r="T443">
        <v>1.78</v>
      </c>
    </row>
    <row r="444" spans="1:21" x14ac:dyDescent="0.25">
      <c r="A444" s="2">
        <v>45316.424305555556</v>
      </c>
      <c r="B444" t="s">
        <v>309</v>
      </c>
      <c r="C444" t="s">
        <v>219</v>
      </c>
      <c r="D444">
        <v>3</v>
      </c>
      <c r="E444" t="s">
        <v>53</v>
      </c>
      <c r="F444" t="s">
        <v>373</v>
      </c>
      <c r="G444">
        <v>83.569979720000006</v>
      </c>
      <c r="H444">
        <v>0</v>
      </c>
      <c r="I444">
        <v>83.569979720000006</v>
      </c>
      <c r="J444">
        <v>16.430020280000001</v>
      </c>
      <c r="K444">
        <v>0.8</v>
      </c>
      <c r="L444">
        <v>0.2</v>
      </c>
      <c r="M444">
        <v>0.7</v>
      </c>
      <c r="N444">
        <v>81</v>
      </c>
      <c r="O444">
        <v>412</v>
      </c>
      <c r="P444">
        <v>0</v>
      </c>
      <c r="Q444">
        <v>83.57</v>
      </c>
      <c r="R444" t="s">
        <v>218</v>
      </c>
      <c r="S444">
        <v>3.26</v>
      </c>
      <c r="T444">
        <v>4.26</v>
      </c>
    </row>
    <row r="445" spans="1:21" x14ac:dyDescent="0.25">
      <c r="A445" s="2">
        <v>45320.945138888892</v>
      </c>
      <c r="B445" t="s">
        <v>309</v>
      </c>
      <c r="C445" t="s">
        <v>221</v>
      </c>
      <c r="D445">
        <v>2</v>
      </c>
      <c r="E445" t="s">
        <v>53</v>
      </c>
      <c r="F445" t="s">
        <v>373</v>
      </c>
      <c r="G445">
        <v>79.558823529999998</v>
      </c>
      <c r="H445">
        <v>0</v>
      </c>
      <c r="I445">
        <v>79.558823529999998</v>
      </c>
      <c r="J445">
        <v>20.441176469999998</v>
      </c>
      <c r="K445">
        <v>0.8</v>
      </c>
      <c r="L445">
        <v>0.3</v>
      </c>
      <c r="M445">
        <v>0.7</v>
      </c>
      <c r="N445">
        <v>139</v>
      </c>
      <c r="O445">
        <v>541</v>
      </c>
      <c r="P445">
        <v>0</v>
      </c>
      <c r="Q445">
        <v>79.56</v>
      </c>
      <c r="R445" t="s">
        <v>263</v>
      </c>
      <c r="S445">
        <v>2.08</v>
      </c>
      <c r="T445">
        <v>2.19</v>
      </c>
    </row>
    <row r="446" spans="1:21" x14ac:dyDescent="0.25">
      <c r="A446" t="s">
        <v>19</v>
      </c>
      <c r="B446" t="s">
        <v>20</v>
      </c>
      <c r="C446" t="s">
        <v>320</v>
      </c>
      <c r="D446">
        <v>3</v>
      </c>
      <c r="E446" t="s">
        <v>53</v>
      </c>
      <c r="F446" t="s">
        <v>373</v>
      </c>
      <c r="G446">
        <v>80</v>
      </c>
      <c r="H446">
        <v>0</v>
      </c>
      <c r="I446">
        <f>100-J446</f>
        <v>80</v>
      </c>
      <c r="J446">
        <f>100-G446-H446</f>
        <v>20</v>
      </c>
      <c r="K446" t="s">
        <v>19</v>
      </c>
      <c r="L446" t="s">
        <v>19</v>
      </c>
      <c r="M446" t="s">
        <v>19</v>
      </c>
      <c r="N446" t="s">
        <v>19</v>
      </c>
      <c r="O446" t="s">
        <v>19</v>
      </c>
      <c r="P446" t="s">
        <v>19</v>
      </c>
      <c r="Q446">
        <f>I446</f>
        <v>80</v>
      </c>
      <c r="R446" t="s">
        <v>19</v>
      </c>
      <c r="S446" t="s">
        <v>19</v>
      </c>
      <c r="T446" t="s">
        <v>19</v>
      </c>
    </row>
    <row r="447" spans="1:21" x14ac:dyDescent="0.25">
      <c r="A447" s="2">
        <v>45323.532962962963</v>
      </c>
      <c r="B447" t="s">
        <v>309</v>
      </c>
      <c r="C447" t="s">
        <v>322</v>
      </c>
      <c r="D447">
        <v>3</v>
      </c>
      <c r="E447" t="s">
        <v>53</v>
      </c>
      <c r="F447" t="s">
        <v>373</v>
      </c>
      <c r="G447">
        <f>(O447/(N447+O447+P447))*100</f>
        <v>83.383685800604241</v>
      </c>
      <c r="H447">
        <f>(P447/(O447+P447+N447))*100</f>
        <v>0</v>
      </c>
      <c r="I447">
        <f>((O447+P447)/(P447+O447+N447))*100</f>
        <v>83.383685800604241</v>
      </c>
      <c r="J447">
        <f>(N447/(P447+O447+N447))*100</f>
        <v>16.61631419939577</v>
      </c>
      <c r="K447">
        <v>0.8</v>
      </c>
      <c r="L447">
        <v>0.3</v>
      </c>
      <c r="M447">
        <v>0.7</v>
      </c>
      <c r="N447">
        <v>110</v>
      </c>
      <c r="O447">
        <v>552</v>
      </c>
      <c r="P447">
        <v>0</v>
      </c>
      <c r="Q447">
        <v>83.38</v>
      </c>
      <c r="R447" t="s">
        <v>336</v>
      </c>
      <c r="S447">
        <v>2.84</v>
      </c>
      <c r="T447">
        <v>3.29</v>
      </c>
      <c r="U447">
        <v>55</v>
      </c>
    </row>
    <row r="448" spans="1:21" x14ac:dyDescent="0.25">
      <c r="A448" s="2">
        <v>45323.534641203703</v>
      </c>
      <c r="B448" t="s">
        <v>309</v>
      </c>
      <c r="C448" t="s">
        <v>322</v>
      </c>
      <c r="D448">
        <v>3</v>
      </c>
      <c r="E448" t="s">
        <v>53</v>
      </c>
      <c r="F448" t="s">
        <v>373</v>
      </c>
      <c r="G448">
        <f>(O448/(N448+O448+P448))*100</f>
        <v>83.894582723279655</v>
      </c>
      <c r="H448">
        <f>(P448/(O448+P448+N448))*100</f>
        <v>0</v>
      </c>
      <c r="I448">
        <f>((O448+P448)/(P448+O448+N448))*100</f>
        <v>83.894582723279655</v>
      </c>
      <c r="J448">
        <f>(N448/(P448+O448+N448))*100</f>
        <v>16.105417276720353</v>
      </c>
      <c r="K448">
        <v>0.7</v>
      </c>
      <c r="L448">
        <v>0.3</v>
      </c>
      <c r="M448">
        <v>0.7</v>
      </c>
      <c r="N448">
        <v>110</v>
      </c>
      <c r="O448">
        <v>573</v>
      </c>
      <c r="P448">
        <v>0</v>
      </c>
      <c r="Q448">
        <v>83.89</v>
      </c>
      <c r="R448" t="s">
        <v>350</v>
      </c>
      <c r="S448">
        <v>2.84</v>
      </c>
      <c r="T448">
        <v>3.29</v>
      </c>
      <c r="U448">
        <v>34</v>
      </c>
    </row>
    <row r="449" spans="1:21" x14ac:dyDescent="0.25">
      <c r="A449" s="2">
        <v>45325.111006944448</v>
      </c>
      <c r="B449" t="s">
        <v>309</v>
      </c>
      <c r="C449" t="s">
        <v>368</v>
      </c>
      <c r="D449">
        <v>2</v>
      </c>
      <c r="E449" t="s">
        <v>53</v>
      </c>
      <c r="F449" t="s">
        <v>373</v>
      </c>
      <c r="G449">
        <f>(O449/(N449+O449+P449))*100</f>
        <v>83.210603829160533</v>
      </c>
      <c r="H449">
        <f>(P449/(O449+P449+N449))*100</f>
        <v>0</v>
      </c>
      <c r="I449">
        <v>83.21</v>
      </c>
      <c r="J449">
        <f>(N449/(P449+O449+N449))*100</f>
        <v>16.789396170839467</v>
      </c>
      <c r="K449">
        <v>0.8</v>
      </c>
      <c r="L449">
        <v>0.3</v>
      </c>
      <c r="M449">
        <v>0.7</v>
      </c>
      <c r="N449">
        <v>114</v>
      </c>
      <c r="O449">
        <v>565</v>
      </c>
      <c r="P449">
        <v>0</v>
      </c>
      <c r="Q449">
        <v>83.21</v>
      </c>
      <c r="R449" t="s">
        <v>214</v>
      </c>
      <c r="S449">
        <v>2.08</v>
      </c>
      <c r="T449">
        <v>2.23</v>
      </c>
    </row>
    <row r="450" spans="1:21" x14ac:dyDescent="0.25">
      <c r="A450" t="s">
        <v>19</v>
      </c>
      <c r="B450" t="s">
        <v>20</v>
      </c>
      <c r="C450" t="s">
        <v>306</v>
      </c>
      <c r="D450">
        <v>3</v>
      </c>
      <c r="E450" t="s">
        <v>54</v>
      </c>
      <c r="F450" t="s">
        <v>373</v>
      </c>
      <c r="G450" t="s">
        <v>321</v>
      </c>
      <c r="H450" t="s">
        <v>321</v>
      </c>
      <c r="I450">
        <v>1</v>
      </c>
      <c r="J450">
        <v>99</v>
      </c>
      <c r="K450" t="s">
        <v>19</v>
      </c>
      <c r="L450" t="s">
        <v>19</v>
      </c>
      <c r="M450" t="s">
        <v>19</v>
      </c>
      <c r="N450" t="s">
        <v>19</v>
      </c>
      <c r="O450" t="s">
        <v>19</v>
      </c>
      <c r="P450" t="s">
        <v>19</v>
      </c>
      <c r="Q450">
        <f>I450</f>
        <v>1</v>
      </c>
      <c r="R450" t="s">
        <v>19</v>
      </c>
      <c r="S450" t="s">
        <v>19</v>
      </c>
      <c r="T450" t="s">
        <v>19</v>
      </c>
    </row>
    <row r="451" spans="1:21" x14ac:dyDescent="0.25">
      <c r="A451" t="s">
        <v>19</v>
      </c>
      <c r="B451" t="s">
        <v>20</v>
      </c>
      <c r="C451" t="s">
        <v>308</v>
      </c>
      <c r="D451">
        <v>3</v>
      </c>
      <c r="E451" t="s">
        <v>54</v>
      </c>
      <c r="F451" t="s">
        <v>373</v>
      </c>
      <c r="G451">
        <v>0</v>
      </c>
      <c r="H451">
        <v>0</v>
      </c>
      <c r="I451">
        <f>G451+H451</f>
        <v>0</v>
      </c>
      <c r="J451">
        <f>100-G451-H451</f>
        <v>100</v>
      </c>
      <c r="K451" t="s">
        <v>19</v>
      </c>
      <c r="L451" t="s">
        <v>19</v>
      </c>
      <c r="M451" t="s">
        <v>19</v>
      </c>
      <c r="N451" t="s">
        <v>19</v>
      </c>
      <c r="O451" t="s">
        <v>19</v>
      </c>
      <c r="P451" t="s">
        <v>19</v>
      </c>
      <c r="Q451">
        <f>I451</f>
        <v>0</v>
      </c>
      <c r="R451" t="s">
        <v>19</v>
      </c>
      <c r="S451" t="s">
        <v>19</v>
      </c>
      <c r="T451" t="s">
        <v>19</v>
      </c>
    </row>
    <row r="452" spans="1:21" x14ac:dyDescent="0.25">
      <c r="A452" t="s">
        <v>19</v>
      </c>
      <c r="B452" t="s">
        <v>20</v>
      </c>
      <c r="C452" t="s">
        <v>22</v>
      </c>
      <c r="D452">
        <v>3</v>
      </c>
      <c r="E452" t="s">
        <v>54</v>
      </c>
      <c r="F452" t="s">
        <v>373</v>
      </c>
      <c r="G452">
        <v>0</v>
      </c>
      <c r="H452">
        <v>0</v>
      </c>
      <c r="I452">
        <f>G452+H452</f>
        <v>0</v>
      </c>
      <c r="J452">
        <f>100-G452-H452</f>
        <v>100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  <c r="Q452">
        <f>I452</f>
        <v>0</v>
      </c>
      <c r="R452" t="s">
        <v>19</v>
      </c>
      <c r="S452" t="s">
        <v>19</v>
      </c>
      <c r="T452" t="s">
        <v>19</v>
      </c>
    </row>
    <row r="453" spans="1:21" x14ac:dyDescent="0.25">
      <c r="A453" t="s">
        <v>19</v>
      </c>
      <c r="B453" t="s">
        <v>20</v>
      </c>
      <c r="C453" t="s">
        <v>305</v>
      </c>
      <c r="D453">
        <v>3</v>
      </c>
      <c r="E453" t="s">
        <v>54</v>
      </c>
      <c r="F453" t="s">
        <v>373</v>
      </c>
      <c r="G453">
        <v>0</v>
      </c>
      <c r="H453">
        <v>0</v>
      </c>
      <c r="I453">
        <f>G453+H453</f>
        <v>0</v>
      </c>
      <c r="J453">
        <f>100-G453-H453</f>
        <v>100</v>
      </c>
      <c r="K453" t="s">
        <v>19</v>
      </c>
      <c r="L453" t="s">
        <v>19</v>
      </c>
      <c r="M453" t="s">
        <v>19</v>
      </c>
      <c r="N453" t="s">
        <v>19</v>
      </c>
      <c r="O453" t="s">
        <v>19</v>
      </c>
      <c r="P453" t="s">
        <v>19</v>
      </c>
      <c r="Q453">
        <f>I453</f>
        <v>0</v>
      </c>
      <c r="R453" t="s">
        <v>19</v>
      </c>
      <c r="S453" t="s">
        <v>19</v>
      </c>
      <c r="T453" t="s">
        <v>19</v>
      </c>
    </row>
    <row r="454" spans="1:21" x14ac:dyDescent="0.25">
      <c r="A454" t="s">
        <v>19</v>
      </c>
      <c r="B454" t="s">
        <v>20</v>
      </c>
      <c r="C454" t="s">
        <v>307</v>
      </c>
      <c r="D454">
        <v>3</v>
      </c>
      <c r="E454" t="s">
        <v>54</v>
      </c>
      <c r="F454" t="s">
        <v>373</v>
      </c>
      <c r="G454">
        <v>0</v>
      </c>
      <c r="H454">
        <v>0</v>
      </c>
      <c r="I454">
        <f>G454+H454</f>
        <v>0</v>
      </c>
      <c r="J454">
        <f>100-G454-H454</f>
        <v>100</v>
      </c>
      <c r="K454" t="s">
        <v>19</v>
      </c>
      <c r="L454" t="s">
        <v>19</v>
      </c>
      <c r="M454" t="s">
        <v>19</v>
      </c>
      <c r="N454" t="s">
        <v>19</v>
      </c>
      <c r="O454" t="s">
        <v>19</v>
      </c>
      <c r="P454" t="s">
        <v>19</v>
      </c>
      <c r="Q454">
        <f>I454</f>
        <v>0</v>
      </c>
      <c r="R454" t="s">
        <v>19</v>
      </c>
      <c r="S454" t="s">
        <v>19</v>
      </c>
      <c r="T454" t="s">
        <v>19</v>
      </c>
    </row>
    <row r="455" spans="1:21" x14ac:dyDescent="0.25">
      <c r="A455" s="2">
        <v>45253.693055555559</v>
      </c>
      <c r="B455" t="s">
        <v>309</v>
      </c>
      <c r="C455" t="s">
        <v>213</v>
      </c>
      <c r="D455">
        <v>3</v>
      </c>
      <c r="E455" t="s">
        <v>54</v>
      </c>
      <c r="F455" t="s">
        <v>373</v>
      </c>
      <c r="G455">
        <v>0.14662756599999999</v>
      </c>
      <c r="H455">
        <v>0</v>
      </c>
      <c r="I455">
        <v>0.14662756599999999</v>
      </c>
      <c r="J455">
        <v>99.853372429999993</v>
      </c>
      <c r="K455">
        <v>0.8</v>
      </c>
      <c r="L455">
        <v>0.2</v>
      </c>
      <c r="M455">
        <v>0.7</v>
      </c>
      <c r="N455">
        <v>681</v>
      </c>
      <c r="O455">
        <v>1</v>
      </c>
      <c r="P455">
        <v>0</v>
      </c>
      <c r="Q455">
        <v>0.15</v>
      </c>
      <c r="R455" t="s">
        <v>238</v>
      </c>
      <c r="S455">
        <v>2.86</v>
      </c>
      <c r="T455">
        <v>3.1</v>
      </c>
    </row>
    <row r="456" spans="1:21" x14ac:dyDescent="0.25">
      <c r="A456" s="2">
        <v>45253.915277777778</v>
      </c>
      <c r="B456" t="s">
        <v>309</v>
      </c>
      <c r="C456" t="s">
        <v>215</v>
      </c>
      <c r="D456">
        <v>2</v>
      </c>
      <c r="E456" t="s">
        <v>54</v>
      </c>
      <c r="F456" t="s">
        <v>373</v>
      </c>
      <c r="G456">
        <v>1.192250373</v>
      </c>
      <c r="H456">
        <v>0</v>
      </c>
      <c r="I456">
        <v>1.192250373</v>
      </c>
      <c r="J456">
        <v>98.807749630000004</v>
      </c>
      <c r="K456">
        <v>0.8</v>
      </c>
      <c r="L456">
        <v>0.2</v>
      </c>
      <c r="M456">
        <v>0.7</v>
      </c>
      <c r="N456">
        <v>663</v>
      </c>
      <c r="O456">
        <v>8</v>
      </c>
      <c r="P456">
        <v>0</v>
      </c>
      <c r="Q456">
        <v>1.19</v>
      </c>
      <c r="R456" t="s">
        <v>257</v>
      </c>
      <c r="S456">
        <v>0.06</v>
      </c>
      <c r="T456">
        <v>0.06</v>
      </c>
    </row>
    <row r="457" spans="1:21" x14ac:dyDescent="0.25">
      <c r="A457" s="2">
        <v>45254.088888888888</v>
      </c>
      <c r="B457" t="s">
        <v>309</v>
      </c>
      <c r="C457" t="s">
        <v>217</v>
      </c>
      <c r="D457">
        <v>2</v>
      </c>
      <c r="E457" t="s">
        <v>54</v>
      </c>
      <c r="F457" t="s">
        <v>373</v>
      </c>
      <c r="G457">
        <v>1.341281669</v>
      </c>
      <c r="H457">
        <v>0</v>
      </c>
      <c r="I457">
        <v>1.341281669</v>
      </c>
      <c r="J457">
        <v>98.658718329999999</v>
      </c>
      <c r="K457">
        <v>0.8</v>
      </c>
      <c r="L457">
        <v>0.2</v>
      </c>
      <c r="M457">
        <v>0.7</v>
      </c>
      <c r="N457">
        <v>662</v>
      </c>
      <c r="O457">
        <v>9</v>
      </c>
      <c r="P457">
        <v>0</v>
      </c>
      <c r="Q457">
        <v>1.34</v>
      </c>
      <c r="R457" t="s">
        <v>227</v>
      </c>
      <c r="S457">
        <v>0.08</v>
      </c>
      <c r="T457">
        <v>0.08</v>
      </c>
    </row>
    <row r="458" spans="1:21" x14ac:dyDescent="0.25">
      <c r="A458" s="2">
        <v>45316.425694444442</v>
      </c>
      <c r="B458" t="s">
        <v>309</v>
      </c>
      <c r="C458" t="s">
        <v>219</v>
      </c>
      <c r="D458">
        <v>3</v>
      </c>
      <c r="E458" t="s">
        <v>54</v>
      </c>
      <c r="F458" t="s">
        <v>373</v>
      </c>
      <c r="G458">
        <v>0.15600623999999999</v>
      </c>
      <c r="H458">
        <v>0</v>
      </c>
      <c r="I458">
        <v>0.15600623999999999</v>
      </c>
      <c r="J458">
        <v>99.843993760000004</v>
      </c>
      <c r="K458">
        <v>0.8</v>
      </c>
      <c r="L458">
        <v>0.2</v>
      </c>
      <c r="M458">
        <v>0.7</v>
      </c>
      <c r="N458">
        <v>640</v>
      </c>
      <c r="O458">
        <v>1</v>
      </c>
      <c r="P458">
        <v>0</v>
      </c>
      <c r="Q458">
        <v>0.16</v>
      </c>
      <c r="R458" t="s">
        <v>225</v>
      </c>
      <c r="S458">
        <v>3.13</v>
      </c>
      <c r="T458">
        <v>4.2699999999999996</v>
      </c>
    </row>
    <row r="459" spans="1:21" x14ac:dyDescent="0.25">
      <c r="A459" s="2">
        <v>45320.945833333331</v>
      </c>
      <c r="B459" t="s">
        <v>309</v>
      </c>
      <c r="C459" t="s">
        <v>221</v>
      </c>
      <c r="D459">
        <v>2</v>
      </c>
      <c r="E459" t="s">
        <v>54</v>
      </c>
      <c r="F459" t="s">
        <v>373</v>
      </c>
      <c r="G459">
        <v>0.59880239499999999</v>
      </c>
      <c r="H459">
        <v>0</v>
      </c>
      <c r="I459">
        <v>0.59880239499999999</v>
      </c>
      <c r="J459">
        <v>99.401197600000003</v>
      </c>
      <c r="K459">
        <v>0.8</v>
      </c>
      <c r="L459">
        <v>0.3</v>
      </c>
      <c r="M459">
        <v>0.7</v>
      </c>
      <c r="N459">
        <v>664</v>
      </c>
      <c r="O459">
        <v>4</v>
      </c>
      <c r="P459">
        <v>0</v>
      </c>
      <c r="Q459">
        <v>0.6</v>
      </c>
      <c r="R459" t="s">
        <v>235</v>
      </c>
      <c r="S459">
        <v>0.03</v>
      </c>
      <c r="T459">
        <v>0.03</v>
      </c>
    </row>
    <row r="460" spans="1:21" x14ac:dyDescent="0.25">
      <c r="A460" t="s">
        <v>19</v>
      </c>
      <c r="B460" t="s">
        <v>20</v>
      </c>
      <c r="C460" t="s">
        <v>320</v>
      </c>
      <c r="D460">
        <v>3</v>
      </c>
      <c r="E460" t="s">
        <v>54</v>
      </c>
      <c r="F460" t="s">
        <v>373</v>
      </c>
      <c r="G460">
        <v>0</v>
      </c>
      <c r="H460">
        <v>0</v>
      </c>
      <c r="I460">
        <f>100-J460</f>
        <v>0</v>
      </c>
      <c r="J460">
        <f>100-G460-H460</f>
        <v>100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  <c r="Q460">
        <f>I460</f>
        <v>0</v>
      </c>
      <c r="R460" t="s">
        <v>19</v>
      </c>
      <c r="S460" t="s">
        <v>19</v>
      </c>
      <c r="T460" t="s">
        <v>19</v>
      </c>
    </row>
    <row r="461" spans="1:21" x14ac:dyDescent="0.25">
      <c r="A461" s="2">
        <v>45323.534814814811</v>
      </c>
      <c r="B461" t="s">
        <v>309</v>
      </c>
      <c r="C461" t="s">
        <v>322</v>
      </c>
      <c r="D461">
        <v>3</v>
      </c>
      <c r="E461" t="s">
        <v>54</v>
      </c>
      <c r="F461" t="s">
        <v>373</v>
      </c>
      <c r="G461">
        <f>(O461/(N461+O461+P461))*100</f>
        <v>0.5988023952095809</v>
      </c>
      <c r="H461">
        <f>(P461/(O461+P461+N461))*100</f>
        <v>0</v>
      </c>
      <c r="I461">
        <f>((O461+P461)/(P461+O461+N461))*100</f>
        <v>0.5988023952095809</v>
      </c>
      <c r="J461">
        <f>(N461/(P461+O461+N461))*100</f>
        <v>99.401197604790411</v>
      </c>
      <c r="K461">
        <v>0.8</v>
      </c>
      <c r="L461">
        <v>0.3</v>
      </c>
      <c r="M461">
        <v>0.7</v>
      </c>
      <c r="N461">
        <v>664</v>
      </c>
      <c r="O461">
        <v>4</v>
      </c>
      <c r="P461">
        <v>0</v>
      </c>
      <c r="Q461">
        <v>0.6</v>
      </c>
      <c r="R461" t="s">
        <v>337</v>
      </c>
      <c r="S461">
        <v>2.68</v>
      </c>
      <c r="T461">
        <v>2.92</v>
      </c>
      <c r="U461">
        <v>8</v>
      </c>
    </row>
    <row r="462" spans="1:21" x14ac:dyDescent="0.25">
      <c r="A462" s="2">
        <v>45323.536574074074</v>
      </c>
      <c r="B462" t="s">
        <v>309</v>
      </c>
      <c r="C462" t="s">
        <v>322</v>
      </c>
      <c r="D462">
        <v>3</v>
      </c>
      <c r="E462" t="s">
        <v>54</v>
      </c>
      <c r="F462" t="s">
        <v>373</v>
      </c>
      <c r="G462">
        <f>(O462/(N462+O462+P462))*100</f>
        <v>0.74738415545590431</v>
      </c>
      <c r="H462">
        <f>(P462/(O462+P462+N462))*100</f>
        <v>0</v>
      </c>
      <c r="I462">
        <f>((O462+P462)/(P462+O462+N462))*100</f>
        <v>0.74738415545590431</v>
      </c>
      <c r="J462">
        <f>(N462/(P462+O462+N462))*100</f>
        <v>99.252615844544096</v>
      </c>
      <c r="K462">
        <v>0.7</v>
      </c>
      <c r="L462">
        <v>0.3</v>
      </c>
      <c r="M462">
        <v>0.7</v>
      </c>
      <c r="N462">
        <v>664</v>
      </c>
      <c r="O462">
        <v>5</v>
      </c>
      <c r="P462">
        <v>0</v>
      </c>
      <c r="Q462">
        <v>0.75</v>
      </c>
      <c r="R462" t="s">
        <v>344</v>
      </c>
      <c r="S462">
        <v>2.68</v>
      </c>
      <c r="T462">
        <v>2.92</v>
      </c>
      <c r="U462">
        <v>7</v>
      </c>
    </row>
    <row r="463" spans="1:21" x14ac:dyDescent="0.25">
      <c r="A463" s="2">
        <v>45325.112546296295</v>
      </c>
      <c r="B463" t="s">
        <v>309</v>
      </c>
      <c r="C463" t="s">
        <v>368</v>
      </c>
      <c r="D463">
        <v>2</v>
      </c>
      <c r="E463" t="s">
        <v>54</v>
      </c>
      <c r="F463" t="s">
        <v>373</v>
      </c>
      <c r="G463">
        <f>(O463/(N463+O463+P463))*100</f>
        <v>0.14992503748125938</v>
      </c>
      <c r="H463">
        <f>(P463/(O463+P463+N463))*100</f>
        <v>0</v>
      </c>
      <c r="I463">
        <v>0.15</v>
      </c>
      <c r="J463">
        <f>(N463/(P463+O463+N463))*100</f>
        <v>99.850074962518747</v>
      </c>
      <c r="K463">
        <v>0.8</v>
      </c>
      <c r="L463">
        <v>0.3</v>
      </c>
      <c r="M463">
        <v>0.7</v>
      </c>
      <c r="N463">
        <v>666</v>
      </c>
      <c r="O463">
        <v>1</v>
      </c>
      <c r="P463">
        <v>0</v>
      </c>
      <c r="Q463">
        <v>0.15</v>
      </c>
      <c r="R463" t="s">
        <v>277</v>
      </c>
      <c r="S463">
        <v>0.01</v>
      </c>
      <c r="T463">
        <v>0.01</v>
      </c>
    </row>
    <row r="464" spans="1:21" x14ac:dyDescent="0.25">
      <c r="A464" t="s">
        <v>19</v>
      </c>
      <c r="B464" t="s">
        <v>20</v>
      </c>
      <c r="C464" t="s">
        <v>308</v>
      </c>
      <c r="D464">
        <v>3</v>
      </c>
      <c r="E464" t="s">
        <v>55</v>
      </c>
      <c r="F464" t="s">
        <v>388</v>
      </c>
      <c r="G464">
        <v>0</v>
      </c>
      <c r="H464">
        <v>0</v>
      </c>
      <c r="I464">
        <f>G464+H464</f>
        <v>0</v>
      </c>
      <c r="J464">
        <f>100-G464-H464</f>
        <v>100</v>
      </c>
      <c r="K464" t="s">
        <v>19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  <c r="Q464">
        <f>I464</f>
        <v>0</v>
      </c>
      <c r="R464" t="s">
        <v>19</v>
      </c>
      <c r="S464" t="s">
        <v>19</v>
      </c>
      <c r="T464" t="s">
        <v>19</v>
      </c>
    </row>
    <row r="465" spans="1:21" x14ac:dyDescent="0.25">
      <c r="A465" t="s">
        <v>19</v>
      </c>
      <c r="B465" t="s">
        <v>20</v>
      </c>
      <c r="C465" t="s">
        <v>22</v>
      </c>
      <c r="D465">
        <v>3</v>
      </c>
      <c r="E465" t="s">
        <v>55</v>
      </c>
      <c r="F465" t="s">
        <v>388</v>
      </c>
      <c r="G465">
        <v>0</v>
      </c>
      <c r="H465">
        <v>0</v>
      </c>
      <c r="I465">
        <f>G465+H465</f>
        <v>0</v>
      </c>
      <c r="J465">
        <f>100-G465-H465</f>
        <v>100</v>
      </c>
      <c r="K465" t="s">
        <v>19</v>
      </c>
      <c r="L465" t="s">
        <v>19</v>
      </c>
      <c r="M465" t="s">
        <v>19</v>
      </c>
      <c r="N465" t="s">
        <v>19</v>
      </c>
      <c r="O465" t="s">
        <v>19</v>
      </c>
      <c r="P465" t="s">
        <v>19</v>
      </c>
      <c r="Q465">
        <f>I465</f>
        <v>0</v>
      </c>
      <c r="R465" t="s">
        <v>19</v>
      </c>
      <c r="S465" t="s">
        <v>19</v>
      </c>
      <c r="T465" t="s">
        <v>19</v>
      </c>
    </row>
    <row r="466" spans="1:21" x14ac:dyDescent="0.25">
      <c r="A466" t="s">
        <v>19</v>
      </c>
      <c r="B466" t="s">
        <v>20</v>
      </c>
      <c r="C466" t="s">
        <v>305</v>
      </c>
      <c r="D466">
        <v>3</v>
      </c>
      <c r="E466" t="s">
        <v>55</v>
      </c>
      <c r="F466" t="s">
        <v>388</v>
      </c>
      <c r="G466">
        <v>0</v>
      </c>
      <c r="H466">
        <v>0</v>
      </c>
      <c r="I466">
        <f>G466+H466</f>
        <v>0</v>
      </c>
      <c r="J466">
        <f>100-G466-H466</f>
        <v>100</v>
      </c>
      <c r="K466" t="s">
        <v>19</v>
      </c>
      <c r="L466" t="s">
        <v>19</v>
      </c>
      <c r="M466" t="s">
        <v>19</v>
      </c>
      <c r="N466" t="s">
        <v>19</v>
      </c>
      <c r="O466" t="s">
        <v>19</v>
      </c>
      <c r="P466" t="s">
        <v>19</v>
      </c>
      <c r="Q466">
        <f>I466</f>
        <v>0</v>
      </c>
      <c r="R466" t="s">
        <v>19</v>
      </c>
      <c r="S466" t="s">
        <v>19</v>
      </c>
      <c r="T466" t="s">
        <v>19</v>
      </c>
    </row>
    <row r="467" spans="1:21" x14ac:dyDescent="0.25">
      <c r="A467" t="s">
        <v>19</v>
      </c>
      <c r="B467" t="s">
        <v>20</v>
      </c>
      <c r="C467" t="s">
        <v>307</v>
      </c>
      <c r="D467">
        <v>3</v>
      </c>
      <c r="E467" t="s">
        <v>55</v>
      </c>
      <c r="F467" t="s">
        <v>388</v>
      </c>
      <c r="G467">
        <v>0</v>
      </c>
      <c r="H467">
        <v>0</v>
      </c>
      <c r="I467">
        <f>G467+H467</f>
        <v>0</v>
      </c>
      <c r="J467">
        <f>100-G467-H467</f>
        <v>100</v>
      </c>
      <c r="K467" t="s">
        <v>19</v>
      </c>
      <c r="L467" t="s">
        <v>19</v>
      </c>
      <c r="M467" t="s">
        <v>19</v>
      </c>
      <c r="N467" t="s">
        <v>19</v>
      </c>
      <c r="O467" t="s">
        <v>19</v>
      </c>
      <c r="P467" t="s">
        <v>19</v>
      </c>
      <c r="Q467">
        <f>I467</f>
        <v>0</v>
      </c>
      <c r="R467" t="s">
        <v>19</v>
      </c>
      <c r="S467" t="s">
        <v>19</v>
      </c>
      <c r="T467" t="s">
        <v>19</v>
      </c>
    </row>
    <row r="468" spans="1:21" x14ac:dyDescent="0.25">
      <c r="A468" s="2">
        <v>45253.52847222222</v>
      </c>
      <c r="B468" t="s">
        <v>309</v>
      </c>
      <c r="C468" t="s">
        <v>213</v>
      </c>
      <c r="D468">
        <v>3</v>
      </c>
      <c r="E468" t="s">
        <v>55</v>
      </c>
      <c r="F468" t="s">
        <v>388</v>
      </c>
      <c r="G468">
        <v>0</v>
      </c>
      <c r="H468">
        <v>0.86083213800000002</v>
      </c>
      <c r="I468">
        <v>0.86083213800000002</v>
      </c>
      <c r="J468">
        <v>99.139167860000001</v>
      </c>
      <c r="K468">
        <v>0.8</v>
      </c>
      <c r="L468">
        <v>0.2</v>
      </c>
      <c r="M468">
        <v>0.7</v>
      </c>
      <c r="N468">
        <v>691</v>
      </c>
      <c r="O468">
        <v>0</v>
      </c>
      <c r="P468">
        <v>6</v>
      </c>
      <c r="Q468">
        <v>0.86</v>
      </c>
      <c r="R468" t="s">
        <v>238</v>
      </c>
      <c r="S468">
        <v>2.67</v>
      </c>
      <c r="T468">
        <v>2.91</v>
      </c>
    </row>
    <row r="469" spans="1:21" x14ac:dyDescent="0.25">
      <c r="A469" s="2">
        <v>45253.827777777777</v>
      </c>
      <c r="B469" t="s">
        <v>309</v>
      </c>
      <c r="C469" t="s">
        <v>215</v>
      </c>
      <c r="D469">
        <v>2</v>
      </c>
      <c r="E469" t="s">
        <v>55</v>
      </c>
      <c r="F469" t="s">
        <v>388</v>
      </c>
      <c r="G469">
        <v>0.27739250999999998</v>
      </c>
      <c r="H469">
        <v>0</v>
      </c>
      <c r="I469">
        <v>0.27739250999999998</v>
      </c>
      <c r="J469">
        <v>99.722607490000001</v>
      </c>
      <c r="K469">
        <v>0.8</v>
      </c>
      <c r="L469">
        <v>0.2</v>
      </c>
      <c r="M469">
        <v>0.7</v>
      </c>
      <c r="N469">
        <v>719</v>
      </c>
      <c r="O469">
        <v>2</v>
      </c>
      <c r="P469">
        <v>0</v>
      </c>
      <c r="Q469">
        <v>0.28000000000000003</v>
      </c>
      <c r="R469" t="s">
        <v>243</v>
      </c>
      <c r="S469">
        <v>0.01</v>
      </c>
      <c r="T469">
        <v>0.01</v>
      </c>
    </row>
    <row r="470" spans="1:21" x14ac:dyDescent="0.25">
      <c r="A470" s="2">
        <v>45253.993750000001</v>
      </c>
      <c r="B470" t="s">
        <v>309</v>
      </c>
      <c r="C470" t="s">
        <v>217</v>
      </c>
      <c r="D470">
        <v>2</v>
      </c>
      <c r="E470" t="s">
        <v>55</v>
      </c>
      <c r="F470" t="s">
        <v>388</v>
      </c>
      <c r="G470">
        <v>1.280227596</v>
      </c>
      <c r="H470">
        <v>0</v>
      </c>
      <c r="I470">
        <v>1.280227596</v>
      </c>
      <c r="J470">
        <v>98.719772399999997</v>
      </c>
      <c r="K470">
        <v>0.8</v>
      </c>
      <c r="L470">
        <v>0.2</v>
      </c>
      <c r="M470">
        <v>0.7</v>
      </c>
      <c r="N470">
        <v>694</v>
      </c>
      <c r="O470">
        <v>9</v>
      </c>
      <c r="P470">
        <v>0</v>
      </c>
      <c r="Q470">
        <v>1.28</v>
      </c>
      <c r="R470" t="s">
        <v>231</v>
      </c>
      <c r="S470">
        <v>0.06</v>
      </c>
      <c r="T470">
        <v>0.06</v>
      </c>
    </row>
    <row r="471" spans="1:21" x14ac:dyDescent="0.25">
      <c r="A471" s="2">
        <v>45316.506249999999</v>
      </c>
      <c r="B471" t="s">
        <v>309</v>
      </c>
      <c r="C471" t="s">
        <v>219</v>
      </c>
      <c r="D471">
        <v>3</v>
      </c>
      <c r="E471" t="s">
        <v>55</v>
      </c>
      <c r="F471" t="s">
        <v>388</v>
      </c>
      <c r="G471">
        <v>0.66225165600000002</v>
      </c>
      <c r="H471">
        <v>2.649006623</v>
      </c>
      <c r="I471">
        <v>3.3112582779999999</v>
      </c>
      <c r="J471">
        <v>96.688741719999996</v>
      </c>
      <c r="K471">
        <v>0.8</v>
      </c>
      <c r="L471">
        <v>0.2</v>
      </c>
      <c r="M471">
        <v>0.7</v>
      </c>
      <c r="N471">
        <v>146</v>
      </c>
      <c r="O471">
        <v>1</v>
      </c>
      <c r="P471">
        <v>4</v>
      </c>
      <c r="Q471">
        <v>3.31</v>
      </c>
      <c r="R471" t="s">
        <v>225</v>
      </c>
      <c r="S471">
        <v>3.26</v>
      </c>
      <c r="T471">
        <v>4.33</v>
      </c>
    </row>
    <row r="472" spans="1:21" x14ac:dyDescent="0.25">
      <c r="A472" s="2">
        <v>45320.838888888888</v>
      </c>
      <c r="B472" t="s">
        <v>309</v>
      </c>
      <c r="C472" t="s">
        <v>221</v>
      </c>
      <c r="D472">
        <v>2</v>
      </c>
      <c r="E472" t="s">
        <v>55</v>
      </c>
      <c r="F472" t="s">
        <v>388</v>
      </c>
      <c r="G472">
        <v>1.141924959</v>
      </c>
      <c r="H472">
        <v>0</v>
      </c>
      <c r="I472">
        <v>1.141924959</v>
      </c>
      <c r="J472">
        <v>98.858075040000003</v>
      </c>
      <c r="K472">
        <v>0.8</v>
      </c>
      <c r="L472">
        <v>0.3</v>
      </c>
      <c r="M472">
        <v>0.7</v>
      </c>
      <c r="N472">
        <v>606</v>
      </c>
      <c r="O472">
        <v>7</v>
      </c>
      <c r="P472">
        <v>0</v>
      </c>
      <c r="Q472">
        <v>1.1399999999999999</v>
      </c>
      <c r="R472" t="s">
        <v>264</v>
      </c>
      <c r="S472">
        <v>7.0000000000000007E-2</v>
      </c>
      <c r="T472">
        <v>7.0000000000000007E-2</v>
      </c>
    </row>
    <row r="473" spans="1:21" x14ac:dyDescent="0.25">
      <c r="A473" t="s">
        <v>19</v>
      </c>
      <c r="B473" t="s">
        <v>20</v>
      </c>
      <c r="C473" t="s">
        <v>306</v>
      </c>
      <c r="D473">
        <v>3</v>
      </c>
      <c r="E473" t="s">
        <v>55</v>
      </c>
      <c r="F473" t="s">
        <v>388</v>
      </c>
      <c r="G473">
        <v>0</v>
      </c>
      <c r="H473">
        <v>0</v>
      </c>
      <c r="I473">
        <f>G473+H473</f>
        <v>0</v>
      </c>
      <c r="J473">
        <f>100-G473-H473</f>
        <v>100</v>
      </c>
      <c r="K473" t="s">
        <v>19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  <c r="Q473">
        <f>I473</f>
        <v>0</v>
      </c>
      <c r="R473" t="s">
        <v>19</v>
      </c>
      <c r="S473" t="s">
        <v>19</v>
      </c>
      <c r="T473" t="s">
        <v>19</v>
      </c>
    </row>
    <row r="474" spans="1:21" x14ac:dyDescent="0.25">
      <c r="A474" t="s">
        <v>19</v>
      </c>
      <c r="B474" t="s">
        <v>20</v>
      </c>
      <c r="C474" t="s">
        <v>320</v>
      </c>
      <c r="D474">
        <v>3</v>
      </c>
      <c r="E474" t="s">
        <v>55</v>
      </c>
      <c r="F474" t="s">
        <v>388</v>
      </c>
      <c r="G474">
        <v>0</v>
      </c>
      <c r="H474">
        <v>0</v>
      </c>
      <c r="I474">
        <f>100-J474</f>
        <v>0</v>
      </c>
      <c r="J474">
        <f>100-G474-H474</f>
        <v>100</v>
      </c>
      <c r="K474" t="s">
        <v>19</v>
      </c>
      <c r="L474" t="s">
        <v>19</v>
      </c>
      <c r="M474" t="s">
        <v>19</v>
      </c>
      <c r="N474" t="s">
        <v>19</v>
      </c>
      <c r="O474" t="s">
        <v>19</v>
      </c>
      <c r="P474" t="s">
        <v>19</v>
      </c>
      <c r="Q474">
        <f>I474</f>
        <v>0</v>
      </c>
      <c r="R474" t="s">
        <v>19</v>
      </c>
      <c r="S474" t="s">
        <v>19</v>
      </c>
      <c r="T474" t="s">
        <v>19</v>
      </c>
    </row>
    <row r="475" spans="1:21" x14ac:dyDescent="0.25">
      <c r="A475" s="2">
        <v>45323.53229166667</v>
      </c>
      <c r="B475" t="s">
        <v>309</v>
      </c>
      <c r="C475" t="s">
        <v>322</v>
      </c>
      <c r="D475">
        <v>3</v>
      </c>
      <c r="E475" t="s">
        <v>55</v>
      </c>
      <c r="F475" t="s">
        <v>388</v>
      </c>
      <c r="G475">
        <f>(O475/(N475+O475+P475))*100</f>
        <v>0.15923566878980894</v>
      </c>
      <c r="H475">
        <f>(P475/(O475+P475+N475))*100</f>
        <v>0.15923566878980894</v>
      </c>
      <c r="I475">
        <f>((O475+P475)/(P475+O475+N475))*100</f>
        <v>0.31847133757961787</v>
      </c>
      <c r="J475">
        <f>(N475/(P475+O475+N475))*100</f>
        <v>99.681528662420376</v>
      </c>
      <c r="K475">
        <v>0.8</v>
      </c>
      <c r="L475">
        <v>0.3</v>
      </c>
      <c r="M475">
        <v>0.7</v>
      </c>
      <c r="N475">
        <v>626</v>
      </c>
      <c r="O475">
        <v>1</v>
      </c>
      <c r="P475">
        <v>1</v>
      </c>
      <c r="Q475">
        <v>0.32</v>
      </c>
      <c r="R475" t="s">
        <v>340</v>
      </c>
      <c r="S475">
        <v>2.46</v>
      </c>
      <c r="T475">
        <v>4.28</v>
      </c>
      <c r="U475">
        <v>26</v>
      </c>
    </row>
    <row r="476" spans="1:21" x14ac:dyDescent="0.25">
      <c r="A476" s="2">
        <v>45323.531192129631</v>
      </c>
      <c r="B476" t="s">
        <v>309</v>
      </c>
      <c r="C476" t="s">
        <v>322</v>
      </c>
      <c r="D476">
        <v>3</v>
      </c>
      <c r="E476" t="s">
        <v>55</v>
      </c>
      <c r="F476" t="s">
        <v>388</v>
      </c>
      <c r="G476">
        <f>(O476/(N476+O476+P476))*100</f>
        <v>0.31796502384737679</v>
      </c>
      <c r="H476">
        <f>(P476/(O476+P476+N476))*100</f>
        <v>0.1589825119236884</v>
      </c>
      <c r="I476">
        <v>0.48</v>
      </c>
      <c r="J476">
        <f>(N476/(P476+O476+N476))*100</f>
        <v>99.52305246422894</v>
      </c>
      <c r="K476">
        <v>0.7</v>
      </c>
      <c r="L476">
        <v>0.3</v>
      </c>
      <c r="M476">
        <v>0.7</v>
      </c>
      <c r="N476">
        <v>626</v>
      </c>
      <c r="O476">
        <v>2</v>
      </c>
      <c r="P476">
        <v>1</v>
      </c>
      <c r="Q476">
        <v>0.48</v>
      </c>
      <c r="R476" t="s">
        <v>340</v>
      </c>
      <c r="S476">
        <v>2.46</v>
      </c>
      <c r="T476">
        <v>4.28</v>
      </c>
      <c r="U476">
        <v>25</v>
      </c>
    </row>
    <row r="477" spans="1:21" x14ac:dyDescent="0.25">
      <c r="A477" s="2">
        <v>45324.957986111112</v>
      </c>
      <c r="B477" t="s">
        <v>309</v>
      </c>
      <c r="C477" t="s">
        <v>368</v>
      </c>
      <c r="D477">
        <v>2</v>
      </c>
      <c r="E477" t="s">
        <v>55</v>
      </c>
      <c r="F477" t="s">
        <v>388</v>
      </c>
      <c r="G477">
        <f>(O477/(N477+O477+P477))*100</f>
        <v>2.1276595744680851</v>
      </c>
      <c r="H477">
        <f>(P477/(O477+P477+N477))*100</f>
        <v>0</v>
      </c>
      <c r="I477">
        <v>2.13</v>
      </c>
      <c r="J477">
        <f>(N477/(P477+O477+N477))*100</f>
        <v>97.872340425531917</v>
      </c>
      <c r="K477">
        <v>0.8</v>
      </c>
      <c r="L477">
        <v>0.3</v>
      </c>
      <c r="M477">
        <v>0.7</v>
      </c>
      <c r="N477">
        <v>506</v>
      </c>
      <c r="O477">
        <v>11</v>
      </c>
      <c r="P477">
        <v>0</v>
      </c>
      <c r="Q477">
        <v>2.13</v>
      </c>
      <c r="R477" t="s">
        <v>246</v>
      </c>
      <c r="S477">
        <v>0.19</v>
      </c>
      <c r="T477">
        <v>0.2</v>
      </c>
    </row>
    <row r="478" spans="1:21" x14ac:dyDescent="0.25">
      <c r="A478" t="s">
        <v>19</v>
      </c>
      <c r="B478" t="s">
        <v>20</v>
      </c>
      <c r="C478" t="s">
        <v>308</v>
      </c>
      <c r="D478">
        <v>3</v>
      </c>
      <c r="E478" t="s">
        <v>56</v>
      </c>
      <c r="F478" t="s">
        <v>388</v>
      </c>
      <c r="G478">
        <v>10</v>
      </c>
      <c r="H478">
        <v>70</v>
      </c>
      <c r="I478">
        <f>G478+H478</f>
        <v>80</v>
      </c>
      <c r="J478">
        <f>100-G478-H478</f>
        <v>20</v>
      </c>
      <c r="K478" t="s">
        <v>19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  <c r="Q478">
        <f>I478</f>
        <v>80</v>
      </c>
      <c r="R478" t="s">
        <v>19</v>
      </c>
      <c r="S478" t="s">
        <v>19</v>
      </c>
      <c r="T478" t="s">
        <v>19</v>
      </c>
    </row>
    <row r="479" spans="1:21" x14ac:dyDescent="0.25">
      <c r="A479" t="s">
        <v>19</v>
      </c>
      <c r="B479" t="s">
        <v>20</v>
      </c>
      <c r="C479" t="s">
        <v>22</v>
      </c>
      <c r="D479">
        <v>3</v>
      </c>
      <c r="E479" t="s">
        <v>56</v>
      </c>
      <c r="F479" t="s">
        <v>388</v>
      </c>
      <c r="G479">
        <v>0</v>
      </c>
      <c r="H479">
        <v>60</v>
      </c>
      <c r="I479">
        <f>G479+H479</f>
        <v>60</v>
      </c>
      <c r="J479">
        <f>100-G479-H479</f>
        <v>40</v>
      </c>
      <c r="K479" t="s">
        <v>19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  <c r="Q479">
        <f>I479</f>
        <v>60</v>
      </c>
      <c r="R479" t="s">
        <v>19</v>
      </c>
      <c r="S479" t="s">
        <v>19</v>
      </c>
      <c r="T479" t="s">
        <v>19</v>
      </c>
    </row>
    <row r="480" spans="1:21" x14ac:dyDescent="0.25">
      <c r="A480" t="s">
        <v>19</v>
      </c>
      <c r="B480" t="s">
        <v>20</v>
      </c>
      <c r="C480" t="s">
        <v>305</v>
      </c>
      <c r="D480">
        <v>3</v>
      </c>
      <c r="E480" t="s">
        <v>56</v>
      </c>
      <c r="F480" t="s">
        <v>388</v>
      </c>
      <c r="G480">
        <v>25</v>
      </c>
      <c r="H480">
        <v>60</v>
      </c>
      <c r="I480">
        <f>G480+H480</f>
        <v>85</v>
      </c>
      <c r="J480">
        <f>100-G480-H480</f>
        <v>15</v>
      </c>
      <c r="K480" t="s">
        <v>19</v>
      </c>
      <c r="L480" t="s">
        <v>19</v>
      </c>
      <c r="M480" t="s">
        <v>19</v>
      </c>
      <c r="N480" t="s">
        <v>19</v>
      </c>
      <c r="O480" t="s">
        <v>19</v>
      </c>
      <c r="P480" t="s">
        <v>19</v>
      </c>
      <c r="Q480">
        <f>I480</f>
        <v>85</v>
      </c>
      <c r="R480" t="s">
        <v>19</v>
      </c>
      <c r="S480" t="s">
        <v>19</v>
      </c>
      <c r="T480" t="s">
        <v>19</v>
      </c>
    </row>
    <row r="481" spans="1:21" x14ac:dyDescent="0.25">
      <c r="A481" t="s">
        <v>19</v>
      </c>
      <c r="B481" t="s">
        <v>20</v>
      </c>
      <c r="C481" t="s">
        <v>307</v>
      </c>
      <c r="D481">
        <v>3</v>
      </c>
      <c r="E481" t="s">
        <v>56</v>
      </c>
      <c r="F481" t="s">
        <v>388</v>
      </c>
      <c r="G481">
        <v>0</v>
      </c>
      <c r="H481">
        <v>40</v>
      </c>
      <c r="I481">
        <f>G481+H481</f>
        <v>40</v>
      </c>
      <c r="J481">
        <f>100-G481-H481</f>
        <v>60</v>
      </c>
      <c r="K481" t="s">
        <v>19</v>
      </c>
      <c r="L481" t="s">
        <v>19</v>
      </c>
      <c r="M481" t="s">
        <v>19</v>
      </c>
      <c r="N481" t="s">
        <v>19</v>
      </c>
      <c r="O481" t="s">
        <v>19</v>
      </c>
      <c r="P481" t="s">
        <v>19</v>
      </c>
      <c r="Q481">
        <f>I481</f>
        <v>40</v>
      </c>
      <c r="R481" t="s">
        <v>19</v>
      </c>
      <c r="S481" t="s">
        <v>19</v>
      </c>
      <c r="T481" t="s">
        <v>19</v>
      </c>
    </row>
    <row r="482" spans="1:21" x14ac:dyDescent="0.25">
      <c r="A482" s="2">
        <v>45253.530555555553</v>
      </c>
      <c r="B482" t="s">
        <v>309</v>
      </c>
      <c r="C482" t="s">
        <v>213</v>
      </c>
      <c r="D482">
        <v>3</v>
      </c>
      <c r="E482" t="s">
        <v>56</v>
      </c>
      <c r="F482" t="s">
        <v>388</v>
      </c>
      <c r="G482">
        <v>2.3090586150000001</v>
      </c>
      <c r="H482">
        <v>71.758436939999996</v>
      </c>
      <c r="I482">
        <v>74.067495559999998</v>
      </c>
      <c r="J482">
        <v>25.932504439999999</v>
      </c>
      <c r="K482">
        <v>0.8</v>
      </c>
      <c r="L482">
        <v>0.2</v>
      </c>
      <c r="M482">
        <v>0.7</v>
      </c>
      <c r="N482">
        <v>146</v>
      </c>
      <c r="O482">
        <v>13</v>
      </c>
      <c r="P482">
        <v>404</v>
      </c>
      <c r="Q482">
        <v>74.069999999999993</v>
      </c>
      <c r="R482" t="s">
        <v>223</v>
      </c>
      <c r="S482">
        <v>2.95</v>
      </c>
      <c r="T482">
        <v>3.73</v>
      </c>
    </row>
    <row r="483" spans="1:21" x14ac:dyDescent="0.25">
      <c r="A483" s="2">
        <v>45253.828472222223</v>
      </c>
      <c r="B483" t="s">
        <v>309</v>
      </c>
      <c r="C483" t="s">
        <v>215</v>
      </c>
      <c r="D483">
        <v>2</v>
      </c>
      <c r="E483" t="s">
        <v>56</v>
      </c>
      <c r="F483" t="s">
        <v>388</v>
      </c>
      <c r="G483">
        <v>23.903176999999999</v>
      </c>
      <c r="H483">
        <v>0</v>
      </c>
      <c r="I483">
        <v>23.903176999999999</v>
      </c>
      <c r="J483">
        <v>76.096823000000001</v>
      </c>
      <c r="K483">
        <v>0.8</v>
      </c>
      <c r="L483">
        <v>0.2</v>
      </c>
      <c r="M483">
        <v>0.7</v>
      </c>
      <c r="N483">
        <v>503</v>
      </c>
      <c r="O483">
        <v>158</v>
      </c>
      <c r="P483">
        <v>0</v>
      </c>
      <c r="Q483">
        <v>23.9</v>
      </c>
      <c r="R483" t="s">
        <v>226</v>
      </c>
      <c r="S483">
        <v>0.61</v>
      </c>
      <c r="T483">
        <v>0.66</v>
      </c>
    </row>
    <row r="484" spans="1:21" x14ac:dyDescent="0.25">
      <c r="A484" s="2">
        <v>45253.994444444441</v>
      </c>
      <c r="B484" t="s">
        <v>309</v>
      </c>
      <c r="C484" t="s">
        <v>217</v>
      </c>
      <c r="D484">
        <v>2</v>
      </c>
      <c r="E484" t="s">
        <v>56</v>
      </c>
      <c r="F484" t="s">
        <v>388</v>
      </c>
      <c r="G484">
        <v>29.907975459999999</v>
      </c>
      <c r="H484">
        <v>0</v>
      </c>
      <c r="I484">
        <v>29.907975459999999</v>
      </c>
      <c r="J484">
        <v>70.092024539999997</v>
      </c>
      <c r="K484">
        <v>0.8</v>
      </c>
      <c r="L484">
        <v>0.2</v>
      </c>
      <c r="M484">
        <v>0.7</v>
      </c>
      <c r="N484">
        <v>457</v>
      </c>
      <c r="O484">
        <v>195</v>
      </c>
      <c r="P484">
        <v>0</v>
      </c>
      <c r="Q484">
        <v>29.91</v>
      </c>
      <c r="R484" t="s">
        <v>222</v>
      </c>
      <c r="S484">
        <v>0.8</v>
      </c>
      <c r="T484">
        <v>0.87</v>
      </c>
    </row>
    <row r="485" spans="1:21" x14ac:dyDescent="0.25">
      <c r="A485" s="2">
        <v>45316.506944444445</v>
      </c>
      <c r="B485" t="s">
        <v>309</v>
      </c>
      <c r="C485" t="s">
        <v>219</v>
      </c>
      <c r="D485">
        <v>3</v>
      </c>
      <c r="E485" t="s">
        <v>56</v>
      </c>
      <c r="F485" t="s">
        <v>388</v>
      </c>
      <c r="G485">
        <v>2.4734982329999999</v>
      </c>
      <c r="H485">
        <v>82.685512369999998</v>
      </c>
      <c r="I485">
        <v>85.159010600000002</v>
      </c>
      <c r="J485">
        <v>14.8409894</v>
      </c>
      <c r="K485">
        <v>0.8</v>
      </c>
      <c r="L485">
        <v>0.2</v>
      </c>
      <c r="M485">
        <v>0.7</v>
      </c>
      <c r="N485">
        <v>84</v>
      </c>
      <c r="O485">
        <v>14</v>
      </c>
      <c r="P485">
        <v>468</v>
      </c>
      <c r="Q485">
        <v>85.16</v>
      </c>
      <c r="R485" t="s">
        <v>225</v>
      </c>
      <c r="S485">
        <v>3.15</v>
      </c>
      <c r="T485">
        <v>4.5199999999999996</v>
      </c>
    </row>
    <row r="486" spans="1:21" x14ac:dyDescent="0.25">
      <c r="A486" s="2">
        <v>45320.840277777781</v>
      </c>
      <c r="B486" t="s">
        <v>309</v>
      </c>
      <c r="C486" t="s">
        <v>221</v>
      </c>
      <c r="D486">
        <v>2</v>
      </c>
      <c r="E486" t="s">
        <v>56</v>
      </c>
      <c r="F486" t="s">
        <v>388</v>
      </c>
      <c r="G486">
        <v>86.941580759999994</v>
      </c>
      <c r="H486">
        <v>0</v>
      </c>
      <c r="I486">
        <v>86.941580759999994</v>
      </c>
      <c r="J486">
        <v>13.058419239999999</v>
      </c>
      <c r="K486">
        <v>0.8</v>
      </c>
      <c r="L486">
        <v>0.3</v>
      </c>
      <c r="M486">
        <v>0.7</v>
      </c>
      <c r="N486">
        <v>76</v>
      </c>
      <c r="O486">
        <v>506</v>
      </c>
      <c r="P486">
        <v>0</v>
      </c>
      <c r="Q486">
        <v>86.94</v>
      </c>
      <c r="R486" t="s">
        <v>265</v>
      </c>
      <c r="S486">
        <v>2.2400000000000002</v>
      </c>
      <c r="T486">
        <v>2.4</v>
      </c>
    </row>
    <row r="487" spans="1:21" x14ac:dyDescent="0.25">
      <c r="A487" t="s">
        <v>19</v>
      </c>
      <c r="B487" t="s">
        <v>20</v>
      </c>
      <c r="C487" t="s">
        <v>306</v>
      </c>
      <c r="D487">
        <v>3</v>
      </c>
      <c r="E487" t="s">
        <v>56</v>
      </c>
      <c r="F487" t="s">
        <v>388</v>
      </c>
      <c r="G487">
        <v>20</v>
      </c>
      <c r="H487">
        <v>80</v>
      </c>
      <c r="I487">
        <f>G487+H487</f>
        <v>100</v>
      </c>
      <c r="J487">
        <f>100-G487-H487</f>
        <v>0</v>
      </c>
      <c r="K487" t="s">
        <v>19</v>
      </c>
      <c r="L487" t="s">
        <v>19</v>
      </c>
      <c r="M487" t="s">
        <v>19</v>
      </c>
      <c r="N487" t="s">
        <v>19</v>
      </c>
      <c r="O487" t="s">
        <v>19</v>
      </c>
      <c r="P487" t="s">
        <v>19</v>
      </c>
      <c r="Q487">
        <f>I487</f>
        <v>100</v>
      </c>
      <c r="R487" t="s">
        <v>19</v>
      </c>
      <c r="S487" t="s">
        <v>19</v>
      </c>
      <c r="T487" t="s">
        <v>19</v>
      </c>
    </row>
    <row r="488" spans="1:21" x14ac:dyDescent="0.25">
      <c r="A488" t="s">
        <v>19</v>
      </c>
      <c r="B488" t="s">
        <v>20</v>
      </c>
      <c r="C488" t="s">
        <v>320</v>
      </c>
      <c r="D488">
        <v>3</v>
      </c>
      <c r="E488" t="s">
        <v>56</v>
      </c>
      <c r="F488" t="s">
        <v>388</v>
      </c>
      <c r="G488">
        <v>10</v>
      </c>
      <c r="H488">
        <v>75</v>
      </c>
      <c r="I488">
        <f>100-J488</f>
        <v>85</v>
      </c>
      <c r="J488">
        <f>100-G488-H488</f>
        <v>15</v>
      </c>
      <c r="K488" t="s">
        <v>19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  <c r="Q488">
        <f>I488</f>
        <v>85</v>
      </c>
      <c r="R488" t="s">
        <v>19</v>
      </c>
      <c r="S488" t="s">
        <v>19</v>
      </c>
      <c r="T488" t="s">
        <v>19</v>
      </c>
    </row>
    <row r="489" spans="1:21" x14ac:dyDescent="0.25">
      <c r="A489" s="2">
        <v>45323.534016203703</v>
      </c>
      <c r="B489" t="s">
        <v>309</v>
      </c>
      <c r="C489" t="s">
        <v>322</v>
      </c>
      <c r="D489">
        <v>3</v>
      </c>
      <c r="E489" t="s">
        <v>56</v>
      </c>
      <c r="F489" t="s">
        <v>388</v>
      </c>
      <c r="G489">
        <f>(O489/(N489+O489+P489))*100</f>
        <v>5.6140350877192979</v>
      </c>
      <c r="H489">
        <f>(P489/(O489+P489+N489))*100</f>
        <v>73.333333333333329</v>
      </c>
      <c r="I489">
        <f>((O489+P489)/(P489+O489+N489))*100</f>
        <v>78.94736842105263</v>
      </c>
      <c r="J489">
        <f>(N489/(P489+O489+N489))*100</f>
        <v>21.052631578947366</v>
      </c>
      <c r="K489">
        <v>0.8</v>
      </c>
      <c r="L489">
        <v>0.3</v>
      </c>
      <c r="M489">
        <v>0.7</v>
      </c>
      <c r="N489">
        <v>120</v>
      </c>
      <c r="O489">
        <v>32</v>
      </c>
      <c r="P489">
        <v>418</v>
      </c>
      <c r="Q489">
        <v>78.95</v>
      </c>
      <c r="R489" t="s">
        <v>230</v>
      </c>
      <c r="S489">
        <v>2.79</v>
      </c>
      <c r="T489">
        <v>4.32</v>
      </c>
      <c r="U489">
        <v>67</v>
      </c>
    </row>
    <row r="490" spans="1:21" x14ac:dyDescent="0.25">
      <c r="A490" s="2">
        <v>45323.532916666663</v>
      </c>
      <c r="B490" t="s">
        <v>309</v>
      </c>
      <c r="C490" t="s">
        <v>322</v>
      </c>
      <c r="D490">
        <v>3</v>
      </c>
      <c r="E490" t="s">
        <v>56</v>
      </c>
      <c r="F490" t="s">
        <v>388</v>
      </c>
      <c r="G490">
        <f>(O490/(N490+O490+P490))*100</f>
        <v>8.0341880341880341</v>
      </c>
      <c r="H490">
        <f>(P490/(O490+P490+N490))*100</f>
        <v>75.213675213675216</v>
      </c>
      <c r="I490">
        <v>83.25</v>
      </c>
      <c r="J490">
        <f>(N490/(P490+O490+N490))*100</f>
        <v>16.752136752136749</v>
      </c>
      <c r="K490">
        <v>0.7</v>
      </c>
      <c r="L490">
        <v>0.3</v>
      </c>
      <c r="M490">
        <v>0.7</v>
      </c>
      <c r="N490">
        <v>98</v>
      </c>
      <c r="O490">
        <v>47</v>
      </c>
      <c r="P490">
        <v>440</v>
      </c>
      <c r="Q490">
        <v>83.25</v>
      </c>
      <c r="R490" t="s">
        <v>338</v>
      </c>
      <c r="S490">
        <v>2.79</v>
      </c>
      <c r="T490">
        <v>4.32</v>
      </c>
      <c r="U490">
        <v>52</v>
      </c>
    </row>
    <row r="491" spans="1:21" x14ac:dyDescent="0.25">
      <c r="A491" s="2">
        <v>45324.959421296298</v>
      </c>
      <c r="B491" t="s">
        <v>309</v>
      </c>
      <c r="C491" t="s">
        <v>368</v>
      </c>
      <c r="D491">
        <v>2</v>
      </c>
      <c r="E491" t="s">
        <v>56</v>
      </c>
      <c r="F491" t="s">
        <v>388</v>
      </c>
      <c r="G491">
        <f>(O491/(N491+O491+P491))*100</f>
        <v>93.055555555555557</v>
      </c>
      <c r="H491">
        <f>(P491/(O491+P491+N491))*100</f>
        <v>0</v>
      </c>
      <c r="I491">
        <v>93.06</v>
      </c>
      <c r="J491">
        <f>(N491/(P491+O491+N491))*100</f>
        <v>6.9444444444444446</v>
      </c>
      <c r="K491">
        <v>0.8</v>
      </c>
      <c r="L491">
        <v>0.3</v>
      </c>
      <c r="M491">
        <v>0.7</v>
      </c>
      <c r="N491">
        <v>40</v>
      </c>
      <c r="O491">
        <v>536</v>
      </c>
      <c r="P491">
        <v>0</v>
      </c>
      <c r="Q491">
        <v>93.06</v>
      </c>
      <c r="R491" t="s">
        <v>342</v>
      </c>
      <c r="S491">
        <v>2.15</v>
      </c>
      <c r="T491">
        <v>2.36</v>
      </c>
    </row>
    <row r="492" spans="1:21" x14ac:dyDescent="0.25">
      <c r="A492" t="s">
        <v>19</v>
      </c>
      <c r="B492" t="s">
        <v>20</v>
      </c>
      <c r="C492" t="s">
        <v>306</v>
      </c>
      <c r="D492">
        <v>3</v>
      </c>
      <c r="E492" t="s">
        <v>57</v>
      </c>
      <c r="F492" t="s">
        <v>373</v>
      </c>
      <c r="G492">
        <v>10</v>
      </c>
      <c r="H492">
        <v>0</v>
      </c>
      <c r="I492">
        <f>G492+H492</f>
        <v>10</v>
      </c>
      <c r="J492">
        <f>100-G492-H492</f>
        <v>90</v>
      </c>
      <c r="K492" t="s">
        <v>19</v>
      </c>
      <c r="L492" t="s">
        <v>19</v>
      </c>
      <c r="M492" t="s">
        <v>19</v>
      </c>
      <c r="N492" t="s">
        <v>19</v>
      </c>
      <c r="O492" t="s">
        <v>19</v>
      </c>
      <c r="P492" t="s">
        <v>19</v>
      </c>
      <c r="Q492">
        <f>I492</f>
        <v>10</v>
      </c>
      <c r="R492" t="s">
        <v>19</v>
      </c>
      <c r="S492" t="s">
        <v>19</v>
      </c>
      <c r="T492" t="s">
        <v>19</v>
      </c>
    </row>
    <row r="493" spans="1:21" x14ac:dyDescent="0.25">
      <c r="A493" t="s">
        <v>19</v>
      </c>
      <c r="B493" t="s">
        <v>20</v>
      </c>
      <c r="C493" t="s">
        <v>308</v>
      </c>
      <c r="D493">
        <v>3</v>
      </c>
      <c r="E493" t="s">
        <v>57</v>
      </c>
      <c r="F493" t="s">
        <v>373</v>
      </c>
      <c r="G493">
        <v>8</v>
      </c>
      <c r="H493">
        <v>0</v>
      </c>
      <c r="I493">
        <f>G493+H493</f>
        <v>8</v>
      </c>
      <c r="J493">
        <f>100-G493-H493</f>
        <v>92</v>
      </c>
      <c r="K493" t="s">
        <v>19</v>
      </c>
      <c r="L493" t="s">
        <v>19</v>
      </c>
      <c r="M493" t="s">
        <v>19</v>
      </c>
      <c r="N493" t="s">
        <v>19</v>
      </c>
      <c r="O493" t="s">
        <v>19</v>
      </c>
      <c r="P493" t="s">
        <v>19</v>
      </c>
      <c r="Q493">
        <f>I493</f>
        <v>8</v>
      </c>
      <c r="R493" t="s">
        <v>19</v>
      </c>
      <c r="S493" t="s">
        <v>19</v>
      </c>
      <c r="T493" t="s">
        <v>19</v>
      </c>
    </row>
    <row r="494" spans="1:21" x14ac:dyDescent="0.25">
      <c r="A494" t="s">
        <v>19</v>
      </c>
      <c r="B494" t="s">
        <v>20</v>
      </c>
      <c r="C494" t="s">
        <v>22</v>
      </c>
      <c r="D494">
        <v>3</v>
      </c>
      <c r="E494" t="s">
        <v>57</v>
      </c>
      <c r="F494" t="s">
        <v>373</v>
      </c>
      <c r="G494">
        <v>25</v>
      </c>
      <c r="H494">
        <v>0</v>
      </c>
      <c r="I494">
        <f>G494+H494</f>
        <v>25</v>
      </c>
      <c r="J494">
        <f>100-G494-H494</f>
        <v>75</v>
      </c>
      <c r="K494" t="s">
        <v>19</v>
      </c>
      <c r="L494" t="s">
        <v>19</v>
      </c>
      <c r="M494" t="s">
        <v>19</v>
      </c>
      <c r="N494" t="s">
        <v>19</v>
      </c>
      <c r="O494" t="s">
        <v>19</v>
      </c>
      <c r="P494" t="s">
        <v>19</v>
      </c>
      <c r="Q494">
        <f>I494</f>
        <v>25</v>
      </c>
      <c r="R494" t="s">
        <v>19</v>
      </c>
      <c r="S494" t="s">
        <v>19</v>
      </c>
      <c r="T494" t="s">
        <v>19</v>
      </c>
    </row>
    <row r="495" spans="1:21" x14ac:dyDescent="0.25">
      <c r="A495" t="s">
        <v>19</v>
      </c>
      <c r="B495" t="s">
        <v>20</v>
      </c>
      <c r="C495" t="s">
        <v>305</v>
      </c>
      <c r="D495">
        <v>3</v>
      </c>
      <c r="E495" t="s">
        <v>57</v>
      </c>
      <c r="F495" t="s">
        <v>373</v>
      </c>
      <c r="G495">
        <v>6</v>
      </c>
      <c r="H495">
        <v>0</v>
      </c>
      <c r="I495">
        <f>G495+H495</f>
        <v>6</v>
      </c>
      <c r="J495">
        <f>100-G495-H495</f>
        <v>94</v>
      </c>
      <c r="K495" t="s">
        <v>19</v>
      </c>
      <c r="L495" t="s">
        <v>19</v>
      </c>
      <c r="M495" t="s">
        <v>19</v>
      </c>
      <c r="N495" t="s">
        <v>19</v>
      </c>
      <c r="O495" t="s">
        <v>19</v>
      </c>
      <c r="P495" t="s">
        <v>19</v>
      </c>
      <c r="Q495">
        <f>I495</f>
        <v>6</v>
      </c>
      <c r="R495" t="s">
        <v>19</v>
      </c>
      <c r="S495" t="s">
        <v>19</v>
      </c>
      <c r="T495" t="s">
        <v>19</v>
      </c>
    </row>
    <row r="496" spans="1:21" x14ac:dyDescent="0.25">
      <c r="A496" t="s">
        <v>19</v>
      </c>
      <c r="B496" t="s">
        <v>20</v>
      </c>
      <c r="C496" t="s">
        <v>307</v>
      </c>
      <c r="D496">
        <v>3</v>
      </c>
      <c r="E496" t="s">
        <v>57</v>
      </c>
      <c r="F496" t="s">
        <v>373</v>
      </c>
      <c r="G496">
        <v>3</v>
      </c>
      <c r="H496">
        <v>0</v>
      </c>
      <c r="I496">
        <f>G496+H496</f>
        <v>3</v>
      </c>
      <c r="J496">
        <f>100-G496-H496</f>
        <v>97</v>
      </c>
      <c r="K496" t="s">
        <v>19</v>
      </c>
      <c r="L496" t="s">
        <v>19</v>
      </c>
      <c r="M496" t="s">
        <v>19</v>
      </c>
      <c r="N496" t="s">
        <v>19</v>
      </c>
      <c r="O496" t="s">
        <v>19</v>
      </c>
      <c r="P496" t="s">
        <v>19</v>
      </c>
      <c r="Q496">
        <f>I496</f>
        <v>3</v>
      </c>
      <c r="R496" t="s">
        <v>19</v>
      </c>
      <c r="S496" t="s">
        <v>19</v>
      </c>
      <c r="T496" t="s">
        <v>19</v>
      </c>
    </row>
    <row r="497" spans="1:21" x14ac:dyDescent="0.25">
      <c r="A497" s="2">
        <v>45253.695138888892</v>
      </c>
      <c r="B497" t="s">
        <v>309</v>
      </c>
      <c r="C497" t="s">
        <v>213</v>
      </c>
      <c r="D497">
        <v>3</v>
      </c>
      <c r="E497" t="s">
        <v>57</v>
      </c>
      <c r="F497" t="s">
        <v>373</v>
      </c>
      <c r="G497">
        <v>13.3105802</v>
      </c>
      <c r="H497">
        <v>3.7542662120000001</v>
      </c>
      <c r="I497">
        <v>17.064846419999999</v>
      </c>
      <c r="J497">
        <v>82.935153580000005</v>
      </c>
      <c r="K497">
        <v>0.8</v>
      </c>
      <c r="L497">
        <v>0.2</v>
      </c>
      <c r="M497">
        <v>0.7</v>
      </c>
      <c r="N497">
        <v>243</v>
      </c>
      <c r="O497">
        <v>39</v>
      </c>
      <c r="P497">
        <v>11</v>
      </c>
      <c r="Q497">
        <v>17.059999999999999</v>
      </c>
      <c r="R497" t="s">
        <v>214</v>
      </c>
      <c r="S497">
        <v>3.06</v>
      </c>
      <c r="T497">
        <v>3.32</v>
      </c>
    </row>
    <row r="498" spans="1:21" x14ac:dyDescent="0.25">
      <c r="A498" s="2">
        <v>45253.915972222225</v>
      </c>
      <c r="B498" t="s">
        <v>309</v>
      </c>
      <c r="C498" t="s">
        <v>215</v>
      </c>
      <c r="D498">
        <v>2</v>
      </c>
      <c r="E498" t="s">
        <v>57</v>
      </c>
      <c r="F498" t="s">
        <v>373</v>
      </c>
      <c r="G498">
        <v>4.0971168440000003</v>
      </c>
      <c r="H498">
        <v>0</v>
      </c>
      <c r="I498">
        <v>4.0971168440000003</v>
      </c>
      <c r="J498">
        <v>95.902883160000002</v>
      </c>
      <c r="K498">
        <v>0.8</v>
      </c>
      <c r="L498">
        <v>0.2</v>
      </c>
      <c r="M498">
        <v>0.7</v>
      </c>
      <c r="N498">
        <v>632</v>
      </c>
      <c r="O498">
        <v>27</v>
      </c>
      <c r="P498">
        <v>0</v>
      </c>
      <c r="Q498">
        <v>4.0999999999999996</v>
      </c>
      <c r="R498" t="s">
        <v>216</v>
      </c>
      <c r="S498">
        <v>0.15</v>
      </c>
      <c r="T498">
        <v>0.16</v>
      </c>
    </row>
    <row r="499" spans="1:21" x14ac:dyDescent="0.25">
      <c r="A499" s="2">
        <v>45254.089583333334</v>
      </c>
      <c r="B499" t="s">
        <v>309</v>
      </c>
      <c r="C499" t="s">
        <v>217</v>
      </c>
      <c r="D499">
        <v>2</v>
      </c>
      <c r="E499" t="s">
        <v>57</v>
      </c>
      <c r="F499" t="s">
        <v>373</v>
      </c>
      <c r="G499">
        <v>10.69078947</v>
      </c>
      <c r="H499">
        <v>0</v>
      </c>
      <c r="I499">
        <v>10.69078947</v>
      </c>
      <c r="J499">
        <v>89.309210530000001</v>
      </c>
      <c r="K499">
        <v>0.8</v>
      </c>
      <c r="L499">
        <v>0.2</v>
      </c>
      <c r="M499">
        <v>0.7</v>
      </c>
      <c r="N499">
        <v>543</v>
      </c>
      <c r="O499">
        <v>65</v>
      </c>
      <c r="P499">
        <v>0</v>
      </c>
      <c r="Q499">
        <v>10.69</v>
      </c>
      <c r="R499" t="s">
        <v>225</v>
      </c>
      <c r="S499">
        <v>0.34</v>
      </c>
      <c r="T499">
        <v>0.36</v>
      </c>
    </row>
    <row r="500" spans="1:21" x14ac:dyDescent="0.25">
      <c r="A500" s="2">
        <v>45316.426388888889</v>
      </c>
      <c r="B500" t="s">
        <v>309</v>
      </c>
      <c r="C500" t="s">
        <v>219</v>
      </c>
      <c r="D500">
        <v>3</v>
      </c>
      <c r="E500" t="s">
        <v>57</v>
      </c>
      <c r="F500" t="s">
        <v>373</v>
      </c>
      <c r="G500">
        <v>7.1428571429999996</v>
      </c>
      <c r="H500">
        <v>0.89285714299999996</v>
      </c>
      <c r="I500">
        <v>8.0357142859999993</v>
      </c>
      <c r="J500">
        <v>91.964285709999999</v>
      </c>
      <c r="K500">
        <v>0.8</v>
      </c>
      <c r="L500">
        <v>0.2</v>
      </c>
      <c r="M500">
        <v>0.7</v>
      </c>
      <c r="N500">
        <v>103</v>
      </c>
      <c r="O500">
        <v>8</v>
      </c>
      <c r="P500">
        <v>1</v>
      </c>
      <c r="Q500">
        <v>8.0399999999999991</v>
      </c>
      <c r="R500" t="s">
        <v>226</v>
      </c>
      <c r="S500">
        <v>3.23</v>
      </c>
      <c r="T500">
        <v>4.25</v>
      </c>
    </row>
    <row r="501" spans="1:21" x14ac:dyDescent="0.25">
      <c r="A501" s="2">
        <v>45320.947222222225</v>
      </c>
      <c r="B501" t="s">
        <v>309</v>
      </c>
      <c r="C501" t="s">
        <v>221</v>
      </c>
      <c r="D501">
        <v>2</v>
      </c>
      <c r="E501" t="s">
        <v>57</v>
      </c>
      <c r="F501" t="s">
        <v>373</v>
      </c>
      <c r="G501">
        <v>19.565217390000001</v>
      </c>
      <c r="H501">
        <v>0</v>
      </c>
      <c r="I501">
        <v>19.565217390000001</v>
      </c>
      <c r="J501">
        <v>80.434782609999999</v>
      </c>
      <c r="K501">
        <v>0.8</v>
      </c>
      <c r="L501">
        <v>0.3</v>
      </c>
      <c r="M501">
        <v>0.7</v>
      </c>
      <c r="N501">
        <v>481</v>
      </c>
      <c r="O501">
        <v>117</v>
      </c>
      <c r="P501">
        <v>0</v>
      </c>
      <c r="Q501">
        <v>19.57</v>
      </c>
      <c r="R501" t="s">
        <v>254</v>
      </c>
      <c r="S501">
        <v>0.55000000000000004</v>
      </c>
      <c r="T501">
        <v>0.57999999999999996</v>
      </c>
    </row>
    <row r="502" spans="1:21" x14ac:dyDescent="0.25">
      <c r="A502" t="s">
        <v>19</v>
      </c>
      <c r="B502" t="s">
        <v>20</v>
      </c>
      <c r="C502" t="s">
        <v>320</v>
      </c>
      <c r="D502">
        <v>3</v>
      </c>
      <c r="E502" t="s">
        <v>57</v>
      </c>
      <c r="F502" t="s">
        <v>373</v>
      </c>
      <c r="G502">
        <v>0</v>
      </c>
      <c r="H502">
        <v>0</v>
      </c>
      <c r="I502">
        <f>100-J502</f>
        <v>0</v>
      </c>
      <c r="J502">
        <f>100-G502-H502</f>
        <v>100</v>
      </c>
      <c r="K502" t="s">
        <v>19</v>
      </c>
      <c r="L502" t="s">
        <v>19</v>
      </c>
      <c r="M502" t="s">
        <v>19</v>
      </c>
      <c r="N502" t="s">
        <v>19</v>
      </c>
      <c r="O502" t="s">
        <v>19</v>
      </c>
      <c r="P502" t="s">
        <v>19</v>
      </c>
      <c r="Q502">
        <f>I502</f>
        <v>0</v>
      </c>
      <c r="R502" t="s">
        <v>19</v>
      </c>
      <c r="S502" t="s">
        <v>19</v>
      </c>
      <c r="T502" t="s">
        <v>19</v>
      </c>
    </row>
    <row r="503" spans="1:21" x14ac:dyDescent="0.25">
      <c r="A503" s="2">
        <v>45323.536574074074</v>
      </c>
      <c r="B503" t="s">
        <v>309</v>
      </c>
      <c r="C503" t="s">
        <v>322</v>
      </c>
      <c r="D503">
        <v>3</v>
      </c>
      <c r="E503" t="s">
        <v>57</v>
      </c>
      <c r="F503" t="s">
        <v>373</v>
      </c>
      <c r="G503">
        <f>(O503/(N503+O503+P503))*100</f>
        <v>24.493927125506072</v>
      </c>
      <c r="H503">
        <f>(P503/(O503+P503+N503))*100</f>
        <v>0</v>
      </c>
      <c r="I503">
        <f>((O503+P503)/(P503+O503+N503))*100</f>
        <v>24.493927125506072</v>
      </c>
      <c r="J503">
        <f>(N503/(P503+O503+N503))*100</f>
        <v>75.506072874493924</v>
      </c>
      <c r="K503">
        <v>0.8</v>
      </c>
      <c r="L503">
        <v>0.3</v>
      </c>
      <c r="M503">
        <v>0.7</v>
      </c>
      <c r="N503">
        <v>373</v>
      </c>
      <c r="O503">
        <v>121</v>
      </c>
      <c r="P503">
        <v>0</v>
      </c>
      <c r="Q503">
        <v>24.49</v>
      </c>
      <c r="R503" t="s">
        <v>338</v>
      </c>
      <c r="S503">
        <v>2.74</v>
      </c>
      <c r="T503">
        <v>3.29</v>
      </c>
      <c r="U503">
        <v>179</v>
      </c>
    </row>
    <row r="504" spans="1:21" x14ac:dyDescent="0.25">
      <c r="A504" s="2">
        <v>45323.538368055553</v>
      </c>
      <c r="B504" t="s">
        <v>309</v>
      </c>
      <c r="C504" t="s">
        <v>322</v>
      </c>
      <c r="D504">
        <v>3</v>
      </c>
      <c r="E504" t="s">
        <v>57</v>
      </c>
      <c r="F504" t="s">
        <v>373</v>
      </c>
      <c r="G504">
        <f>(O504/(N504+O504+P504))*100</f>
        <v>28.952380952380953</v>
      </c>
      <c r="H504">
        <f>(P504/(O504+P504+N504))*100</f>
        <v>0</v>
      </c>
      <c r="I504">
        <f>((O504+P504)/(P504+O504+N504))*100</f>
        <v>28.952380952380953</v>
      </c>
      <c r="J504">
        <f>(N504/(P504+O504+N504))*100</f>
        <v>71.047619047619051</v>
      </c>
      <c r="K504">
        <v>0.7</v>
      </c>
      <c r="L504">
        <v>0.3</v>
      </c>
      <c r="M504">
        <v>0.7</v>
      </c>
      <c r="N504">
        <v>373</v>
      </c>
      <c r="O504">
        <v>152</v>
      </c>
      <c r="P504">
        <v>0</v>
      </c>
      <c r="Q504">
        <v>28.95</v>
      </c>
      <c r="R504" t="s">
        <v>332</v>
      </c>
      <c r="S504">
        <v>2.74</v>
      </c>
      <c r="T504">
        <v>3.29</v>
      </c>
      <c r="U504">
        <v>148</v>
      </c>
    </row>
    <row r="505" spans="1:21" x14ac:dyDescent="0.25">
      <c r="A505" s="2">
        <v>45325.11378472222</v>
      </c>
      <c r="B505" t="s">
        <v>309</v>
      </c>
      <c r="C505" t="s">
        <v>368</v>
      </c>
      <c r="D505">
        <v>2</v>
      </c>
      <c r="E505" t="s">
        <v>57</v>
      </c>
      <c r="F505" t="s">
        <v>373</v>
      </c>
      <c r="G505">
        <f>(O505/(N505+O505+P505))*100</f>
        <v>17.675941080196399</v>
      </c>
      <c r="H505">
        <f>(P505/(O505+P505+N505))*100</f>
        <v>0</v>
      </c>
      <c r="I505">
        <v>17.68</v>
      </c>
      <c r="J505">
        <f>(N505/(P505+O505+N505))*100</f>
        <v>82.324058919803605</v>
      </c>
      <c r="K505">
        <v>0.8</v>
      </c>
      <c r="L505">
        <v>0.3</v>
      </c>
      <c r="M505">
        <v>0.7</v>
      </c>
      <c r="N505">
        <v>503</v>
      </c>
      <c r="O505">
        <v>108</v>
      </c>
      <c r="P505">
        <v>0</v>
      </c>
      <c r="Q505">
        <v>17.68</v>
      </c>
      <c r="R505" t="s">
        <v>265</v>
      </c>
      <c r="S505">
        <v>0.47</v>
      </c>
      <c r="T505">
        <v>0.49</v>
      </c>
    </row>
    <row r="506" spans="1:21" x14ac:dyDescent="0.25">
      <c r="A506" t="s">
        <v>19</v>
      </c>
      <c r="B506" t="s">
        <v>20</v>
      </c>
      <c r="C506" t="s">
        <v>308</v>
      </c>
      <c r="D506">
        <v>3</v>
      </c>
      <c r="E506" t="s">
        <v>58</v>
      </c>
      <c r="F506" t="s">
        <v>388</v>
      </c>
      <c r="G506">
        <v>35</v>
      </c>
      <c r="H506">
        <v>2</v>
      </c>
      <c r="I506">
        <f>G506+H506</f>
        <v>37</v>
      </c>
      <c r="J506">
        <f>100-G506-H506</f>
        <v>63</v>
      </c>
      <c r="K506" t="s">
        <v>19</v>
      </c>
      <c r="L506" t="s">
        <v>19</v>
      </c>
      <c r="M506" t="s">
        <v>19</v>
      </c>
      <c r="N506" t="s">
        <v>19</v>
      </c>
      <c r="O506" t="s">
        <v>19</v>
      </c>
      <c r="P506" t="s">
        <v>19</v>
      </c>
      <c r="Q506">
        <f>I506</f>
        <v>37</v>
      </c>
      <c r="R506" t="s">
        <v>19</v>
      </c>
      <c r="S506" t="s">
        <v>19</v>
      </c>
      <c r="T506" t="s">
        <v>19</v>
      </c>
    </row>
    <row r="507" spans="1:21" x14ac:dyDescent="0.25">
      <c r="A507" t="s">
        <v>19</v>
      </c>
      <c r="B507" t="s">
        <v>20</v>
      </c>
      <c r="C507" t="s">
        <v>22</v>
      </c>
      <c r="D507">
        <v>3</v>
      </c>
      <c r="E507" t="s">
        <v>58</v>
      </c>
      <c r="F507" t="s">
        <v>388</v>
      </c>
      <c r="G507">
        <v>20</v>
      </c>
      <c r="H507">
        <v>0</v>
      </c>
      <c r="I507">
        <f>G507+H507</f>
        <v>20</v>
      </c>
      <c r="J507">
        <f>100-G507-H507</f>
        <v>80</v>
      </c>
      <c r="K507" t="s">
        <v>19</v>
      </c>
      <c r="L507" t="s">
        <v>19</v>
      </c>
      <c r="M507" t="s">
        <v>19</v>
      </c>
      <c r="N507" t="s">
        <v>19</v>
      </c>
      <c r="O507" t="s">
        <v>19</v>
      </c>
      <c r="P507" t="s">
        <v>19</v>
      </c>
      <c r="Q507">
        <f>I507</f>
        <v>20</v>
      </c>
      <c r="R507" t="s">
        <v>19</v>
      </c>
      <c r="S507" t="s">
        <v>19</v>
      </c>
      <c r="T507" t="s">
        <v>19</v>
      </c>
    </row>
    <row r="508" spans="1:21" x14ac:dyDescent="0.25">
      <c r="A508" t="s">
        <v>19</v>
      </c>
      <c r="B508" t="s">
        <v>20</v>
      </c>
      <c r="C508" t="s">
        <v>305</v>
      </c>
      <c r="D508">
        <v>3</v>
      </c>
      <c r="E508" t="s">
        <v>58</v>
      </c>
      <c r="F508" t="s">
        <v>388</v>
      </c>
      <c r="G508">
        <v>8</v>
      </c>
      <c r="H508">
        <v>0</v>
      </c>
      <c r="I508">
        <f>G508+H508</f>
        <v>8</v>
      </c>
      <c r="J508">
        <f>100-G508-H508</f>
        <v>92</v>
      </c>
      <c r="K508" t="s">
        <v>19</v>
      </c>
      <c r="L508" t="s">
        <v>19</v>
      </c>
      <c r="M508" t="s">
        <v>19</v>
      </c>
      <c r="N508" t="s">
        <v>19</v>
      </c>
      <c r="O508" t="s">
        <v>19</v>
      </c>
      <c r="P508" t="s">
        <v>19</v>
      </c>
      <c r="Q508">
        <f>I508</f>
        <v>8</v>
      </c>
      <c r="R508" t="s">
        <v>19</v>
      </c>
      <c r="S508" t="s">
        <v>19</v>
      </c>
      <c r="T508" t="s">
        <v>19</v>
      </c>
    </row>
    <row r="509" spans="1:21" x14ac:dyDescent="0.25">
      <c r="A509" t="s">
        <v>19</v>
      </c>
      <c r="B509" t="s">
        <v>20</v>
      </c>
      <c r="C509" t="s">
        <v>307</v>
      </c>
      <c r="D509">
        <v>3</v>
      </c>
      <c r="E509" t="s">
        <v>58</v>
      </c>
      <c r="F509" t="s">
        <v>388</v>
      </c>
      <c r="G509">
        <v>3</v>
      </c>
      <c r="H509">
        <v>0</v>
      </c>
      <c r="I509">
        <f>G509+H509</f>
        <v>3</v>
      </c>
      <c r="J509">
        <f>100-G509-H509</f>
        <v>97</v>
      </c>
      <c r="K509" t="s">
        <v>19</v>
      </c>
      <c r="L509" t="s">
        <v>19</v>
      </c>
      <c r="M509" t="s">
        <v>19</v>
      </c>
      <c r="N509" t="s">
        <v>19</v>
      </c>
      <c r="O509" t="s">
        <v>19</v>
      </c>
      <c r="P509" t="s">
        <v>19</v>
      </c>
      <c r="Q509">
        <f>I509</f>
        <v>3</v>
      </c>
      <c r="R509" t="s">
        <v>19</v>
      </c>
      <c r="S509" t="s">
        <v>19</v>
      </c>
      <c r="T509" t="s">
        <v>19</v>
      </c>
    </row>
    <row r="510" spans="1:21" x14ac:dyDescent="0.25">
      <c r="A510" s="2">
        <v>45253.531944444447</v>
      </c>
      <c r="B510" t="s">
        <v>309</v>
      </c>
      <c r="C510" t="s">
        <v>213</v>
      </c>
      <c r="D510">
        <v>3</v>
      </c>
      <c r="E510" t="s">
        <v>58</v>
      </c>
      <c r="F510" t="s">
        <v>388</v>
      </c>
      <c r="G510" t="e">
        <v>#VALUE!</v>
      </c>
      <c r="H510" t="e">
        <v>#VALUE!</v>
      </c>
      <c r="I510">
        <v>3.47</v>
      </c>
      <c r="J510" t="e">
        <v>#VALUE!</v>
      </c>
      <c r="K510">
        <v>0.8</v>
      </c>
      <c r="L510">
        <v>0.2</v>
      </c>
      <c r="M510">
        <v>0.7</v>
      </c>
      <c r="N510">
        <v>584</v>
      </c>
      <c r="O510" t="s">
        <v>266</v>
      </c>
      <c r="P510" t="s">
        <v>266</v>
      </c>
      <c r="Q510">
        <v>3.47</v>
      </c>
      <c r="R510" t="s">
        <v>260</v>
      </c>
      <c r="S510">
        <v>2.74</v>
      </c>
      <c r="T510">
        <v>3.17</v>
      </c>
    </row>
    <row r="511" spans="1:21" x14ac:dyDescent="0.25">
      <c r="A511" s="2">
        <v>45253.82916666667</v>
      </c>
      <c r="B511" t="s">
        <v>309</v>
      </c>
      <c r="C511" t="s">
        <v>215</v>
      </c>
      <c r="D511">
        <v>2</v>
      </c>
      <c r="E511" t="s">
        <v>58</v>
      </c>
      <c r="F511" t="s">
        <v>388</v>
      </c>
      <c r="G511">
        <v>15.817223200000001</v>
      </c>
      <c r="H511">
        <v>0</v>
      </c>
      <c r="I511">
        <v>15.817223200000001</v>
      </c>
      <c r="J511">
        <v>84.182776799999999</v>
      </c>
      <c r="K511">
        <v>0.8</v>
      </c>
      <c r="L511">
        <v>0.2</v>
      </c>
      <c r="M511">
        <v>0.7</v>
      </c>
      <c r="N511">
        <v>479</v>
      </c>
      <c r="O511">
        <v>90</v>
      </c>
      <c r="P511">
        <v>0</v>
      </c>
      <c r="Q511">
        <v>15.82</v>
      </c>
      <c r="R511" t="s">
        <v>224</v>
      </c>
      <c r="S511">
        <v>0.44</v>
      </c>
      <c r="T511">
        <v>0.47</v>
      </c>
    </row>
    <row r="512" spans="1:21" x14ac:dyDescent="0.25">
      <c r="A512" s="2">
        <v>45253.995138888888</v>
      </c>
      <c r="B512" t="s">
        <v>309</v>
      </c>
      <c r="C512" t="s">
        <v>217</v>
      </c>
      <c r="D512">
        <v>2</v>
      </c>
      <c r="E512" t="s">
        <v>58</v>
      </c>
      <c r="F512" t="s">
        <v>388</v>
      </c>
      <c r="G512">
        <v>25.693160809999998</v>
      </c>
      <c r="H512">
        <v>0</v>
      </c>
      <c r="I512">
        <v>25.693160809999998</v>
      </c>
      <c r="J512">
        <v>74.306839190000005</v>
      </c>
      <c r="K512">
        <v>0.8</v>
      </c>
      <c r="L512">
        <v>0.2</v>
      </c>
      <c r="M512">
        <v>0.7</v>
      </c>
      <c r="N512">
        <v>402</v>
      </c>
      <c r="O512">
        <v>139</v>
      </c>
      <c r="P512">
        <v>0</v>
      </c>
      <c r="Q512">
        <v>25.69</v>
      </c>
      <c r="R512" t="s">
        <v>235</v>
      </c>
      <c r="S512">
        <v>0.64</v>
      </c>
      <c r="T512">
        <v>0.68</v>
      </c>
    </row>
    <row r="513" spans="1:21" x14ac:dyDescent="0.25">
      <c r="A513" s="2">
        <v>45316.507638888892</v>
      </c>
      <c r="B513" t="s">
        <v>309</v>
      </c>
      <c r="C513" t="s">
        <v>219</v>
      </c>
      <c r="D513">
        <v>3</v>
      </c>
      <c r="E513" t="s">
        <v>58</v>
      </c>
      <c r="F513" t="s">
        <v>388</v>
      </c>
      <c r="G513" t="e">
        <v>#VALUE!</v>
      </c>
      <c r="H513" t="e">
        <v>#VALUE!</v>
      </c>
      <c r="I513">
        <v>2.73</v>
      </c>
      <c r="J513" t="e">
        <v>#VALUE!</v>
      </c>
      <c r="K513">
        <v>0.8</v>
      </c>
      <c r="L513">
        <v>0.2</v>
      </c>
      <c r="M513">
        <v>0.7</v>
      </c>
      <c r="N513">
        <v>571</v>
      </c>
      <c r="O513" t="s">
        <v>266</v>
      </c>
      <c r="P513" t="s">
        <v>266</v>
      </c>
      <c r="Q513">
        <v>2.73</v>
      </c>
      <c r="R513" t="s">
        <v>227</v>
      </c>
      <c r="S513">
        <v>3.09</v>
      </c>
      <c r="T513">
        <v>4.46</v>
      </c>
    </row>
    <row r="514" spans="1:21" x14ac:dyDescent="0.25">
      <c r="A514" s="2">
        <v>45320.841666666667</v>
      </c>
      <c r="B514" t="s">
        <v>309</v>
      </c>
      <c r="C514" t="s">
        <v>221</v>
      </c>
      <c r="D514">
        <v>2</v>
      </c>
      <c r="E514" t="s">
        <v>58</v>
      </c>
      <c r="F514" t="s">
        <v>388</v>
      </c>
      <c r="G514">
        <v>17.970049920000001</v>
      </c>
      <c r="H514">
        <v>0</v>
      </c>
      <c r="I514">
        <v>17.970049920000001</v>
      </c>
      <c r="J514">
        <v>82.029950080000006</v>
      </c>
      <c r="K514">
        <v>0.8</v>
      </c>
      <c r="L514">
        <v>0.3</v>
      </c>
      <c r="M514">
        <v>0.7</v>
      </c>
      <c r="N514">
        <v>493</v>
      </c>
      <c r="O514">
        <v>108</v>
      </c>
      <c r="P514">
        <v>0</v>
      </c>
      <c r="Q514">
        <v>17.97</v>
      </c>
      <c r="R514" t="s">
        <v>264</v>
      </c>
      <c r="S514">
        <v>0.52</v>
      </c>
      <c r="T514">
        <v>0.56999999999999995</v>
      </c>
    </row>
    <row r="515" spans="1:21" x14ac:dyDescent="0.25">
      <c r="A515" t="s">
        <v>19</v>
      </c>
      <c r="B515" t="s">
        <v>20</v>
      </c>
      <c r="C515" t="s">
        <v>306</v>
      </c>
      <c r="D515">
        <v>3</v>
      </c>
      <c r="E515" t="s">
        <v>58</v>
      </c>
      <c r="F515" t="s">
        <v>388</v>
      </c>
      <c r="G515">
        <v>43</v>
      </c>
      <c r="H515">
        <v>2</v>
      </c>
      <c r="I515">
        <v>45</v>
      </c>
      <c r="J515">
        <v>55</v>
      </c>
      <c r="K515" t="s">
        <v>19</v>
      </c>
      <c r="L515" t="s">
        <v>19</v>
      </c>
      <c r="M515" t="s">
        <v>19</v>
      </c>
      <c r="N515" t="s">
        <v>19</v>
      </c>
      <c r="O515" t="s">
        <v>19</v>
      </c>
      <c r="P515" t="s">
        <v>19</v>
      </c>
      <c r="Q515">
        <f>I515</f>
        <v>45</v>
      </c>
      <c r="R515" t="s">
        <v>19</v>
      </c>
      <c r="S515" t="s">
        <v>19</v>
      </c>
      <c r="T515" t="s">
        <v>19</v>
      </c>
    </row>
    <row r="516" spans="1:21" x14ac:dyDescent="0.25">
      <c r="A516" t="s">
        <v>19</v>
      </c>
      <c r="B516" t="s">
        <v>20</v>
      </c>
      <c r="C516" t="s">
        <v>320</v>
      </c>
      <c r="D516">
        <v>3</v>
      </c>
      <c r="E516" t="s">
        <v>58</v>
      </c>
      <c r="F516" t="s">
        <v>388</v>
      </c>
      <c r="G516">
        <v>5</v>
      </c>
      <c r="H516">
        <v>0</v>
      </c>
      <c r="I516">
        <f>100-J516</f>
        <v>5</v>
      </c>
      <c r="J516">
        <f>100-G516-H516</f>
        <v>95</v>
      </c>
      <c r="K516" t="s">
        <v>19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  <c r="Q516">
        <f>I516</f>
        <v>5</v>
      </c>
      <c r="R516" t="s">
        <v>19</v>
      </c>
      <c r="S516" t="s">
        <v>19</v>
      </c>
      <c r="T516" t="s">
        <v>19</v>
      </c>
    </row>
    <row r="517" spans="1:21" x14ac:dyDescent="0.25">
      <c r="A517" s="2">
        <v>45323.535682870373</v>
      </c>
      <c r="B517" t="s">
        <v>309</v>
      </c>
      <c r="C517" t="s">
        <v>322</v>
      </c>
      <c r="D517">
        <v>3</v>
      </c>
      <c r="E517" t="s">
        <v>58</v>
      </c>
      <c r="F517" t="s">
        <v>388</v>
      </c>
      <c r="G517" t="e">
        <f>(O517/(N517+O517+P517))*100</f>
        <v>#VALUE!</v>
      </c>
      <c r="H517" t="e">
        <f>(P517/(O517+P517+N517))*100</f>
        <v>#VALUE!</v>
      </c>
      <c r="I517">
        <v>11.7</v>
      </c>
      <c r="J517" t="e">
        <f>(N517/(P517+O517+N517))*100</f>
        <v>#VALUE!</v>
      </c>
      <c r="K517">
        <v>0.8</v>
      </c>
      <c r="L517">
        <v>0.3</v>
      </c>
      <c r="M517">
        <v>0.7</v>
      </c>
      <c r="N517">
        <v>536</v>
      </c>
      <c r="O517" t="s">
        <v>266</v>
      </c>
      <c r="P517" t="s">
        <v>266</v>
      </c>
      <c r="Q517">
        <v>11.7</v>
      </c>
      <c r="R517" t="s">
        <v>353</v>
      </c>
      <c r="S517">
        <v>2.5099999999999998</v>
      </c>
      <c r="T517">
        <v>2.91</v>
      </c>
      <c r="U517">
        <v>70</v>
      </c>
    </row>
    <row r="518" spans="1:21" x14ac:dyDescent="0.25">
      <c r="A518" s="2">
        <v>45323.53466435185</v>
      </c>
      <c r="B518" t="s">
        <v>309</v>
      </c>
      <c r="C518" t="s">
        <v>322</v>
      </c>
      <c r="D518">
        <v>3</v>
      </c>
      <c r="E518" t="s">
        <v>58</v>
      </c>
      <c r="F518" t="s">
        <v>388</v>
      </c>
      <c r="G518" t="e">
        <f>(O518/(N518+O518+P518))*100</f>
        <v>#VALUE!</v>
      </c>
      <c r="H518" t="e">
        <f>(P518/(O518+P518+N518))*100</f>
        <v>#VALUE!</v>
      </c>
      <c r="I518">
        <v>13.69</v>
      </c>
      <c r="J518" t="e">
        <f>(N518/(P518+O518+N518))*100</f>
        <v>#VALUE!</v>
      </c>
      <c r="K518">
        <v>0.7</v>
      </c>
      <c r="L518">
        <v>0.3</v>
      </c>
      <c r="M518">
        <v>0.7</v>
      </c>
      <c r="N518">
        <v>536</v>
      </c>
      <c r="O518" t="s">
        <v>266</v>
      </c>
      <c r="P518" t="s">
        <v>266</v>
      </c>
      <c r="Q518">
        <v>13.69</v>
      </c>
      <c r="R518" t="s">
        <v>355</v>
      </c>
      <c r="S518">
        <v>2.52</v>
      </c>
      <c r="T518">
        <v>2.91</v>
      </c>
      <c r="U518">
        <v>56</v>
      </c>
    </row>
    <row r="519" spans="1:21" x14ac:dyDescent="0.25">
      <c r="A519" s="2">
        <v>45324.961122685185</v>
      </c>
      <c r="B519" t="s">
        <v>309</v>
      </c>
      <c r="C519" t="s">
        <v>368</v>
      </c>
      <c r="D519">
        <v>2</v>
      </c>
      <c r="E519" t="s">
        <v>58</v>
      </c>
      <c r="F519" t="s">
        <v>388</v>
      </c>
      <c r="G519">
        <f>(O519/(N519+O519+P519))*100</f>
        <v>8.013355592654424</v>
      </c>
      <c r="H519">
        <f>(P519/(O519+P519+N519))*100</f>
        <v>0</v>
      </c>
      <c r="I519">
        <v>8.01</v>
      </c>
      <c r="J519">
        <f>(N519/(P519+O519+N519))*100</f>
        <v>91.98664440734558</v>
      </c>
      <c r="K519">
        <v>0.8</v>
      </c>
      <c r="L519">
        <v>0.3</v>
      </c>
      <c r="M519">
        <v>0.7</v>
      </c>
      <c r="N519">
        <v>551</v>
      </c>
      <c r="O519">
        <v>48</v>
      </c>
      <c r="P519">
        <v>0</v>
      </c>
      <c r="Q519">
        <v>8.01</v>
      </c>
      <c r="R519" t="s">
        <v>240</v>
      </c>
      <c r="S519">
        <v>0.33</v>
      </c>
      <c r="T519">
        <v>0.36</v>
      </c>
    </row>
    <row r="520" spans="1:21" x14ac:dyDescent="0.25">
      <c r="A520" t="s">
        <v>19</v>
      </c>
      <c r="B520" t="s">
        <v>20</v>
      </c>
      <c r="C520" t="s">
        <v>306</v>
      </c>
      <c r="D520">
        <v>3</v>
      </c>
      <c r="E520" t="s">
        <v>59</v>
      </c>
      <c r="F520" t="s">
        <v>373</v>
      </c>
      <c r="G520" t="s">
        <v>321</v>
      </c>
      <c r="H520" t="s">
        <v>321</v>
      </c>
      <c r="I520">
        <v>75</v>
      </c>
      <c r="J520">
        <v>25</v>
      </c>
      <c r="K520" t="s">
        <v>19</v>
      </c>
      <c r="L520" t="s">
        <v>19</v>
      </c>
      <c r="M520" t="s">
        <v>19</v>
      </c>
      <c r="N520" t="s">
        <v>19</v>
      </c>
      <c r="O520" t="s">
        <v>19</v>
      </c>
      <c r="P520" t="s">
        <v>19</v>
      </c>
      <c r="Q520">
        <f>I520</f>
        <v>75</v>
      </c>
      <c r="R520" t="s">
        <v>19</v>
      </c>
      <c r="S520" t="s">
        <v>19</v>
      </c>
      <c r="T520" t="s">
        <v>19</v>
      </c>
    </row>
    <row r="521" spans="1:21" x14ac:dyDescent="0.25">
      <c r="A521" t="s">
        <v>19</v>
      </c>
      <c r="B521" t="s">
        <v>20</v>
      </c>
      <c r="C521" t="s">
        <v>308</v>
      </c>
      <c r="D521">
        <v>3</v>
      </c>
      <c r="E521" t="s">
        <v>59</v>
      </c>
      <c r="F521" t="s">
        <v>373</v>
      </c>
      <c r="G521">
        <v>55</v>
      </c>
      <c r="H521">
        <v>2</v>
      </c>
      <c r="I521">
        <f>G521+H521</f>
        <v>57</v>
      </c>
      <c r="J521">
        <f>100-G521-H521</f>
        <v>43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>
        <f>I521</f>
        <v>57</v>
      </c>
      <c r="R521" t="s">
        <v>19</v>
      </c>
      <c r="S521" t="s">
        <v>19</v>
      </c>
      <c r="T521" t="s">
        <v>19</v>
      </c>
    </row>
    <row r="522" spans="1:21" x14ac:dyDescent="0.25">
      <c r="A522" t="s">
        <v>19</v>
      </c>
      <c r="B522" t="s">
        <v>20</v>
      </c>
      <c r="C522" t="s">
        <v>22</v>
      </c>
      <c r="D522">
        <v>3</v>
      </c>
      <c r="E522" t="s">
        <v>59</v>
      </c>
      <c r="F522" t="s">
        <v>373</v>
      </c>
      <c r="G522">
        <v>80</v>
      </c>
      <c r="H522">
        <v>0</v>
      </c>
      <c r="I522">
        <f>G522+H522</f>
        <v>80</v>
      </c>
      <c r="J522">
        <f>100-G522-H522</f>
        <v>20</v>
      </c>
      <c r="K522" t="s">
        <v>19</v>
      </c>
      <c r="L522" t="s">
        <v>19</v>
      </c>
      <c r="M522" t="s">
        <v>19</v>
      </c>
      <c r="N522" t="s">
        <v>19</v>
      </c>
      <c r="O522" t="s">
        <v>19</v>
      </c>
      <c r="P522" t="s">
        <v>19</v>
      </c>
      <c r="Q522">
        <f>I522</f>
        <v>80</v>
      </c>
      <c r="R522" t="s">
        <v>19</v>
      </c>
      <c r="S522" t="s">
        <v>19</v>
      </c>
      <c r="T522" t="s">
        <v>19</v>
      </c>
    </row>
    <row r="523" spans="1:21" x14ac:dyDescent="0.25">
      <c r="A523" t="s">
        <v>19</v>
      </c>
      <c r="B523" t="s">
        <v>20</v>
      </c>
      <c r="C523" t="s">
        <v>305</v>
      </c>
      <c r="D523">
        <v>3</v>
      </c>
      <c r="E523" t="s">
        <v>59</v>
      </c>
      <c r="F523" t="s">
        <v>373</v>
      </c>
      <c r="G523">
        <v>25</v>
      </c>
      <c r="H523">
        <v>0</v>
      </c>
      <c r="I523">
        <f>G523+H523</f>
        <v>25</v>
      </c>
      <c r="J523">
        <f>100-G523-H523</f>
        <v>75</v>
      </c>
      <c r="K523" t="s">
        <v>19</v>
      </c>
      <c r="L523" t="s">
        <v>19</v>
      </c>
      <c r="M523" t="s">
        <v>19</v>
      </c>
      <c r="N523" t="s">
        <v>19</v>
      </c>
      <c r="O523" t="s">
        <v>19</v>
      </c>
      <c r="P523" t="s">
        <v>19</v>
      </c>
      <c r="Q523">
        <f>I523</f>
        <v>25</v>
      </c>
      <c r="R523" t="s">
        <v>19</v>
      </c>
      <c r="S523" t="s">
        <v>19</v>
      </c>
      <c r="T523" t="s">
        <v>19</v>
      </c>
    </row>
    <row r="524" spans="1:21" x14ac:dyDescent="0.25">
      <c r="A524" t="s">
        <v>19</v>
      </c>
      <c r="B524" t="s">
        <v>20</v>
      </c>
      <c r="C524" t="s">
        <v>307</v>
      </c>
      <c r="D524">
        <v>3</v>
      </c>
      <c r="E524" t="s">
        <v>59</v>
      </c>
      <c r="F524" t="s">
        <v>373</v>
      </c>
      <c r="G524">
        <v>10</v>
      </c>
      <c r="H524">
        <v>0</v>
      </c>
      <c r="I524">
        <f>G524+H524</f>
        <v>10</v>
      </c>
      <c r="J524">
        <f>100-G524-H524</f>
        <v>90</v>
      </c>
      <c r="K524" t="s">
        <v>19</v>
      </c>
      <c r="L524" t="s">
        <v>19</v>
      </c>
      <c r="M524" t="s">
        <v>19</v>
      </c>
      <c r="N524" t="s">
        <v>19</v>
      </c>
      <c r="O524" t="s">
        <v>19</v>
      </c>
      <c r="P524" t="s">
        <v>19</v>
      </c>
      <c r="Q524">
        <f>I524</f>
        <v>10</v>
      </c>
      <c r="R524" t="s">
        <v>19</v>
      </c>
      <c r="S524" t="s">
        <v>19</v>
      </c>
      <c r="T524" t="s">
        <v>19</v>
      </c>
    </row>
    <row r="525" spans="1:21" x14ac:dyDescent="0.25">
      <c r="A525" s="2">
        <v>45253.696527777778</v>
      </c>
      <c r="B525" t="s">
        <v>309</v>
      </c>
      <c r="C525" t="s">
        <v>213</v>
      </c>
      <c r="D525">
        <v>3</v>
      </c>
      <c r="E525" t="s">
        <v>59</v>
      </c>
      <c r="F525" t="s">
        <v>373</v>
      </c>
      <c r="G525">
        <v>57.063197029999998</v>
      </c>
      <c r="H525">
        <v>0</v>
      </c>
      <c r="I525">
        <v>57.063197029999998</v>
      </c>
      <c r="J525">
        <v>42.936802970000002</v>
      </c>
      <c r="K525">
        <v>0.8</v>
      </c>
      <c r="L525">
        <v>0.2</v>
      </c>
      <c r="M525">
        <v>0.7</v>
      </c>
      <c r="N525">
        <v>231</v>
      </c>
      <c r="O525">
        <v>307</v>
      </c>
      <c r="P525">
        <v>0</v>
      </c>
      <c r="Q525">
        <v>57.06</v>
      </c>
      <c r="R525" t="s">
        <v>214</v>
      </c>
      <c r="S525">
        <v>2.9</v>
      </c>
      <c r="T525">
        <v>3.08</v>
      </c>
    </row>
    <row r="526" spans="1:21" x14ac:dyDescent="0.25">
      <c r="A526" s="2">
        <v>45253.916666666664</v>
      </c>
      <c r="B526" t="s">
        <v>309</v>
      </c>
      <c r="C526" t="s">
        <v>215</v>
      </c>
      <c r="D526">
        <v>2</v>
      </c>
      <c r="E526" t="s">
        <v>59</v>
      </c>
      <c r="F526" t="s">
        <v>373</v>
      </c>
      <c r="G526">
        <v>9.7288676239999994</v>
      </c>
      <c r="H526">
        <v>0</v>
      </c>
      <c r="I526">
        <v>9.7288676239999994</v>
      </c>
      <c r="J526">
        <v>90.271132379999997</v>
      </c>
      <c r="K526">
        <v>0.8</v>
      </c>
      <c r="L526">
        <v>0.2</v>
      </c>
      <c r="M526">
        <v>0.7</v>
      </c>
      <c r="N526">
        <v>566</v>
      </c>
      <c r="O526">
        <v>61</v>
      </c>
      <c r="P526">
        <v>0</v>
      </c>
      <c r="Q526">
        <v>9.73</v>
      </c>
      <c r="R526" t="s">
        <v>216</v>
      </c>
      <c r="S526">
        <v>0.28000000000000003</v>
      </c>
      <c r="T526">
        <v>0.3</v>
      </c>
    </row>
    <row r="527" spans="1:21" x14ac:dyDescent="0.25">
      <c r="A527" s="2">
        <v>45254.090277777781</v>
      </c>
      <c r="B527" t="s">
        <v>309</v>
      </c>
      <c r="C527" t="s">
        <v>217</v>
      </c>
      <c r="D527">
        <v>2</v>
      </c>
      <c r="E527" t="s">
        <v>59</v>
      </c>
      <c r="F527" t="s">
        <v>373</v>
      </c>
      <c r="G527">
        <v>17.045454549999999</v>
      </c>
      <c r="H527">
        <v>0</v>
      </c>
      <c r="I527">
        <v>17.045454549999999</v>
      </c>
      <c r="J527">
        <v>82.954545449999998</v>
      </c>
      <c r="K527">
        <v>0.8</v>
      </c>
      <c r="L527">
        <v>0.2</v>
      </c>
      <c r="M527">
        <v>0.7</v>
      </c>
      <c r="N527">
        <v>511</v>
      </c>
      <c r="O527">
        <v>105</v>
      </c>
      <c r="P527">
        <v>0</v>
      </c>
      <c r="Q527">
        <v>17.05</v>
      </c>
      <c r="R527" t="s">
        <v>220</v>
      </c>
      <c r="S527">
        <v>0.5</v>
      </c>
      <c r="T527">
        <v>0.53</v>
      </c>
    </row>
    <row r="528" spans="1:21" x14ac:dyDescent="0.25">
      <c r="A528" s="2">
        <v>45316.427083333336</v>
      </c>
      <c r="B528" t="s">
        <v>309</v>
      </c>
      <c r="C528" t="s">
        <v>219</v>
      </c>
      <c r="D528">
        <v>3</v>
      </c>
      <c r="E528" t="s">
        <v>59</v>
      </c>
      <c r="F528" t="s">
        <v>373</v>
      </c>
      <c r="G528">
        <v>46.137787060000001</v>
      </c>
      <c r="H528">
        <v>0.20876826700000001</v>
      </c>
      <c r="I528">
        <v>46.34655532</v>
      </c>
      <c r="J528">
        <v>53.65344468</v>
      </c>
      <c r="K528">
        <v>0.8</v>
      </c>
      <c r="L528">
        <v>0.2</v>
      </c>
      <c r="M528">
        <v>0.7</v>
      </c>
      <c r="N528">
        <v>257</v>
      </c>
      <c r="O528">
        <v>221</v>
      </c>
      <c r="P528">
        <v>1</v>
      </c>
      <c r="Q528">
        <v>46.35</v>
      </c>
      <c r="R528" t="s">
        <v>218</v>
      </c>
      <c r="S528">
        <v>3.26</v>
      </c>
      <c r="T528">
        <v>4.5599999999999996</v>
      </c>
    </row>
    <row r="529" spans="1:21" x14ac:dyDescent="0.25">
      <c r="A529" s="2">
        <v>45320.947916666664</v>
      </c>
      <c r="B529" t="s">
        <v>309</v>
      </c>
      <c r="C529" t="s">
        <v>221</v>
      </c>
      <c r="D529">
        <v>2</v>
      </c>
      <c r="E529" t="s">
        <v>59</v>
      </c>
      <c r="F529" t="s">
        <v>373</v>
      </c>
      <c r="G529">
        <v>56.25</v>
      </c>
      <c r="H529">
        <v>0</v>
      </c>
      <c r="I529">
        <v>56.25</v>
      </c>
      <c r="J529">
        <v>43.75</v>
      </c>
      <c r="K529">
        <v>0.8</v>
      </c>
      <c r="L529">
        <v>0.3</v>
      </c>
      <c r="M529">
        <v>0.7</v>
      </c>
      <c r="N529">
        <v>252</v>
      </c>
      <c r="O529">
        <v>324</v>
      </c>
      <c r="P529">
        <v>0</v>
      </c>
      <c r="Q529">
        <v>56.25</v>
      </c>
      <c r="R529" t="s">
        <v>250</v>
      </c>
      <c r="S529">
        <v>1.5</v>
      </c>
      <c r="T529">
        <v>1.58</v>
      </c>
    </row>
    <row r="530" spans="1:21" x14ac:dyDescent="0.25">
      <c r="A530" t="s">
        <v>19</v>
      </c>
      <c r="B530" t="s">
        <v>20</v>
      </c>
      <c r="C530" t="s">
        <v>320</v>
      </c>
      <c r="D530">
        <v>3</v>
      </c>
      <c r="E530" t="s">
        <v>59</v>
      </c>
      <c r="F530" t="s">
        <v>373</v>
      </c>
      <c r="G530">
        <v>30</v>
      </c>
      <c r="H530">
        <v>0</v>
      </c>
      <c r="I530">
        <f>100-J530</f>
        <v>30</v>
      </c>
      <c r="J530">
        <f>100-G530-H530</f>
        <v>70</v>
      </c>
      <c r="K530" t="s">
        <v>19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  <c r="Q530">
        <f>I530</f>
        <v>30</v>
      </c>
      <c r="R530" t="s">
        <v>19</v>
      </c>
      <c r="S530" t="s">
        <v>19</v>
      </c>
      <c r="T530" t="s">
        <v>19</v>
      </c>
    </row>
    <row r="531" spans="1:21" x14ac:dyDescent="0.25">
      <c r="A531" s="2">
        <v>45323.538310185184</v>
      </c>
      <c r="B531" t="s">
        <v>309</v>
      </c>
      <c r="C531" t="s">
        <v>322</v>
      </c>
      <c r="D531">
        <v>3</v>
      </c>
      <c r="E531" t="s">
        <v>59</v>
      </c>
      <c r="F531" t="s">
        <v>373</v>
      </c>
      <c r="G531">
        <f>(O531/(N531+O531+P531))*100</f>
        <v>50.330033003300336</v>
      </c>
      <c r="H531">
        <f>(P531/(O531+P531+N531))*100</f>
        <v>0</v>
      </c>
      <c r="I531">
        <f>((O531+P531)/(P531+O531+N531))*100</f>
        <v>50.330033003300336</v>
      </c>
      <c r="J531">
        <f>(N531/(P531+O531+N531))*100</f>
        <v>49.669966996699671</v>
      </c>
      <c r="K531">
        <v>0.8</v>
      </c>
      <c r="L531">
        <v>0.3</v>
      </c>
      <c r="M531">
        <v>0.7</v>
      </c>
      <c r="N531">
        <v>301</v>
      </c>
      <c r="O531">
        <v>305</v>
      </c>
      <c r="P531">
        <v>0</v>
      </c>
      <c r="Q531">
        <v>50.33</v>
      </c>
      <c r="R531" t="s">
        <v>338</v>
      </c>
      <c r="S531">
        <v>2.71</v>
      </c>
      <c r="T531">
        <v>2.96</v>
      </c>
      <c r="U531">
        <v>108</v>
      </c>
    </row>
    <row r="532" spans="1:21" x14ac:dyDescent="0.25">
      <c r="A532" s="2">
        <v>45323.540081018517</v>
      </c>
      <c r="B532" t="s">
        <v>309</v>
      </c>
      <c r="C532" t="s">
        <v>322</v>
      </c>
      <c r="D532">
        <v>3</v>
      </c>
      <c r="E532" t="s">
        <v>59</v>
      </c>
      <c r="F532" t="s">
        <v>373</v>
      </c>
      <c r="G532">
        <f>(O532/(N532+O532+P532))*100</f>
        <v>51.839999999999996</v>
      </c>
      <c r="H532">
        <f>(P532/(O532+P532+N532))*100</f>
        <v>0</v>
      </c>
      <c r="I532">
        <f>((O532+P532)/(P532+O532+N532))*100</f>
        <v>51.839999999999996</v>
      </c>
      <c r="J532">
        <f>(N532/(P532+O532+N532))*100</f>
        <v>48.16</v>
      </c>
      <c r="K532">
        <v>0.7</v>
      </c>
      <c r="L532">
        <v>0.3</v>
      </c>
      <c r="M532">
        <v>0.7</v>
      </c>
      <c r="N532">
        <v>301</v>
      </c>
      <c r="O532">
        <v>324</v>
      </c>
      <c r="P532">
        <v>0</v>
      </c>
      <c r="Q532">
        <v>51.84</v>
      </c>
      <c r="R532" t="s">
        <v>342</v>
      </c>
      <c r="S532">
        <v>2.71</v>
      </c>
      <c r="T532">
        <v>2.96</v>
      </c>
      <c r="U532">
        <v>89</v>
      </c>
    </row>
    <row r="533" spans="1:21" x14ac:dyDescent="0.25">
      <c r="A533" s="2">
        <v>45325.115243055552</v>
      </c>
      <c r="B533" t="s">
        <v>309</v>
      </c>
      <c r="C533" t="s">
        <v>368</v>
      </c>
      <c r="D533">
        <v>2</v>
      </c>
      <c r="E533" t="s">
        <v>59</v>
      </c>
      <c r="F533" t="s">
        <v>373</v>
      </c>
      <c r="G533">
        <f>(O533/(N533+O533+P533))*100</f>
        <v>51.40961857379768</v>
      </c>
      <c r="H533">
        <f>(P533/(O533+P533+N533))*100</f>
        <v>0</v>
      </c>
      <c r="I533">
        <v>51.41</v>
      </c>
      <c r="J533">
        <f>(N533/(P533+O533+N533))*100</f>
        <v>48.59038142620232</v>
      </c>
      <c r="K533">
        <v>0.8</v>
      </c>
      <c r="L533">
        <v>0.3</v>
      </c>
      <c r="M533">
        <v>0.7</v>
      </c>
      <c r="N533">
        <v>293</v>
      </c>
      <c r="O533">
        <v>310</v>
      </c>
      <c r="P533">
        <v>0</v>
      </c>
      <c r="Q533">
        <v>51.41</v>
      </c>
      <c r="R533" t="s">
        <v>288</v>
      </c>
      <c r="S533">
        <v>1.36</v>
      </c>
      <c r="T533">
        <v>1.42</v>
      </c>
    </row>
    <row r="534" spans="1:21" x14ac:dyDescent="0.25">
      <c r="A534" t="s">
        <v>19</v>
      </c>
      <c r="B534" t="s">
        <v>20</v>
      </c>
      <c r="C534" t="s">
        <v>306</v>
      </c>
      <c r="D534">
        <v>3</v>
      </c>
      <c r="E534" t="s">
        <v>60</v>
      </c>
      <c r="F534" t="s">
        <v>373</v>
      </c>
      <c r="G534">
        <v>0</v>
      </c>
      <c r="H534">
        <v>0</v>
      </c>
      <c r="I534">
        <f>G534+H534</f>
        <v>0</v>
      </c>
      <c r="J534">
        <f>100-G534-H534</f>
        <v>100</v>
      </c>
      <c r="K534" t="s">
        <v>19</v>
      </c>
      <c r="L534" t="s">
        <v>19</v>
      </c>
      <c r="M534" t="s">
        <v>19</v>
      </c>
      <c r="N534" t="s">
        <v>19</v>
      </c>
      <c r="O534" t="s">
        <v>19</v>
      </c>
      <c r="P534" t="s">
        <v>19</v>
      </c>
      <c r="Q534">
        <f>I534</f>
        <v>0</v>
      </c>
      <c r="R534" t="s">
        <v>19</v>
      </c>
      <c r="S534" t="s">
        <v>19</v>
      </c>
      <c r="T534" t="s">
        <v>19</v>
      </c>
    </row>
    <row r="535" spans="1:21" x14ac:dyDescent="0.25">
      <c r="A535" t="s">
        <v>19</v>
      </c>
      <c r="B535" t="s">
        <v>20</v>
      </c>
      <c r="C535" t="s">
        <v>308</v>
      </c>
      <c r="D535">
        <v>3</v>
      </c>
      <c r="E535" t="s">
        <v>60</v>
      </c>
      <c r="F535" t="s">
        <v>373</v>
      </c>
      <c r="G535">
        <v>0</v>
      </c>
      <c r="H535">
        <v>0</v>
      </c>
      <c r="I535">
        <f>G535+H535</f>
        <v>0</v>
      </c>
      <c r="J535">
        <f>100-G535-H535</f>
        <v>100</v>
      </c>
      <c r="K535" t="s">
        <v>19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  <c r="Q535">
        <f>I535</f>
        <v>0</v>
      </c>
      <c r="R535" t="s">
        <v>19</v>
      </c>
      <c r="S535" t="s">
        <v>19</v>
      </c>
      <c r="T535" t="s">
        <v>19</v>
      </c>
    </row>
    <row r="536" spans="1:21" x14ac:dyDescent="0.25">
      <c r="A536" t="s">
        <v>19</v>
      </c>
      <c r="B536" t="s">
        <v>20</v>
      </c>
      <c r="C536" t="s">
        <v>22</v>
      </c>
      <c r="D536">
        <v>3</v>
      </c>
      <c r="E536" t="s">
        <v>60</v>
      </c>
      <c r="F536" t="s">
        <v>373</v>
      </c>
      <c r="G536">
        <v>0</v>
      </c>
      <c r="H536">
        <v>0</v>
      </c>
      <c r="I536">
        <f>G536+H536</f>
        <v>0</v>
      </c>
      <c r="J536">
        <f>100-G536-H536</f>
        <v>100</v>
      </c>
      <c r="K536" t="s">
        <v>19</v>
      </c>
      <c r="L536" t="s">
        <v>19</v>
      </c>
      <c r="M536" t="s">
        <v>19</v>
      </c>
      <c r="N536" t="s">
        <v>19</v>
      </c>
      <c r="O536" t="s">
        <v>19</v>
      </c>
      <c r="P536" t="s">
        <v>19</v>
      </c>
      <c r="Q536">
        <f>I536</f>
        <v>0</v>
      </c>
      <c r="R536" t="s">
        <v>19</v>
      </c>
      <c r="S536" t="s">
        <v>19</v>
      </c>
      <c r="T536" t="s">
        <v>19</v>
      </c>
    </row>
    <row r="537" spans="1:21" x14ac:dyDescent="0.25">
      <c r="A537" t="s">
        <v>19</v>
      </c>
      <c r="B537" t="s">
        <v>20</v>
      </c>
      <c r="C537" t="s">
        <v>305</v>
      </c>
      <c r="D537">
        <v>3</v>
      </c>
      <c r="E537" t="s">
        <v>60</v>
      </c>
      <c r="F537" t="s">
        <v>373</v>
      </c>
      <c r="G537">
        <v>0</v>
      </c>
      <c r="H537">
        <v>0</v>
      </c>
      <c r="I537">
        <f>G537+H537</f>
        <v>0</v>
      </c>
      <c r="J537">
        <f>100-G537-H537</f>
        <v>100</v>
      </c>
      <c r="K537" t="s">
        <v>19</v>
      </c>
      <c r="L537" t="s">
        <v>19</v>
      </c>
      <c r="M537" t="s">
        <v>19</v>
      </c>
      <c r="N537" t="s">
        <v>19</v>
      </c>
      <c r="O537" t="s">
        <v>19</v>
      </c>
      <c r="P537" t="s">
        <v>19</v>
      </c>
      <c r="Q537">
        <f>I537</f>
        <v>0</v>
      </c>
      <c r="R537" t="s">
        <v>19</v>
      </c>
      <c r="S537" t="s">
        <v>19</v>
      </c>
      <c r="T537" t="s">
        <v>19</v>
      </c>
    </row>
    <row r="538" spans="1:21" x14ac:dyDescent="0.25">
      <c r="A538" t="s">
        <v>19</v>
      </c>
      <c r="B538" t="s">
        <v>20</v>
      </c>
      <c r="C538" t="s">
        <v>307</v>
      </c>
      <c r="D538">
        <v>3</v>
      </c>
      <c r="E538" t="s">
        <v>60</v>
      </c>
      <c r="F538" t="s">
        <v>373</v>
      </c>
      <c r="G538">
        <v>0</v>
      </c>
      <c r="H538">
        <v>0</v>
      </c>
      <c r="I538">
        <f>G538+H538</f>
        <v>0</v>
      </c>
      <c r="J538">
        <f>100-G538-H538</f>
        <v>100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  <c r="P538" t="s">
        <v>19</v>
      </c>
      <c r="Q538">
        <f>I538</f>
        <v>0</v>
      </c>
      <c r="R538" t="s">
        <v>19</v>
      </c>
      <c r="S538" t="s">
        <v>19</v>
      </c>
      <c r="T538" t="s">
        <v>19</v>
      </c>
    </row>
    <row r="539" spans="1:21" x14ac:dyDescent="0.25">
      <c r="A539" s="2">
        <v>45253.697916666664</v>
      </c>
      <c r="B539" t="s">
        <v>309</v>
      </c>
      <c r="C539" t="s">
        <v>213</v>
      </c>
      <c r="D539">
        <v>3</v>
      </c>
      <c r="E539" t="s">
        <v>60</v>
      </c>
      <c r="F539" t="s">
        <v>373</v>
      </c>
      <c r="G539">
        <v>0.141442716</v>
      </c>
      <c r="H539">
        <v>0</v>
      </c>
      <c r="I539">
        <v>0.141442716</v>
      </c>
      <c r="J539">
        <v>99.858557279999999</v>
      </c>
      <c r="K539">
        <v>0.8</v>
      </c>
      <c r="L539">
        <v>0.2</v>
      </c>
      <c r="M539">
        <v>0.7</v>
      </c>
      <c r="N539">
        <v>706</v>
      </c>
      <c r="O539">
        <v>1</v>
      </c>
      <c r="P539">
        <v>0</v>
      </c>
      <c r="Q539">
        <v>0.14000000000000001</v>
      </c>
      <c r="R539" t="s">
        <v>255</v>
      </c>
      <c r="S539">
        <v>2.92</v>
      </c>
      <c r="T539">
        <v>3.67</v>
      </c>
    </row>
    <row r="540" spans="1:21" x14ac:dyDescent="0.25">
      <c r="A540" s="2">
        <v>45253.918055555558</v>
      </c>
      <c r="B540" t="s">
        <v>309</v>
      </c>
      <c r="C540" t="s">
        <v>215</v>
      </c>
      <c r="D540">
        <v>2</v>
      </c>
      <c r="E540" t="s">
        <v>60</v>
      </c>
      <c r="F540" t="s">
        <v>373</v>
      </c>
      <c r="G540">
        <v>7.1847507329999996</v>
      </c>
      <c r="H540">
        <v>0</v>
      </c>
      <c r="I540">
        <v>7.1847507329999996</v>
      </c>
      <c r="J540">
        <v>92.815249269999995</v>
      </c>
      <c r="K540">
        <v>0.8</v>
      </c>
      <c r="L540">
        <v>0.2</v>
      </c>
      <c r="M540">
        <v>0.7</v>
      </c>
      <c r="N540">
        <v>633</v>
      </c>
      <c r="O540">
        <v>49</v>
      </c>
      <c r="P540">
        <v>0</v>
      </c>
      <c r="Q540">
        <v>7.18</v>
      </c>
      <c r="R540" t="s">
        <v>224</v>
      </c>
      <c r="S540">
        <v>0.26</v>
      </c>
      <c r="T540">
        <v>0.28999999999999998</v>
      </c>
    </row>
    <row r="541" spans="1:21" x14ac:dyDescent="0.25">
      <c r="A541" s="2">
        <v>45254.09097222222</v>
      </c>
      <c r="B541" t="s">
        <v>309</v>
      </c>
      <c r="C541" t="s">
        <v>217</v>
      </c>
      <c r="D541">
        <v>2</v>
      </c>
      <c r="E541" t="s">
        <v>60</v>
      </c>
      <c r="F541" t="s">
        <v>373</v>
      </c>
      <c r="G541">
        <v>9.6830985920000003</v>
      </c>
      <c r="H541">
        <v>0</v>
      </c>
      <c r="I541">
        <v>9.6830985920000003</v>
      </c>
      <c r="J541">
        <v>90.31690141</v>
      </c>
      <c r="K541">
        <v>0.8</v>
      </c>
      <c r="L541">
        <v>0.2</v>
      </c>
      <c r="M541">
        <v>0.7</v>
      </c>
      <c r="N541">
        <v>513</v>
      </c>
      <c r="O541">
        <v>55</v>
      </c>
      <c r="P541">
        <v>0</v>
      </c>
      <c r="Q541">
        <v>9.68</v>
      </c>
      <c r="R541" t="s">
        <v>220</v>
      </c>
      <c r="S541">
        <v>0.43</v>
      </c>
      <c r="T541">
        <v>0.48</v>
      </c>
    </row>
    <row r="542" spans="1:21" x14ac:dyDescent="0.25">
      <c r="A542" s="2">
        <v>45316.427777777775</v>
      </c>
      <c r="B542" t="s">
        <v>309</v>
      </c>
      <c r="C542" t="s">
        <v>219</v>
      </c>
      <c r="D542">
        <v>3</v>
      </c>
      <c r="E542" t="s">
        <v>60</v>
      </c>
      <c r="F542" t="s">
        <v>373</v>
      </c>
      <c r="G542">
        <v>0.14814814800000001</v>
      </c>
      <c r="H542">
        <v>0.44444444399999999</v>
      </c>
      <c r="I542">
        <v>0.592592593</v>
      </c>
      <c r="J542">
        <v>99.407407410000005</v>
      </c>
      <c r="K542">
        <v>0.8</v>
      </c>
      <c r="L542">
        <v>0.2</v>
      </c>
      <c r="M542">
        <v>0.7</v>
      </c>
      <c r="N542">
        <v>671</v>
      </c>
      <c r="O542">
        <v>1</v>
      </c>
      <c r="P542">
        <v>3</v>
      </c>
      <c r="Q542">
        <v>0.59</v>
      </c>
      <c r="R542" t="s">
        <v>229</v>
      </c>
      <c r="S542">
        <v>3.23</v>
      </c>
      <c r="T542">
        <v>4.58</v>
      </c>
    </row>
    <row r="543" spans="1:21" x14ac:dyDescent="0.25">
      <c r="A543" s="2">
        <v>45320.948611111111</v>
      </c>
      <c r="B543" t="s">
        <v>309</v>
      </c>
      <c r="C543" t="s">
        <v>221</v>
      </c>
      <c r="D543">
        <v>2</v>
      </c>
      <c r="E543" t="s">
        <v>60</v>
      </c>
      <c r="F543" t="s">
        <v>373</v>
      </c>
      <c r="G543">
        <v>0.45112782000000001</v>
      </c>
      <c r="H543">
        <v>0</v>
      </c>
      <c r="I543">
        <v>0.45112782000000001</v>
      </c>
      <c r="J543">
        <v>99.548872180000004</v>
      </c>
      <c r="K543">
        <v>0.8</v>
      </c>
      <c r="L543">
        <v>0.3</v>
      </c>
      <c r="M543">
        <v>0.7</v>
      </c>
      <c r="N543">
        <v>662</v>
      </c>
      <c r="O543">
        <v>3</v>
      </c>
      <c r="P543">
        <v>0</v>
      </c>
      <c r="Q543">
        <v>0.45</v>
      </c>
      <c r="R543" t="s">
        <v>226</v>
      </c>
      <c r="S543">
        <v>0.02</v>
      </c>
      <c r="T543">
        <v>0.02</v>
      </c>
    </row>
    <row r="544" spans="1:21" x14ac:dyDescent="0.25">
      <c r="A544" t="s">
        <v>19</v>
      </c>
      <c r="B544" t="s">
        <v>20</v>
      </c>
      <c r="C544" t="s">
        <v>320</v>
      </c>
      <c r="D544">
        <v>3</v>
      </c>
      <c r="E544" t="s">
        <v>60</v>
      </c>
      <c r="F544" t="s">
        <v>373</v>
      </c>
      <c r="G544">
        <v>0</v>
      </c>
      <c r="H544">
        <v>0</v>
      </c>
      <c r="I544">
        <f>100-J544</f>
        <v>0</v>
      </c>
      <c r="J544">
        <f>100-G544-H544</f>
        <v>100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  <c r="Q544">
        <f>I544</f>
        <v>0</v>
      </c>
      <c r="R544" t="s">
        <v>19</v>
      </c>
      <c r="S544" t="s">
        <v>19</v>
      </c>
      <c r="T544" t="s">
        <v>19</v>
      </c>
    </row>
    <row r="545" spans="1:21" x14ac:dyDescent="0.25">
      <c r="A545" s="2">
        <v>45323.54005787037</v>
      </c>
      <c r="B545" t="s">
        <v>309</v>
      </c>
      <c r="C545" t="s">
        <v>322</v>
      </c>
      <c r="D545">
        <v>3</v>
      </c>
      <c r="E545" t="s">
        <v>60</v>
      </c>
      <c r="F545" t="s">
        <v>373</v>
      </c>
      <c r="G545">
        <f>(O545/(N545+O545+P545))*100</f>
        <v>0.15174506828528073</v>
      </c>
      <c r="H545">
        <f>(P545/(O545+P545+N545))*100</f>
        <v>0</v>
      </c>
      <c r="I545">
        <f>((O545+P545)/(P545+O545+N545))*100</f>
        <v>0.15174506828528073</v>
      </c>
      <c r="J545">
        <f>(N545/(P545+O545+N545))*100</f>
        <v>99.84825493171472</v>
      </c>
      <c r="K545">
        <v>0.8</v>
      </c>
      <c r="L545">
        <v>0.3</v>
      </c>
      <c r="M545">
        <v>0.7</v>
      </c>
      <c r="N545">
        <v>658</v>
      </c>
      <c r="O545">
        <v>1</v>
      </c>
      <c r="P545">
        <v>0</v>
      </c>
      <c r="Q545">
        <v>0.15</v>
      </c>
      <c r="R545" t="s">
        <v>287</v>
      </c>
      <c r="S545">
        <v>2.86</v>
      </c>
      <c r="T545">
        <v>3.34</v>
      </c>
      <c r="U545">
        <v>11</v>
      </c>
    </row>
    <row r="546" spans="1:21" x14ac:dyDescent="0.25">
      <c r="A546" s="2">
        <v>45323.54178240741</v>
      </c>
      <c r="B546" t="s">
        <v>309</v>
      </c>
      <c r="C546" t="s">
        <v>322</v>
      </c>
      <c r="D546">
        <v>3</v>
      </c>
      <c r="E546" t="s">
        <v>60</v>
      </c>
      <c r="F546" t="s">
        <v>373</v>
      </c>
      <c r="G546">
        <f>(O546/(N546+O546+P546))*100</f>
        <v>0.30303030303030304</v>
      </c>
      <c r="H546">
        <f>(P546/(O546+P546+N546))*100</f>
        <v>0</v>
      </c>
      <c r="I546">
        <f>((O546+P546)/(P546+O546+N546))*100</f>
        <v>0.30303030303030304</v>
      </c>
      <c r="J546">
        <f>(N546/(P546+O546+N546))*100</f>
        <v>99.696969696969688</v>
      </c>
      <c r="K546">
        <v>0.7</v>
      </c>
      <c r="L546">
        <v>0.3</v>
      </c>
      <c r="M546">
        <v>0.7</v>
      </c>
      <c r="N546">
        <v>658</v>
      </c>
      <c r="O546">
        <v>2</v>
      </c>
      <c r="P546">
        <v>0</v>
      </c>
      <c r="Q546">
        <v>0.3</v>
      </c>
      <c r="R546" t="s">
        <v>288</v>
      </c>
      <c r="S546">
        <v>2.86</v>
      </c>
      <c r="T546">
        <v>3.34</v>
      </c>
      <c r="U546">
        <v>10</v>
      </c>
    </row>
    <row r="547" spans="1:21" x14ac:dyDescent="0.25">
      <c r="A547" s="2">
        <v>45325.116851851853</v>
      </c>
      <c r="B547" t="s">
        <v>309</v>
      </c>
      <c r="C547" t="s">
        <v>368</v>
      </c>
      <c r="D547">
        <v>2</v>
      </c>
      <c r="E547" t="s">
        <v>60</v>
      </c>
      <c r="F547" t="s">
        <v>373</v>
      </c>
      <c r="G547">
        <f>(O547/(N547+O547+P547))*100</f>
        <v>0.15128593040847202</v>
      </c>
      <c r="H547">
        <f>(P547/(O547+P547+N547))*100</f>
        <v>0</v>
      </c>
      <c r="I547">
        <v>0.15</v>
      </c>
      <c r="J547">
        <f>(N547/(P547+O547+N547))*100</f>
        <v>99.848714069591523</v>
      </c>
      <c r="K547">
        <v>0.8</v>
      </c>
      <c r="L547">
        <v>0.3</v>
      </c>
      <c r="M547">
        <v>0.7</v>
      </c>
      <c r="N547">
        <v>660</v>
      </c>
      <c r="O547">
        <v>1</v>
      </c>
      <c r="P547">
        <v>0</v>
      </c>
      <c r="Q547">
        <v>0.15</v>
      </c>
      <c r="R547" t="s">
        <v>256</v>
      </c>
      <c r="S547">
        <v>0.01</v>
      </c>
      <c r="T547">
        <v>0.01</v>
      </c>
    </row>
    <row r="548" spans="1:21" x14ac:dyDescent="0.25">
      <c r="A548" t="s">
        <v>19</v>
      </c>
      <c r="B548" t="s">
        <v>20</v>
      </c>
      <c r="C548" t="s">
        <v>306</v>
      </c>
      <c r="D548">
        <v>3</v>
      </c>
      <c r="E548" t="s">
        <v>61</v>
      </c>
      <c r="F548" t="s">
        <v>373</v>
      </c>
      <c r="G548">
        <v>15</v>
      </c>
      <c r="H548">
        <v>0</v>
      </c>
      <c r="I548">
        <f>G548+H548</f>
        <v>15</v>
      </c>
      <c r="J548">
        <f>100-G548-H548</f>
        <v>85</v>
      </c>
      <c r="K548" t="s">
        <v>19</v>
      </c>
      <c r="L548" t="s">
        <v>19</v>
      </c>
      <c r="M548" t="s">
        <v>19</v>
      </c>
      <c r="N548" t="s">
        <v>19</v>
      </c>
      <c r="O548" t="s">
        <v>19</v>
      </c>
      <c r="P548" t="s">
        <v>19</v>
      </c>
      <c r="Q548">
        <f>I548</f>
        <v>15</v>
      </c>
      <c r="R548" t="s">
        <v>19</v>
      </c>
      <c r="S548" t="s">
        <v>19</v>
      </c>
      <c r="T548" t="s">
        <v>19</v>
      </c>
    </row>
    <row r="549" spans="1:21" x14ac:dyDescent="0.25">
      <c r="A549" t="s">
        <v>19</v>
      </c>
      <c r="B549" t="s">
        <v>20</v>
      </c>
      <c r="C549" t="s">
        <v>308</v>
      </c>
      <c r="D549">
        <v>3</v>
      </c>
      <c r="E549" t="s">
        <v>61</v>
      </c>
      <c r="F549" t="s">
        <v>373</v>
      </c>
      <c r="G549">
        <v>13</v>
      </c>
      <c r="H549">
        <v>0</v>
      </c>
      <c r="I549">
        <f>G549+H549</f>
        <v>13</v>
      </c>
      <c r="J549">
        <f>100-G549-H549</f>
        <v>87</v>
      </c>
      <c r="K549" t="s">
        <v>19</v>
      </c>
      <c r="L549" t="s">
        <v>19</v>
      </c>
      <c r="M549" t="s">
        <v>19</v>
      </c>
      <c r="N549" t="s">
        <v>19</v>
      </c>
      <c r="O549" t="s">
        <v>19</v>
      </c>
      <c r="P549" t="s">
        <v>19</v>
      </c>
      <c r="Q549">
        <f>I549</f>
        <v>13</v>
      </c>
      <c r="R549" t="s">
        <v>19</v>
      </c>
      <c r="S549" t="s">
        <v>19</v>
      </c>
      <c r="T549" t="s">
        <v>19</v>
      </c>
    </row>
    <row r="550" spans="1:21" x14ac:dyDescent="0.25">
      <c r="A550" t="s">
        <v>19</v>
      </c>
      <c r="B550" t="s">
        <v>20</v>
      </c>
      <c r="C550" t="s">
        <v>22</v>
      </c>
      <c r="D550">
        <v>3</v>
      </c>
      <c r="E550" t="s">
        <v>61</v>
      </c>
      <c r="F550" t="s">
        <v>373</v>
      </c>
      <c r="G550">
        <v>15</v>
      </c>
      <c r="H550">
        <v>0</v>
      </c>
      <c r="I550">
        <f>G550+H550</f>
        <v>15</v>
      </c>
      <c r="J550">
        <f>100-G550-H550</f>
        <v>85</v>
      </c>
      <c r="K550" t="s">
        <v>19</v>
      </c>
      <c r="L550" t="s">
        <v>19</v>
      </c>
      <c r="M550" t="s">
        <v>19</v>
      </c>
      <c r="N550" t="s">
        <v>19</v>
      </c>
      <c r="O550" t="s">
        <v>19</v>
      </c>
      <c r="P550" t="s">
        <v>19</v>
      </c>
      <c r="Q550">
        <f>I550</f>
        <v>15</v>
      </c>
      <c r="R550" t="s">
        <v>19</v>
      </c>
      <c r="S550" t="s">
        <v>19</v>
      </c>
      <c r="T550" t="s">
        <v>19</v>
      </c>
    </row>
    <row r="551" spans="1:21" x14ac:dyDescent="0.25">
      <c r="A551" t="s">
        <v>19</v>
      </c>
      <c r="B551" t="s">
        <v>20</v>
      </c>
      <c r="C551" t="s">
        <v>305</v>
      </c>
      <c r="D551">
        <v>3</v>
      </c>
      <c r="E551" t="s">
        <v>61</v>
      </c>
      <c r="F551" t="s">
        <v>373</v>
      </c>
      <c r="G551">
        <v>8</v>
      </c>
      <c r="H551">
        <v>0</v>
      </c>
      <c r="I551">
        <f>G551+H551</f>
        <v>8</v>
      </c>
      <c r="J551">
        <f>100-G551-H551</f>
        <v>92</v>
      </c>
      <c r="K551" t="s">
        <v>19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  <c r="Q551">
        <f>I551</f>
        <v>8</v>
      </c>
      <c r="R551" t="s">
        <v>19</v>
      </c>
      <c r="S551" t="s">
        <v>19</v>
      </c>
      <c r="T551" t="s">
        <v>19</v>
      </c>
    </row>
    <row r="552" spans="1:21" x14ac:dyDescent="0.25">
      <c r="A552" t="s">
        <v>19</v>
      </c>
      <c r="B552" t="s">
        <v>20</v>
      </c>
      <c r="C552" t="s">
        <v>307</v>
      </c>
      <c r="D552">
        <v>3</v>
      </c>
      <c r="E552" t="s">
        <v>61</v>
      </c>
      <c r="F552" t="s">
        <v>373</v>
      </c>
      <c r="G552">
        <v>2</v>
      </c>
      <c r="H552">
        <v>0</v>
      </c>
      <c r="I552">
        <f>G552+H552</f>
        <v>2</v>
      </c>
      <c r="J552">
        <f>100-G552-H552</f>
        <v>98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  <c r="P552" t="s">
        <v>19</v>
      </c>
      <c r="Q552">
        <f>I552</f>
        <v>2</v>
      </c>
      <c r="R552" t="s">
        <v>19</v>
      </c>
      <c r="S552" t="s">
        <v>19</v>
      </c>
      <c r="T552" t="s">
        <v>19</v>
      </c>
    </row>
    <row r="553" spans="1:21" x14ac:dyDescent="0.25">
      <c r="A553" s="2">
        <v>45253.699305555558</v>
      </c>
      <c r="B553" t="s">
        <v>309</v>
      </c>
      <c r="C553" t="s">
        <v>213</v>
      </c>
      <c r="D553">
        <v>3</v>
      </c>
      <c r="E553" t="s">
        <v>61</v>
      </c>
      <c r="F553" t="s">
        <v>373</v>
      </c>
      <c r="G553">
        <v>8.361204013</v>
      </c>
      <c r="H553">
        <v>0.33444816100000002</v>
      </c>
      <c r="I553">
        <v>8.6956521739999992</v>
      </c>
      <c r="J553">
        <v>91.304347829999998</v>
      </c>
      <c r="K553">
        <v>0.8</v>
      </c>
      <c r="L553">
        <v>0.2</v>
      </c>
      <c r="M553">
        <v>0.7</v>
      </c>
      <c r="N553">
        <v>546</v>
      </c>
      <c r="O553">
        <v>50</v>
      </c>
      <c r="P553">
        <v>2</v>
      </c>
      <c r="Q553">
        <v>8.6999999999999993</v>
      </c>
      <c r="R553" t="s">
        <v>238</v>
      </c>
      <c r="S553">
        <v>2.92</v>
      </c>
      <c r="T553">
        <v>3.3</v>
      </c>
    </row>
    <row r="554" spans="1:21" x14ac:dyDescent="0.25">
      <c r="A554" s="2">
        <v>45253.918749999997</v>
      </c>
      <c r="B554" t="s">
        <v>309</v>
      </c>
      <c r="C554" t="s">
        <v>215</v>
      </c>
      <c r="D554">
        <v>2</v>
      </c>
      <c r="E554" t="s">
        <v>61</v>
      </c>
      <c r="F554" t="s">
        <v>373</v>
      </c>
      <c r="G554">
        <v>7.0567986229999997</v>
      </c>
      <c r="H554">
        <v>0</v>
      </c>
      <c r="I554">
        <v>7.0567986229999997</v>
      </c>
      <c r="J554">
        <v>92.943201380000005</v>
      </c>
      <c r="K554">
        <v>0.8</v>
      </c>
      <c r="L554">
        <v>0.2</v>
      </c>
      <c r="M554">
        <v>0.7</v>
      </c>
      <c r="N554">
        <v>540</v>
      </c>
      <c r="O554">
        <v>41</v>
      </c>
      <c r="P554">
        <v>0</v>
      </c>
      <c r="Q554">
        <v>7.06</v>
      </c>
      <c r="R554" t="s">
        <v>216</v>
      </c>
      <c r="S554">
        <v>0.27</v>
      </c>
      <c r="T554">
        <v>0.28999999999999998</v>
      </c>
    </row>
    <row r="555" spans="1:21" x14ac:dyDescent="0.25">
      <c r="A555" s="2">
        <v>45254.091666666667</v>
      </c>
      <c r="B555" t="s">
        <v>309</v>
      </c>
      <c r="C555" t="s">
        <v>217</v>
      </c>
      <c r="D555">
        <v>2</v>
      </c>
      <c r="E555" t="s">
        <v>61</v>
      </c>
      <c r="F555" t="s">
        <v>373</v>
      </c>
      <c r="G555">
        <v>10.427350430000001</v>
      </c>
      <c r="H555">
        <v>0</v>
      </c>
      <c r="I555">
        <v>10.427350430000001</v>
      </c>
      <c r="J555">
        <v>89.572649569999996</v>
      </c>
      <c r="K555">
        <v>0.8</v>
      </c>
      <c r="L555">
        <v>0.2</v>
      </c>
      <c r="M555">
        <v>0.7</v>
      </c>
      <c r="N555">
        <v>524</v>
      </c>
      <c r="O555">
        <v>61</v>
      </c>
      <c r="P555">
        <v>0</v>
      </c>
      <c r="Q555">
        <v>10.43</v>
      </c>
      <c r="R555" t="s">
        <v>225</v>
      </c>
      <c r="S555">
        <v>0.34</v>
      </c>
      <c r="T555">
        <v>0.36</v>
      </c>
    </row>
    <row r="556" spans="1:21" x14ac:dyDescent="0.25">
      <c r="A556" s="2">
        <v>45316.428472222222</v>
      </c>
      <c r="B556" t="s">
        <v>309</v>
      </c>
      <c r="C556" t="s">
        <v>219</v>
      </c>
      <c r="D556">
        <v>3</v>
      </c>
      <c r="E556" t="s">
        <v>61</v>
      </c>
      <c r="F556" t="s">
        <v>373</v>
      </c>
      <c r="G556">
        <v>5.0450450450000002</v>
      </c>
      <c r="H556">
        <v>0.36036035999999999</v>
      </c>
      <c r="I556">
        <v>5.4054054049999998</v>
      </c>
      <c r="J556">
        <v>94.59459459</v>
      </c>
      <c r="K556">
        <v>0.8</v>
      </c>
      <c r="L556">
        <v>0.2</v>
      </c>
      <c r="M556">
        <v>0.7</v>
      </c>
      <c r="N556">
        <v>525</v>
      </c>
      <c r="O556">
        <v>28</v>
      </c>
      <c r="P556">
        <v>2</v>
      </c>
      <c r="Q556">
        <v>5.41</v>
      </c>
      <c r="R556" t="s">
        <v>216</v>
      </c>
      <c r="S556">
        <v>3.19</v>
      </c>
      <c r="T556">
        <v>4.49</v>
      </c>
    </row>
    <row r="557" spans="1:21" x14ac:dyDescent="0.25">
      <c r="A557" s="2">
        <v>45320.95</v>
      </c>
      <c r="B557" t="s">
        <v>309</v>
      </c>
      <c r="C557" t="s">
        <v>221</v>
      </c>
      <c r="D557">
        <v>2</v>
      </c>
      <c r="E557" t="s">
        <v>61</v>
      </c>
      <c r="F557" t="s">
        <v>373</v>
      </c>
      <c r="G557">
        <v>11.650485440000001</v>
      </c>
      <c r="H557">
        <v>0</v>
      </c>
      <c r="I557">
        <v>11.650485440000001</v>
      </c>
      <c r="J557">
        <v>88.349514560000003</v>
      </c>
      <c r="K557">
        <v>0.8</v>
      </c>
      <c r="L557">
        <v>0.3</v>
      </c>
      <c r="M557">
        <v>0.7</v>
      </c>
      <c r="N557">
        <v>546</v>
      </c>
      <c r="O557">
        <v>72</v>
      </c>
      <c r="P557">
        <v>0</v>
      </c>
      <c r="Q557">
        <v>11.65</v>
      </c>
      <c r="R557" t="s">
        <v>229</v>
      </c>
      <c r="S557">
        <v>0.4</v>
      </c>
      <c r="T557">
        <v>0.41</v>
      </c>
    </row>
    <row r="558" spans="1:21" x14ac:dyDescent="0.25">
      <c r="A558" t="s">
        <v>19</v>
      </c>
      <c r="B558" t="s">
        <v>20</v>
      </c>
      <c r="C558" t="s">
        <v>320</v>
      </c>
      <c r="D558">
        <v>3</v>
      </c>
      <c r="E558" t="s">
        <v>61</v>
      </c>
      <c r="F558" t="s">
        <v>373</v>
      </c>
      <c r="G558">
        <v>0</v>
      </c>
      <c r="H558">
        <v>0</v>
      </c>
      <c r="I558">
        <f>100-J558</f>
        <v>0</v>
      </c>
      <c r="J558">
        <f>100-G558-H558</f>
        <v>100</v>
      </c>
      <c r="K558" t="s">
        <v>19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  <c r="Q558">
        <f>I558</f>
        <v>0</v>
      </c>
      <c r="R558" t="s">
        <v>19</v>
      </c>
      <c r="S558" t="s">
        <v>19</v>
      </c>
      <c r="T558" t="s">
        <v>19</v>
      </c>
    </row>
    <row r="559" spans="1:21" x14ac:dyDescent="0.25">
      <c r="A559" s="2">
        <v>45323.541655092595</v>
      </c>
      <c r="B559" t="s">
        <v>309</v>
      </c>
      <c r="C559" t="s">
        <v>322</v>
      </c>
      <c r="D559">
        <v>3</v>
      </c>
      <c r="E559" t="s">
        <v>61</v>
      </c>
      <c r="F559" t="s">
        <v>373</v>
      </c>
      <c r="G559">
        <f>(O559/(N559+O559+P559))*100</f>
        <v>11.708860759493671</v>
      </c>
      <c r="H559">
        <f>(P559/(O559+P559+N559))*100</f>
        <v>0.15822784810126583</v>
      </c>
      <c r="I559">
        <f>((O559+P559)/(P559+O559+N559))*100</f>
        <v>11.867088607594937</v>
      </c>
      <c r="J559">
        <f>(N559/(P559+O559+N559))*100</f>
        <v>88.132911392405063</v>
      </c>
      <c r="K559">
        <v>0.8</v>
      </c>
      <c r="L559">
        <v>0.3</v>
      </c>
      <c r="M559">
        <v>0.7</v>
      </c>
      <c r="N559">
        <v>557</v>
      </c>
      <c r="O559">
        <v>74</v>
      </c>
      <c r="P559">
        <v>1</v>
      </c>
      <c r="Q559">
        <v>11.87</v>
      </c>
      <c r="R559" t="s">
        <v>296</v>
      </c>
      <c r="S559">
        <v>2.6</v>
      </c>
      <c r="T559">
        <v>3</v>
      </c>
      <c r="U559">
        <v>42</v>
      </c>
    </row>
    <row r="560" spans="1:21" x14ac:dyDescent="0.25">
      <c r="A560" s="2">
        <v>45323.543379629627</v>
      </c>
      <c r="B560" t="s">
        <v>309</v>
      </c>
      <c r="C560" t="s">
        <v>322</v>
      </c>
      <c r="D560">
        <v>3</v>
      </c>
      <c r="E560" t="s">
        <v>61</v>
      </c>
      <c r="F560" t="s">
        <v>373</v>
      </c>
      <c r="G560">
        <f>(O560/(N560+O560+P560))*100</f>
        <v>12.264150943396226</v>
      </c>
      <c r="H560">
        <f>(P560/(O560+P560+N560))*100</f>
        <v>0.15723270440251574</v>
      </c>
      <c r="I560">
        <f>((O560+P560)/(P560+O560+N560))*100</f>
        <v>12.421383647798741</v>
      </c>
      <c r="J560">
        <f>(N560/(P560+O560+N560))*100</f>
        <v>87.578616352201252</v>
      </c>
      <c r="K560">
        <v>0.7</v>
      </c>
      <c r="L560">
        <v>0.3</v>
      </c>
      <c r="M560">
        <v>0.7</v>
      </c>
      <c r="N560">
        <v>557</v>
      </c>
      <c r="O560">
        <v>78</v>
      </c>
      <c r="P560">
        <v>1</v>
      </c>
      <c r="Q560">
        <v>12.42</v>
      </c>
      <c r="R560" t="s">
        <v>333</v>
      </c>
      <c r="S560">
        <v>2.6</v>
      </c>
      <c r="T560">
        <v>3</v>
      </c>
      <c r="U560">
        <v>38</v>
      </c>
    </row>
    <row r="561" spans="1:21" x14ac:dyDescent="0.25">
      <c r="A561" s="2">
        <v>45325.118287037039</v>
      </c>
      <c r="B561" t="s">
        <v>309</v>
      </c>
      <c r="C561" t="s">
        <v>368</v>
      </c>
      <c r="D561">
        <v>2</v>
      </c>
      <c r="E561" t="s">
        <v>61</v>
      </c>
      <c r="F561" t="s">
        <v>373</v>
      </c>
      <c r="G561">
        <f>(O561/(N561+O561+P561))*100</f>
        <v>11.198738170347003</v>
      </c>
      <c r="H561">
        <f>(P561/(O561+P561+N561))*100</f>
        <v>0</v>
      </c>
      <c r="I561">
        <v>11.2</v>
      </c>
      <c r="J561">
        <f>(N561/(P561+O561+N561))*100</f>
        <v>88.801261829653001</v>
      </c>
      <c r="K561">
        <v>0.8</v>
      </c>
      <c r="L561">
        <v>0.3</v>
      </c>
      <c r="M561">
        <v>0.7</v>
      </c>
      <c r="N561">
        <v>563</v>
      </c>
      <c r="O561">
        <v>71</v>
      </c>
      <c r="P561">
        <v>0</v>
      </c>
      <c r="Q561">
        <v>11.2</v>
      </c>
      <c r="R561" t="s">
        <v>276</v>
      </c>
      <c r="S561">
        <v>0.33</v>
      </c>
      <c r="T561">
        <v>0.34</v>
      </c>
    </row>
    <row r="562" spans="1:21" x14ac:dyDescent="0.25">
      <c r="A562" t="s">
        <v>19</v>
      </c>
      <c r="B562" t="s">
        <v>20</v>
      </c>
      <c r="C562" t="s">
        <v>308</v>
      </c>
      <c r="D562">
        <v>3</v>
      </c>
      <c r="E562" t="s">
        <v>62</v>
      </c>
      <c r="F562" t="s">
        <v>388</v>
      </c>
      <c r="G562">
        <v>4</v>
      </c>
      <c r="H562">
        <v>2</v>
      </c>
      <c r="I562">
        <f>G562+H562</f>
        <v>6</v>
      </c>
      <c r="J562">
        <f>100-G562-H562</f>
        <v>94</v>
      </c>
      <c r="K562" t="s">
        <v>19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  <c r="Q562">
        <f>I562</f>
        <v>6</v>
      </c>
      <c r="R562" t="s">
        <v>19</v>
      </c>
      <c r="S562" t="s">
        <v>19</v>
      </c>
      <c r="T562" t="s">
        <v>19</v>
      </c>
    </row>
    <row r="563" spans="1:21" x14ac:dyDescent="0.25">
      <c r="A563" t="s">
        <v>19</v>
      </c>
      <c r="B563" t="s">
        <v>20</v>
      </c>
      <c r="C563" t="s">
        <v>22</v>
      </c>
      <c r="D563">
        <v>3</v>
      </c>
      <c r="E563" t="s">
        <v>62</v>
      </c>
      <c r="F563" t="s">
        <v>388</v>
      </c>
      <c r="G563">
        <v>4</v>
      </c>
      <c r="H563">
        <v>1</v>
      </c>
      <c r="I563">
        <f>G563+H563</f>
        <v>5</v>
      </c>
      <c r="J563">
        <f>100-G563-H563</f>
        <v>95</v>
      </c>
      <c r="K563" t="s">
        <v>19</v>
      </c>
      <c r="L563" t="s">
        <v>19</v>
      </c>
      <c r="M563" t="s">
        <v>19</v>
      </c>
      <c r="N563" t="s">
        <v>19</v>
      </c>
      <c r="O563" t="s">
        <v>19</v>
      </c>
      <c r="P563" t="s">
        <v>19</v>
      </c>
      <c r="Q563">
        <f>I563</f>
        <v>5</v>
      </c>
      <c r="R563" t="s">
        <v>19</v>
      </c>
      <c r="S563" t="s">
        <v>19</v>
      </c>
      <c r="T563" t="s">
        <v>19</v>
      </c>
    </row>
    <row r="564" spans="1:21" x14ac:dyDescent="0.25">
      <c r="A564" t="s">
        <v>19</v>
      </c>
      <c r="B564" t="s">
        <v>20</v>
      </c>
      <c r="C564" t="s">
        <v>305</v>
      </c>
      <c r="D564">
        <v>3</v>
      </c>
      <c r="E564" t="s">
        <v>62</v>
      </c>
      <c r="F564" t="s">
        <v>388</v>
      </c>
      <c r="G564">
        <v>6</v>
      </c>
      <c r="H564">
        <v>2</v>
      </c>
      <c r="I564">
        <f>G564+H564</f>
        <v>8</v>
      </c>
      <c r="J564">
        <f>100-G564-H564</f>
        <v>92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  <c r="Q564">
        <f>I564</f>
        <v>8</v>
      </c>
      <c r="R564" t="s">
        <v>19</v>
      </c>
      <c r="S564" t="s">
        <v>19</v>
      </c>
      <c r="T564" t="s">
        <v>19</v>
      </c>
    </row>
    <row r="565" spans="1:21" x14ac:dyDescent="0.25">
      <c r="A565" t="s">
        <v>19</v>
      </c>
      <c r="B565" t="s">
        <v>20</v>
      </c>
      <c r="C565" t="s">
        <v>307</v>
      </c>
      <c r="D565">
        <v>3</v>
      </c>
      <c r="E565" t="s">
        <v>62</v>
      </c>
      <c r="F565" t="s">
        <v>388</v>
      </c>
      <c r="G565">
        <v>2</v>
      </c>
      <c r="H565">
        <v>1</v>
      </c>
      <c r="I565">
        <f>G565+H565</f>
        <v>3</v>
      </c>
      <c r="J565">
        <f>100-G565-H565</f>
        <v>97</v>
      </c>
      <c r="K565" t="s">
        <v>19</v>
      </c>
      <c r="L565" t="s">
        <v>19</v>
      </c>
      <c r="M565" t="s">
        <v>19</v>
      </c>
      <c r="N565" t="s">
        <v>19</v>
      </c>
      <c r="O565" t="s">
        <v>19</v>
      </c>
      <c r="P565" t="s">
        <v>19</v>
      </c>
      <c r="Q565">
        <f>I565</f>
        <v>3</v>
      </c>
      <c r="R565" t="s">
        <v>19</v>
      </c>
      <c r="S565" t="s">
        <v>19</v>
      </c>
      <c r="T565" t="s">
        <v>19</v>
      </c>
    </row>
    <row r="566" spans="1:21" x14ac:dyDescent="0.25">
      <c r="A566" s="2">
        <v>45253.533333333333</v>
      </c>
      <c r="B566" t="s">
        <v>309</v>
      </c>
      <c r="C566" t="s">
        <v>213</v>
      </c>
      <c r="D566">
        <v>3</v>
      </c>
      <c r="E566" t="s">
        <v>62</v>
      </c>
      <c r="F566" t="s">
        <v>388</v>
      </c>
      <c r="G566">
        <v>0.56980056999999995</v>
      </c>
      <c r="H566">
        <v>1.4245014250000001</v>
      </c>
      <c r="I566">
        <v>1.994301994</v>
      </c>
      <c r="J566">
        <v>98.005698010000003</v>
      </c>
      <c r="K566">
        <v>0.8</v>
      </c>
      <c r="L566">
        <v>0.2</v>
      </c>
      <c r="M566">
        <v>0.7</v>
      </c>
      <c r="N566">
        <v>688</v>
      </c>
      <c r="O566">
        <v>4</v>
      </c>
      <c r="P566">
        <v>10</v>
      </c>
      <c r="Q566">
        <v>1.99</v>
      </c>
      <c r="R566" t="s">
        <v>238</v>
      </c>
      <c r="S566">
        <v>2.71</v>
      </c>
      <c r="T566">
        <v>3.16</v>
      </c>
    </row>
    <row r="567" spans="1:21" x14ac:dyDescent="0.25">
      <c r="A567" s="2">
        <v>45253.829861111109</v>
      </c>
      <c r="B567" t="s">
        <v>309</v>
      </c>
      <c r="C567" t="s">
        <v>215</v>
      </c>
      <c r="D567">
        <v>2</v>
      </c>
      <c r="E567" t="s">
        <v>62</v>
      </c>
      <c r="F567" t="s">
        <v>388</v>
      </c>
      <c r="G567">
        <v>2.6874115980000002</v>
      </c>
      <c r="H567">
        <v>0</v>
      </c>
      <c r="I567">
        <v>2.6874115980000002</v>
      </c>
      <c r="J567">
        <v>97.312588399999996</v>
      </c>
      <c r="K567">
        <v>0.8</v>
      </c>
      <c r="L567">
        <v>0.2</v>
      </c>
      <c r="M567">
        <v>0.7</v>
      </c>
      <c r="N567">
        <v>688</v>
      </c>
      <c r="O567">
        <v>19</v>
      </c>
      <c r="P567">
        <v>0</v>
      </c>
      <c r="Q567">
        <v>2.69</v>
      </c>
      <c r="R567" t="s">
        <v>243</v>
      </c>
      <c r="S567">
        <v>0.1</v>
      </c>
      <c r="T567">
        <v>0.1</v>
      </c>
    </row>
    <row r="568" spans="1:21" x14ac:dyDescent="0.25">
      <c r="A568" s="2">
        <v>45253.996527777781</v>
      </c>
      <c r="B568" t="s">
        <v>309</v>
      </c>
      <c r="C568" t="s">
        <v>217</v>
      </c>
      <c r="D568">
        <v>2</v>
      </c>
      <c r="E568" t="s">
        <v>62</v>
      </c>
      <c r="F568" t="s">
        <v>388</v>
      </c>
      <c r="G568">
        <v>5.4572271389999996</v>
      </c>
      <c r="H568">
        <v>0</v>
      </c>
      <c r="I568">
        <v>5.4572271389999996</v>
      </c>
      <c r="J568">
        <v>94.542772859999999</v>
      </c>
      <c r="K568">
        <v>0.8</v>
      </c>
      <c r="L568">
        <v>0.2</v>
      </c>
      <c r="M568">
        <v>0.7</v>
      </c>
      <c r="N568">
        <v>641</v>
      </c>
      <c r="O568">
        <v>37</v>
      </c>
      <c r="P568">
        <v>0</v>
      </c>
      <c r="Q568">
        <v>5.46</v>
      </c>
      <c r="R568" t="s">
        <v>226</v>
      </c>
      <c r="S568">
        <v>0.17</v>
      </c>
      <c r="T568">
        <v>0.17</v>
      </c>
    </row>
    <row r="569" spans="1:21" x14ac:dyDescent="0.25">
      <c r="A569" s="2">
        <v>45316.508333333331</v>
      </c>
      <c r="B569" t="s">
        <v>309</v>
      </c>
      <c r="C569" t="s">
        <v>219</v>
      </c>
      <c r="D569">
        <v>3</v>
      </c>
      <c r="E569" t="s">
        <v>62</v>
      </c>
      <c r="F569" t="s">
        <v>388</v>
      </c>
      <c r="G569">
        <v>0</v>
      </c>
      <c r="H569">
        <v>0.85178875600000004</v>
      </c>
      <c r="I569">
        <v>0.85178875600000004</v>
      </c>
      <c r="J569">
        <v>99.148211239999995</v>
      </c>
      <c r="K569">
        <v>0.8</v>
      </c>
      <c r="L569">
        <v>0.2</v>
      </c>
      <c r="M569">
        <v>0.7</v>
      </c>
      <c r="N569">
        <v>582</v>
      </c>
      <c r="O569">
        <v>0</v>
      </c>
      <c r="P569">
        <v>5</v>
      </c>
      <c r="Q569">
        <v>0.85</v>
      </c>
      <c r="R569" t="s">
        <v>218</v>
      </c>
      <c r="S569">
        <v>3.23</v>
      </c>
      <c r="T569">
        <v>4.5599999999999996</v>
      </c>
    </row>
    <row r="570" spans="1:21" x14ac:dyDescent="0.25">
      <c r="A570" s="2">
        <v>45320.843055555553</v>
      </c>
      <c r="B570" t="s">
        <v>309</v>
      </c>
      <c r="C570" t="s">
        <v>221</v>
      </c>
      <c r="D570">
        <v>2</v>
      </c>
      <c r="E570" t="s">
        <v>62</v>
      </c>
      <c r="F570" t="s">
        <v>388</v>
      </c>
      <c r="G570">
        <v>2.9096477790000002</v>
      </c>
      <c r="H570">
        <v>0</v>
      </c>
      <c r="I570">
        <v>2.9096477790000002</v>
      </c>
      <c r="J570">
        <v>97.09035222</v>
      </c>
      <c r="K570">
        <v>0.8</v>
      </c>
      <c r="L570">
        <v>0.3</v>
      </c>
      <c r="M570">
        <v>0.7</v>
      </c>
      <c r="N570">
        <v>634</v>
      </c>
      <c r="O570">
        <v>19</v>
      </c>
      <c r="P570">
        <v>0</v>
      </c>
      <c r="Q570">
        <v>2.91</v>
      </c>
      <c r="R570" t="s">
        <v>249</v>
      </c>
      <c r="S570">
        <v>0.09</v>
      </c>
      <c r="T570">
        <v>0.1</v>
      </c>
    </row>
    <row r="571" spans="1:21" x14ac:dyDescent="0.25">
      <c r="A571" t="s">
        <v>19</v>
      </c>
      <c r="B571" t="s">
        <v>20</v>
      </c>
      <c r="C571" t="s">
        <v>306</v>
      </c>
      <c r="D571">
        <v>3</v>
      </c>
      <c r="E571" t="s">
        <v>62</v>
      </c>
      <c r="F571" t="s">
        <v>388</v>
      </c>
      <c r="G571">
        <v>12</v>
      </c>
      <c r="H571">
        <v>4</v>
      </c>
      <c r="I571">
        <f>G571+H571</f>
        <v>16</v>
      </c>
      <c r="J571">
        <f>100-G571-H571</f>
        <v>84</v>
      </c>
      <c r="K571" t="s">
        <v>19</v>
      </c>
      <c r="L571" t="s">
        <v>19</v>
      </c>
      <c r="M571" t="s">
        <v>19</v>
      </c>
      <c r="N571" t="s">
        <v>19</v>
      </c>
      <c r="O571" t="s">
        <v>19</v>
      </c>
      <c r="P571" t="s">
        <v>19</v>
      </c>
      <c r="Q571">
        <f>I571</f>
        <v>16</v>
      </c>
      <c r="R571" t="s">
        <v>19</v>
      </c>
      <c r="S571" t="s">
        <v>19</v>
      </c>
      <c r="T571" t="s">
        <v>19</v>
      </c>
    </row>
    <row r="572" spans="1:21" x14ac:dyDescent="0.25">
      <c r="A572" t="s">
        <v>19</v>
      </c>
      <c r="B572" t="s">
        <v>20</v>
      </c>
      <c r="C572" t="s">
        <v>320</v>
      </c>
      <c r="D572">
        <v>3</v>
      </c>
      <c r="E572" t="s">
        <v>62</v>
      </c>
      <c r="F572" t="s">
        <v>388</v>
      </c>
      <c r="G572">
        <v>0</v>
      </c>
      <c r="H572">
        <v>8</v>
      </c>
      <c r="I572">
        <f>100-J572</f>
        <v>8</v>
      </c>
      <c r="J572">
        <f>100-G572-H572</f>
        <v>92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>
        <f>I572</f>
        <v>8</v>
      </c>
      <c r="R572" t="s">
        <v>19</v>
      </c>
      <c r="S572" t="s">
        <v>19</v>
      </c>
      <c r="T572" t="s">
        <v>19</v>
      </c>
    </row>
    <row r="573" spans="1:21" x14ac:dyDescent="0.25">
      <c r="A573" s="2">
        <v>45323.537453703706</v>
      </c>
      <c r="B573" t="s">
        <v>309</v>
      </c>
      <c r="C573" t="s">
        <v>322</v>
      </c>
      <c r="D573">
        <v>3</v>
      </c>
      <c r="E573" t="s">
        <v>62</v>
      </c>
      <c r="F573" t="s">
        <v>388</v>
      </c>
      <c r="G573">
        <f>(O573/(N573+O573+P573))*100</f>
        <v>0.91047040971168436</v>
      </c>
      <c r="H573">
        <f>(P573/(O573+P573+N573))*100</f>
        <v>0.91047040971168436</v>
      </c>
      <c r="I573">
        <v>1.82</v>
      </c>
      <c r="J573">
        <f>(N573/(P573+O573+N573))*100</f>
        <v>98.17905918057663</v>
      </c>
      <c r="K573">
        <v>0.8</v>
      </c>
      <c r="L573">
        <v>0.3</v>
      </c>
      <c r="M573">
        <v>0.7</v>
      </c>
      <c r="N573">
        <v>647</v>
      </c>
      <c r="O573">
        <v>6</v>
      </c>
      <c r="P573">
        <v>6</v>
      </c>
      <c r="Q573">
        <v>1.82</v>
      </c>
      <c r="R573" t="s">
        <v>245</v>
      </c>
      <c r="S573">
        <v>2.4500000000000002</v>
      </c>
      <c r="T573">
        <v>3.64</v>
      </c>
      <c r="U573">
        <v>15</v>
      </c>
    </row>
    <row r="574" spans="1:21" x14ac:dyDescent="0.25">
      <c r="A574" s="2">
        <v>45323.536446759259</v>
      </c>
      <c r="B574" t="s">
        <v>309</v>
      </c>
      <c r="C574" t="s">
        <v>322</v>
      </c>
      <c r="D574">
        <v>3</v>
      </c>
      <c r="E574" t="s">
        <v>62</v>
      </c>
      <c r="F574" t="s">
        <v>388</v>
      </c>
      <c r="G574">
        <f>(O574/(N574+O574+P574))*100</f>
        <v>1.5082956259426847</v>
      </c>
      <c r="H574">
        <f>(P574/(O574+P574+N574))*100</f>
        <v>0.90497737556561098</v>
      </c>
      <c r="I574">
        <v>2.41</v>
      </c>
      <c r="J574">
        <f>(N574/(P574+O574+N574))*100</f>
        <v>97.586726998491699</v>
      </c>
      <c r="K574">
        <v>0.7</v>
      </c>
      <c r="L574">
        <v>0.3</v>
      </c>
      <c r="M574">
        <v>0.7</v>
      </c>
      <c r="N574">
        <v>647</v>
      </c>
      <c r="O574">
        <v>10</v>
      </c>
      <c r="P574">
        <v>6</v>
      </c>
      <c r="Q574">
        <v>2.41</v>
      </c>
      <c r="R574" t="s">
        <v>342</v>
      </c>
      <c r="S574">
        <v>2.4500000000000002</v>
      </c>
      <c r="T574">
        <v>3.64</v>
      </c>
      <c r="U574">
        <v>11</v>
      </c>
    </row>
    <row r="575" spans="1:21" x14ac:dyDescent="0.25">
      <c r="A575" s="2">
        <v>45324.962638888886</v>
      </c>
      <c r="B575" t="s">
        <v>309</v>
      </c>
      <c r="C575" t="s">
        <v>368</v>
      </c>
      <c r="D575">
        <v>2</v>
      </c>
      <c r="E575" t="s">
        <v>62</v>
      </c>
      <c r="F575" t="s">
        <v>388</v>
      </c>
      <c r="G575">
        <f>(O575/(N575+O575+P575))*100</f>
        <v>3.877221324717286</v>
      </c>
      <c r="H575">
        <f>(P575/(O575+P575+N575))*100</f>
        <v>0</v>
      </c>
      <c r="I575">
        <v>3.88</v>
      </c>
      <c r="J575">
        <f>(N575/(P575+O575+N575))*100</f>
        <v>96.122778675282717</v>
      </c>
      <c r="K575">
        <v>0.8</v>
      </c>
      <c r="L575">
        <v>0.3</v>
      </c>
      <c r="M575">
        <v>0.7</v>
      </c>
      <c r="N575">
        <v>595</v>
      </c>
      <c r="O575">
        <v>24</v>
      </c>
      <c r="P575">
        <v>0</v>
      </c>
      <c r="Q575">
        <v>3.88</v>
      </c>
      <c r="R575" t="s">
        <v>284</v>
      </c>
      <c r="S575">
        <v>0.13</v>
      </c>
      <c r="T575">
        <v>0.15</v>
      </c>
    </row>
    <row r="576" spans="1:21" x14ac:dyDescent="0.25">
      <c r="A576" t="s">
        <v>19</v>
      </c>
      <c r="B576" t="s">
        <v>20</v>
      </c>
      <c r="C576" t="s">
        <v>306</v>
      </c>
      <c r="D576">
        <v>3</v>
      </c>
      <c r="E576" t="s">
        <v>63</v>
      </c>
      <c r="F576" t="s">
        <v>373</v>
      </c>
      <c r="G576">
        <v>40</v>
      </c>
      <c r="H576">
        <v>0</v>
      </c>
      <c r="I576">
        <f>G576+H576</f>
        <v>40</v>
      </c>
      <c r="J576">
        <f>100-G576-H576</f>
        <v>60</v>
      </c>
      <c r="K576" t="s">
        <v>19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  <c r="Q576">
        <f>I576</f>
        <v>40</v>
      </c>
      <c r="R576" t="s">
        <v>19</v>
      </c>
      <c r="S576" t="s">
        <v>19</v>
      </c>
      <c r="T576" t="s">
        <v>19</v>
      </c>
    </row>
    <row r="577" spans="1:21" x14ac:dyDescent="0.25">
      <c r="A577" t="s">
        <v>19</v>
      </c>
      <c r="B577" t="s">
        <v>20</v>
      </c>
      <c r="C577" t="s">
        <v>308</v>
      </c>
      <c r="D577">
        <v>3</v>
      </c>
      <c r="E577" t="s">
        <v>63</v>
      </c>
      <c r="F577" t="s">
        <v>373</v>
      </c>
      <c r="G577">
        <v>35</v>
      </c>
      <c r="H577">
        <v>5</v>
      </c>
      <c r="I577">
        <f>G577+H577</f>
        <v>40</v>
      </c>
      <c r="J577">
        <f>100-G577-H577</f>
        <v>60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  <c r="P577" t="s">
        <v>19</v>
      </c>
      <c r="Q577">
        <f>I577</f>
        <v>40</v>
      </c>
      <c r="R577" t="s">
        <v>19</v>
      </c>
      <c r="S577" t="s">
        <v>19</v>
      </c>
      <c r="T577" t="s">
        <v>19</v>
      </c>
    </row>
    <row r="578" spans="1:21" x14ac:dyDescent="0.25">
      <c r="A578" t="s">
        <v>19</v>
      </c>
      <c r="B578" t="s">
        <v>20</v>
      </c>
      <c r="C578" t="s">
        <v>22</v>
      </c>
      <c r="D578">
        <v>3</v>
      </c>
      <c r="E578" t="s">
        <v>63</v>
      </c>
      <c r="F578" t="s">
        <v>373</v>
      </c>
      <c r="G578">
        <v>20</v>
      </c>
      <c r="H578">
        <v>0</v>
      </c>
      <c r="I578">
        <f>G578+H578</f>
        <v>20</v>
      </c>
      <c r="J578">
        <f>100-G578-H578</f>
        <v>80</v>
      </c>
      <c r="K578" t="s">
        <v>19</v>
      </c>
      <c r="L578" t="s">
        <v>19</v>
      </c>
      <c r="M578" t="s">
        <v>19</v>
      </c>
      <c r="N578" t="s">
        <v>19</v>
      </c>
      <c r="O578" t="s">
        <v>19</v>
      </c>
      <c r="P578" t="s">
        <v>19</v>
      </c>
      <c r="Q578">
        <f>I578</f>
        <v>20</v>
      </c>
      <c r="R578" t="s">
        <v>19</v>
      </c>
      <c r="S578" t="s">
        <v>19</v>
      </c>
      <c r="T578" t="s">
        <v>19</v>
      </c>
    </row>
    <row r="579" spans="1:21" x14ac:dyDescent="0.25">
      <c r="A579" t="s">
        <v>19</v>
      </c>
      <c r="B579" t="s">
        <v>20</v>
      </c>
      <c r="C579" t="s">
        <v>305</v>
      </c>
      <c r="D579">
        <v>3</v>
      </c>
      <c r="E579" t="s">
        <v>63</v>
      </c>
      <c r="F579" t="s">
        <v>373</v>
      </c>
      <c r="G579">
        <v>20</v>
      </c>
      <c r="H579">
        <v>0</v>
      </c>
      <c r="I579">
        <f>G579+H579</f>
        <v>20</v>
      </c>
      <c r="J579">
        <f>100-G579-H579</f>
        <v>80</v>
      </c>
      <c r="K579" t="s">
        <v>19</v>
      </c>
      <c r="L579" t="s">
        <v>19</v>
      </c>
      <c r="M579" t="s">
        <v>19</v>
      </c>
      <c r="N579" t="s">
        <v>19</v>
      </c>
      <c r="O579" t="s">
        <v>19</v>
      </c>
      <c r="P579" t="s">
        <v>19</v>
      </c>
      <c r="Q579">
        <f>I579</f>
        <v>20</v>
      </c>
      <c r="R579" t="s">
        <v>19</v>
      </c>
      <c r="S579" t="s">
        <v>19</v>
      </c>
      <c r="T579" t="s">
        <v>19</v>
      </c>
    </row>
    <row r="580" spans="1:21" x14ac:dyDescent="0.25">
      <c r="A580" t="s">
        <v>19</v>
      </c>
      <c r="B580" t="s">
        <v>20</v>
      </c>
      <c r="C580" t="s">
        <v>307</v>
      </c>
      <c r="D580">
        <v>3</v>
      </c>
      <c r="E580" t="s">
        <v>63</v>
      </c>
      <c r="F580" t="s">
        <v>373</v>
      </c>
      <c r="G580">
        <v>10</v>
      </c>
      <c r="H580">
        <v>2</v>
      </c>
      <c r="I580">
        <f>G580+H580</f>
        <v>12</v>
      </c>
      <c r="J580">
        <f>100-G580-H580</f>
        <v>88</v>
      </c>
      <c r="K580" t="s">
        <v>19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  <c r="Q580">
        <f>I580</f>
        <v>12</v>
      </c>
      <c r="R580" t="s">
        <v>19</v>
      </c>
      <c r="S580" t="s">
        <v>19</v>
      </c>
      <c r="T580" t="s">
        <v>19</v>
      </c>
    </row>
    <row r="581" spans="1:21" x14ac:dyDescent="0.25">
      <c r="A581" s="2">
        <v>45253.700694444444</v>
      </c>
      <c r="B581" t="s">
        <v>309</v>
      </c>
      <c r="C581" t="s">
        <v>213</v>
      </c>
      <c r="D581">
        <v>3</v>
      </c>
      <c r="E581" t="s">
        <v>63</v>
      </c>
      <c r="F581" t="s">
        <v>373</v>
      </c>
      <c r="G581">
        <v>26.492537309999999</v>
      </c>
      <c r="H581">
        <v>0.55970149300000005</v>
      </c>
      <c r="I581">
        <v>27.052238809999999</v>
      </c>
      <c r="J581">
        <v>72.947761189999994</v>
      </c>
      <c r="K581">
        <v>0.8</v>
      </c>
      <c r="L581">
        <v>0.2</v>
      </c>
      <c r="M581">
        <v>0.7</v>
      </c>
      <c r="N581">
        <v>391</v>
      </c>
      <c r="O581">
        <v>142</v>
      </c>
      <c r="P581">
        <v>3</v>
      </c>
      <c r="Q581">
        <v>27.05</v>
      </c>
      <c r="R581" t="s">
        <v>236</v>
      </c>
      <c r="S581">
        <v>3</v>
      </c>
      <c r="T581">
        <v>3.69</v>
      </c>
    </row>
    <row r="582" spans="1:21" x14ac:dyDescent="0.25">
      <c r="A582" s="2">
        <v>45253.919444444444</v>
      </c>
      <c r="B582" t="s">
        <v>309</v>
      </c>
      <c r="C582" t="s">
        <v>215</v>
      </c>
      <c r="D582">
        <v>2</v>
      </c>
      <c r="E582" t="s">
        <v>63</v>
      </c>
      <c r="F582" t="s">
        <v>373</v>
      </c>
      <c r="G582">
        <v>3.2761310450000001</v>
      </c>
      <c r="H582">
        <v>0</v>
      </c>
      <c r="I582">
        <v>3.2761310450000001</v>
      </c>
      <c r="J582">
        <v>96.723868949999996</v>
      </c>
      <c r="K582">
        <v>0.8</v>
      </c>
      <c r="L582">
        <v>0.2</v>
      </c>
      <c r="M582">
        <v>0.7</v>
      </c>
      <c r="N582">
        <v>620</v>
      </c>
      <c r="O582">
        <v>21</v>
      </c>
      <c r="P582">
        <v>0</v>
      </c>
      <c r="Q582">
        <v>3.28</v>
      </c>
      <c r="R582" t="s">
        <v>243</v>
      </c>
      <c r="S582">
        <v>0.16</v>
      </c>
      <c r="T582">
        <v>0.16</v>
      </c>
    </row>
    <row r="583" spans="1:21" x14ac:dyDescent="0.25">
      <c r="A583" s="2">
        <v>45254.093055555553</v>
      </c>
      <c r="B583" t="s">
        <v>309</v>
      </c>
      <c r="C583" t="s">
        <v>217</v>
      </c>
      <c r="D583">
        <v>2</v>
      </c>
      <c r="E583" t="s">
        <v>63</v>
      </c>
      <c r="F583" t="s">
        <v>373</v>
      </c>
      <c r="G583">
        <v>4.1979010490000004</v>
      </c>
      <c r="H583">
        <v>0</v>
      </c>
      <c r="I583">
        <v>4.1979010490000004</v>
      </c>
      <c r="J583">
        <v>95.802098950000001</v>
      </c>
      <c r="K583">
        <v>0.8</v>
      </c>
      <c r="L583">
        <v>0.2</v>
      </c>
      <c r="M583">
        <v>0.7</v>
      </c>
      <c r="N583">
        <v>639</v>
      </c>
      <c r="O583">
        <v>28</v>
      </c>
      <c r="P583">
        <v>0</v>
      </c>
      <c r="Q583">
        <v>4.2</v>
      </c>
      <c r="R583" t="s">
        <v>231</v>
      </c>
      <c r="S583">
        <v>0.14000000000000001</v>
      </c>
      <c r="T583">
        <v>0.15</v>
      </c>
    </row>
    <row r="584" spans="1:21" x14ac:dyDescent="0.25">
      <c r="A584" s="2">
        <v>45316.429861111108</v>
      </c>
      <c r="B584" t="s">
        <v>309</v>
      </c>
      <c r="C584" t="s">
        <v>219</v>
      </c>
      <c r="D584">
        <v>3</v>
      </c>
      <c r="E584" t="s">
        <v>63</v>
      </c>
      <c r="F584" t="s">
        <v>373</v>
      </c>
      <c r="G584">
        <v>24.430641820000002</v>
      </c>
      <c r="H584">
        <v>0.62111801200000005</v>
      </c>
      <c r="I584">
        <v>25.051759830000002</v>
      </c>
      <c r="J584">
        <v>74.948240170000005</v>
      </c>
      <c r="K584">
        <v>0.8</v>
      </c>
      <c r="L584">
        <v>0.2</v>
      </c>
      <c r="M584">
        <v>0.7</v>
      </c>
      <c r="N584">
        <v>362</v>
      </c>
      <c r="O584">
        <v>118</v>
      </c>
      <c r="P584">
        <v>3</v>
      </c>
      <c r="Q584">
        <v>25.05</v>
      </c>
      <c r="R584" t="s">
        <v>227</v>
      </c>
      <c r="S584">
        <v>3.26</v>
      </c>
      <c r="T584">
        <v>4.92</v>
      </c>
    </row>
    <row r="585" spans="1:21" x14ac:dyDescent="0.25">
      <c r="A585" s="2">
        <v>45320.950694444444</v>
      </c>
      <c r="B585" t="s">
        <v>309</v>
      </c>
      <c r="C585" t="s">
        <v>221</v>
      </c>
      <c r="D585">
        <v>2</v>
      </c>
      <c r="E585" t="s">
        <v>63</v>
      </c>
      <c r="F585" t="s">
        <v>373</v>
      </c>
      <c r="G585">
        <v>37.342908440000002</v>
      </c>
      <c r="H585">
        <v>0</v>
      </c>
      <c r="I585">
        <v>37.342908440000002</v>
      </c>
      <c r="J585">
        <v>62.657091559999998</v>
      </c>
      <c r="K585">
        <v>0.8</v>
      </c>
      <c r="L585">
        <v>0.3</v>
      </c>
      <c r="M585">
        <v>0.7</v>
      </c>
      <c r="N585">
        <v>349</v>
      </c>
      <c r="O585">
        <v>208</v>
      </c>
      <c r="P585">
        <v>0</v>
      </c>
      <c r="Q585">
        <v>37.340000000000003</v>
      </c>
      <c r="R585" t="s">
        <v>267</v>
      </c>
      <c r="S585">
        <v>1.1299999999999999</v>
      </c>
      <c r="T585">
        <v>1.22</v>
      </c>
    </row>
    <row r="586" spans="1:21" x14ac:dyDescent="0.25">
      <c r="A586" t="s">
        <v>19</v>
      </c>
      <c r="B586" t="s">
        <v>20</v>
      </c>
      <c r="C586" t="s">
        <v>320</v>
      </c>
      <c r="D586">
        <v>3</v>
      </c>
      <c r="E586" t="s">
        <v>63</v>
      </c>
      <c r="F586" t="s">
        <v>373</v>
      </c>
      <c r="G586">
        <v>40</v>
      </c>
      <c r="H586">
        <v>0</v>
      </c>
      <c r="I586">
        <f>100-J586</f>
        <v>40</v>
      </c>
      <c r="J586">
        <f>100-G586-H586</f>
        <v>60</v>
      </c>
      <c r="K586" t="s">
        <v>19</v>
      </c>
      <c r="L586" t="s">
        <v>19</v>
      </c>
      <c r="M586" t="s">
        <v>19</v>
      </c>
      <c r="N586" t="s">
        <v>19</v>
      </c>
      <c r="O586" t="s">
        <v>19</v>
      </c>
      <c r="P586" t="s">
        <v>19</v>
      </c>
      <c r="Q586">
        <f>I586</f>
        <v>40</v>
      </c>
      <c r="R586" t="s">
        <v>19</v>
      </c>
      <c r="S586" t="s">
        <v>19</v>
      </c>
      <c r="T586" t="s">
        <v>19</v>
      </c>
    </row>
    <row r="587" spans="1:21" x14ac:dyDescent="0.25">
      <c r="A587" s="2">
        <v>45323.543275462966</v>
      </c>
      <c r="B587" t="s">
        <v>309</v>
      </c>
      <c r="C587" t="s">
        <v>322</v>
      </c>
      <c r="D587">
        <v>3</v>
      </c>
      <c r="E587" t="s">
        <v>63</v>
      </c>
      <c r="F587" t="s">
        <v>373</v>
      </c>
      <c r="G587">
        <f>(O587/(N587+O587+P587))*100</f>
        <v>30.636833046471601</v>
      </c>
      <c r="H587">
        <f>(P587/(O587+P587+N587))*100</f>
        <v>0.34423407917383825</v>
      </c>
      <c r="I587">
        <f>((O587+P587)/(P587+O587+N587))*100</f>
        <v>30.981067125645438</v>
      </c>
      <c r="J587">
        <f>(N587/(P587+O587+N587))*100</f>
        <v>69.018932874354562</v>
      </c>
      <c r="K587">
        <v>0.8</v>
      </c>
      <c r="L587">
        <v>0.3</v>
      </c>
      <c r="M587">
        <v>0.7</v>
      </c>
      <c r="N587">
        <v>401</v>
      </c>
      <c r="O587">
        <v>178</v>
      </c>
      <c r="P587">
        <v>2</v>
      </c>
      <c r="Q587">
        <v>30.98</v>
      </c>
      <c r="R587" t="s">
        <v>339</v>
      </c>
      <c r="S587">
        <v>2.89</v>
      </c>
      <c r="T587">
        <v>3.46</v>
      </c>
      <c r="U587">
        <v>78</v>
      </c>
    </row>
    <row r="588" spans="1:21" x14ac:dyDescent="0.25">
      <c r="A588" s="2">
        <v>45323.545092592591</v>
      </c>
      <c r="B588" t="s">
        <v>309</v>
      </c>
      <c r="C588" t="s">
        <v>322</v>
      </c>
      <c r="D588">
        <v>3</v>
      </c>
      <c r="E588" t="s">
        <v>63</v>
      </c>
      <c r="F588" t="s">
        <v>373</v>
      </c>
      <c r="G588">
        <f>(O588/(N588+O588+P588))*100</f>
        <v>32.945091514143094</v>
      </c>
      <c r="H588">
        <f>(P588/(O588+P588+N588))*100</f>
        <v>0.33277870216306155</v>
      </c>
      <c r="I588">
        <f>((O588+P588)/(P588+O588+N588))*100</f>
        <v>33.277870216306155</v>
      </c>
      <c r="J588">
        <f>(N588/(P588+O588+N588))*100</f>
        <v>66.722129783693845</v>
      </c>
      <c r="K588">
        <v>0.7</v>
      </c>
      <c r="L588">
        <v>0.3</v>
      </c>
      <c r="M588">
        <v>0.7</v>
      </c>
      <c r="N588">
        <v>401</v>
      </c>
      <c r="O588">
        <v>198</v>
      </c>
      <c r="P588">
        <v>2</v>
      </c>
      <c r="Q588">
        <v>33.28</v>
      </c>
      <c r="R588" t="s">
        <v>341</v>
      </c>
      <c r="S588">
        <v>2.89</v>
      </c>
      <c r="T588">
        <v>3.46</v>
      </c>
      <c r="U588">
        <v>58</v>
      </c>
    </row>
    <row r="589" spans="1:21" x14ac:dyDescent="0.25">
      <c r="A589" s="2">
        <v>45325.11959490741</v>
      </c>
      <c r="B589" t="s">
        <v>309</v>
      </c>
      <c r="C589" t="s">
        <v>368</v>
      </c>
      <c r="D589">
        <v>2</v>
      </c>
      <c r="E589" t="s">
        <v>63</v>
      </c>
      <c r="F589" t="s">
        <v>373</v>
      </c>
      <c r="G589">
        <f>(O589/(N589+O589+P589))*100</f>
        <v>46.572580645161288</v>
      </c>
      <c r="H589">
        <f>(P589/(O589+P589+N589))*100</f>
        <v>0</v>
      </c>
      <c r="I589">
        <v>46.57</v>
      </c>
      <c r="J589">
        <f>(N589/(P589+O589+N589))*100</f>
        <v>53.427419354838712</v>
      </c>
      <c r="K589">
        <v>0.8</v>
      </c>
      <c r="L589">
        <v>0.3</v>
      </c>
      <c r="M589">
        <v>0.7</v>
      </c>
      <c r="N589">
        <v>265</v>
      </c>
      <c r="O589">
        <v>231</v>
      </c>
      <c r="P589">
        <v>0</v>
      </c>
      <c r="Q589">
        <v>46.57</v>
      </c>
      <c r="R589" t="s">
        <v>347</v>
      </c>
      <c r="S589">
        <v>1.24</v>
      </c>
      <c r="T589">
        <v>1.3</v>
      </c>
    </row>
    <row r="590" spans="1:21" x14ac:dyDescent="0.25">
      <c r="A590" t="s">
        <v>19</v>
      </c>
      <c r="B590" t="s">
        <v>20</v>
      </c>
      <c r="C590" t="s">
        <v>306</v>
      </c>
      <c r="D590">
        <v>3</v>
      </c>
      <c r="E590" t="s">
        <v>64</v>
      </c>
      <c r="F590" t="s">
        <v>373</v>
      </c>
      <c r="G590">
        <v>8</v>
      </c>
      <c r="H590">
        <v>0</v>
      </c>
      <c r="I590">
        <f>G590+H590</f>
        <v>8</v>
      </c>
      <c r="J590">
        <f>100-G590-H590</f>
        <v>92</v>
      </c>
      <c r="K590" t="s">
        <v>19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  <c r="Q590">
        <f>I590</f>
        <v>8</v>
      </c>
      <c r="R590" t="s">
        <v>19</v>
      </c>
      <c r="S590" t="s">
        <v>19</v>
      </c>
      <c r="T590" t="s">
        <v>19</v>
      </c>
    </row>
    <row r="591" spans="1:21" x14ac:dyDescent="0.25">
      <c r="A591" t="s">
        <v>19</v>
      </c>
      <c r="B591" t="s">
        <v>20</v>
      </c>
      <c r="C591" t="s">
        <v>308</v>
      </c>
      <c r="D591">
        <v>3</v>
      </c>
      <c r="E591" t="s">
        <v>64</v>
      </c>
      <c r="F591" t="s">
        <v>373</v>
      </c>
      <c r="G591">
        <v>10</v>
      </c>
      <c r="H591">
        <v>0</v>
      </c>
      <c r="I591">
        <f>G591+H591</f>
        <v>10</v>
      </c>
      <c r="J591">
        <f>100-G591-H591</f>
        <v>90</v>
      </c>
      <c r="K591" t="s">
        <v>19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  <c r="Q591">
        <f>I591</f>
        <v>10</v>
      </c>
      <c r="R591" t="s">
        <v>19</v>
      </c>
      <c r="S591" t="s">
        <v>19</v>
      </c>
      <c r="T591" t="s">
        <v>19</v>
      </c>
    </row>
    <row r="592" spans="1:21" x14ac:dyDescent="0.25">
      <c r="A592" t="s">
        <v>19</v>
      </c>
      <c r="B592" t="s">
        <v>20</v>
      </c>
      <c r="C592" t="s">
        <v>22</v>
      </c>
      <c r="D592">
        <v>3</v>
      </c>
      <c r="E592" t="s">
        <v>64</v>
      </c>
      <c r="F592" t="s">
        <v>373</v>
      </c>
      <c r="G592">
        <v>10</v>
      </c>
      <c r="H592">
        <v>0</v>
      </c>
      <c r="I592">
        <f>G592+H592</f>
        <v>10</v>
      </c>
      <c r="J592">
        <f>100-G592-H592</f>
        <v>90</v>
      </c>
      <c r="K592" t="s">
        <v>19</v>
      </c>
      <c r="L592" t="s">
        <v>19</v>
      </c>
      <c r="M592" t="s">
        <v>19</v>
      </c>
      <c r="N592" t="s">
        <v>19</v>
      </c>
      <c r="O592" t="s">
        <v>19</v>
      </c>
      <c r="P592" t="s">
        <v>19</v>
      </c>
      <c r="Q592">
        <f>I592</f>
        <v>10</v>
      </c>
      <c r="R592" t="s">
        <v>19</v>
      </c>
      <c r="S592" t="s">
        <v>19</v>
      </c>
      <c r="T592" t="s">
        <v>19</v>
      </c>
    </row>
    <row r="593" spans="1:21" x14ac:dyDescent="0.25">
      <c r="A593" t="s">
        <v>19</v>
      </c>
      <c r="B593" t="s">
        <v>20</v>
      </c>
      <c r="C593" t="s">
        <v>305</v>
      </c>
      <c r="D593">
        <v>3</v>
      </c>
      <c r="E593" t="s">
        <v>64</v>
      </c>
      <c r="F593" t="s">
        <v>373</v>
      </c>
      <c r="G593">
        <v>3</v>
      </c>
      <c r="H593">
        <v>0</v>
      </c>
      <c r="I593">
        <f>G593+H593</f>
        <v>3</v>
      </c>
      <c r="J593">
        <f>100-G593-H593</f>
        <v>97</v>
      </c>
      <c r="K593" t="s">
        <v>19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  <c r="Q593">
        <f>I593</f>
        <v>3</v>
      </c>
      <c r="R593" t="s">
        <v>19</v>
      </c>
      <c r="S593" t="s">
        <v>19</v>
      </c>
      <c r="T593" t="s">
        <v>19</v>
      </c>
    </row>
    <row r="594" spans="1:21" x14ac:dyDescent="0.25">
      <c r="A594" t="s">
        <v>19</v>
      </c>
      <c r="B594" t="s">
        <v>20</v>
      </c>
      <c r="C594" t="s">
        <v>307</v>
      </c>
      <c r="D594">
        <v>3</v>
      </c>
      <c r="E594" t="s">
        <v>64</v>
      </c>
      <c r="F594" t="s">
        <v>373</v>
      </c>
      <c r="G594">
        <v>3</v>
      </c>
      <c r="H594">
        <v>0</v>
      </c>
      <c r="I594">
        <f>G594+H594</f>
        <v>3</v>
      </c>
      <c r="J594">
        <f>100-G594-H594</f>
        <v>97</v>
      </c>
      <c r="K594" t="s">
        <v>19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  <c r="Q594">
        <f>I594</f>
        <v>3</v>
      </c>
      <c r="R594" t="s">
        <v>19</v>
      </c>
      <c r="S594" t="s">
        <v>19</v>
      </c>
      <c r="T594" t="s">
        <v>19</v>
      </c>
    </row>
    <row r="595" spans="1:21" x14ac:dyDescent="0.25">
      <c r="A595" s="2">
        <v>45253.70208333333</v>
      </c>
      <c r="B595" t="s">
        <v>309</v>
      </c>
      <c r="C595" t="s">
        <v>213</v>
      </c>
      <c r="D595">
        <v>3</v>
      </c>
      <c r="E595" t="s">
        <v>64</v>
      </c>
      <c r="F595" t="s">
        <v>373</v>
      </c>
      <c r="G595">
        <v>8.6486486490000001</v>
      </c>
      <c r="H595">
        <v>1.081081081</v>
      </c>
      <c r="I595">
        <v>9.7297297300000007</v>
      </c>
      <c r="J595">
        <v>90.270270269999997</v>
      </c>
      <c r="K595">
        <v>0.8</v>
      </c>
      <c r="L595">
        <v>0.2</v>
      </c>
      <c r="M595">
        <v>0.7</v>
      </c>
      <c r="N595">
        <v>334</v>
      </c>
      <c r="O595">
        <v>32</v>
      </c>
      <c r="P595">
        <v>4</v>
      </c>
      <c r="Q595">
        <v>9.73</v>
      </c>
      <c r="R595" t="s">
        <v>268</v>
      </c>
      <c r="S595">
        <v>3</v>
      </c>
      <c r="T595">
        <v>3.26</v>
      </c>
    </row>
    <row r="596" spans="1:21" x14ac:dyDescent="0.25">
      <c r="A596" s="2">
        <v>45253.920138888891</v>
      </c>
      <c r="B596" t="s">
        <v>309</v>
      </c>
      <c r="C596" t="s">
        <v>215</v>
      </c>
      <c r="D596">
        <v>2</v>
      </c>
      <c r="E596" t="s">
        <v>64</v>
      </c>
      <c r="F596" t="s">
        <v>373</v>
      </c>
      <c r="G596">
        <v>2.2540983610000001</v>
      </c>
      <c r="H596">
        <v>0</v>
      </c>
      <c r="I596">
        <v>2.2540983610000001</v>
      </c>
      <c r="J596">
        <v>97.74590164</v>
      </c>
      <c r="K596">
        <v>0.8</v>
      </c>
      <c r="L596">
        <v>0.2</v>
      </c>
      <c r="M596">
        <v>0.7</v>
      </c>
      <c r="N596">
        <v>477</v>
      </c>
      <c r="O596">
        <v>11</v>
      </c>
      <c r="P596">
        <v>0</v>
      </c>
      <c r="Q596">
        <v>2.25</v>
      </c>
      <c r="R596" t="s">
        <v>257</v>
      </c>
      <c r="S596">
        <v>7.0000000000000007E-2</v>
      </c>
      <c r="T596">
        <v>0.08</v>
      </c>
    </row>
    <row r="597" spans="1:21" x14ac:dyDescent="0.25">
      <c r="A597" s="2">
        <v>45254.09375</v>
      </c>
      <c r="B597" t="s">
        <v>309</v>
      </c>
      <c r="C597" t="s">
        <v>217</v>
      </c>
      <c r="D597">
        <v>2</v>
      </c>
      <c r="E597" t="s">
        <v>64</v>
      </c>
      <c r="F597" t="s">
        <v>373</v>
      </c>
      <c r="G597">
        <v>5.0108932460000002</v>
      </c>
      <c r="H597">
        <v>0</v>
      </c>
      <c r="I597">
        <v>5.0108932460000002</v>
      </c>
      <c r="J597">
        <v>94.989106750000005</v>
      </c>
      <c r="K597">
        <v>0.8</v>
      </c>
      <c r="L597">
        <v>0.2</v>
      </c>
      <c r="M597">
        <v>0.7</v>
      </c>
      <c r="N597">
        <v>436</v>
      </c>
      <c r="O597">
        <v>23</v>
      </c>
      <c r="P597">
        <v>0</v>
      </c>
      <c r="Q597">
        <v>5.01</v>
      </c>
      <c r="R597" t="s">
        <v>216</v>
      </c>
      <c r="S597">
        <v>0.17</v>
      </c>
      <c r="T597">
        <v>0.17</v>
      </c>
    </row>
    <row r="598" spans="1:21" x14ac:dyDescent="0.25">
      <c r="A598" s="2">
        <v>45316.430555555555</v>
      </c>
      <c r="B598" t="s">
        <v>309</v>
      </c>
      <c r="C598" t="s">
        <v>219</v>
      </c>
      <c r="D598">
        <v>3</v>
      </c>
      <c r="E598" t="s">
        <v>64</v>
      </c>
      <c r="F598" t="s">
        <v>373</v>
      </c>
      <c r="G598">
        <v>3.5573122530000001</v>
      </c>
      <c r="H598">
        <v>0</v>
      </c>
      <c r="I598">
        <v>3.5573122530000001</v>
      </c>
      <c r="J598">
        <v>96.442687750000005</v>
      </c>
      <c r="K598">
        <v>0.8</v>
      </c>
      <c r="L598">
        <v>0.2</v>
      </c>
      <c r="M598">
        <v>0.7</v>
      </c>
      <c r="N598">
        <v>244</v>
      </c>
      <c r="O598">
        <v>9</v>
      </c>
      <c r="P598">
        <v>0</v>
      </c>
      <c r="Q598">
        <v>3.56</v>
      </c>
      <c r="R598" t="s">
        <v>269</v>
      </c>
      <c r="S598">
        <v>3.29</v>
      </c>
      <c r="T598">
        <v>4.62</v>
      </c>
    </row>
    <row r="599" spans="1:21" x14ac:dyDescent="0.25">
      <c r="A599" s="2">
        <v>45320.951388888891</v>
      </c>
      <c r="B599" t="s">
        <v>309</v>
      </c>
      <c r="C599" t="s">
        <v>221</v>
      </c>
      <c r="D599">
        <v>2</v>
      </c>
      <c r="E599" t="s">
        <v>64</v>
      </c>
      <c r="F599" t="s">
        <v>373</v>
      </c>
      <c r="G599">
        <v>5.1886792450000003</v>
      </c>
      <c r="H599">
        <v>0</v>
      </c>
      <c r="I599">
        <v>5.1886792450000003</v>
      </c>
      <c r="J599">
        <v>94.811320749999993</v>
      </c>
      <c r="K599">
        <v>0.8</v>
      </c>
      <c r="L599">
        <v>0.3</v>
      </c>
      <c r="M599">
        <v>0.7</v>
      </c>
      <c r="N599">
        <v>402</v>
      </c>
      <c r="O599">
        <v>22</v>
      </c>
      <c r="P599">
        <v>0</v>
      </c>
      <c r="Q599">
        <v>5.19</v>
      </c>
      <c r="R599" t="s">
        <v>218</v>
      </c>
      <c r="S599">
        <v>0.22</v>
      </c>
      <c r="T599">
        <v>0.24</v>
      </c>
    </row>
    <row r="600" spans="1:21" x14ac:dyDescent="0.25">
      <c r="A600" t="s">
        <v>19</v>
      </c>
      <c r="B600" t="s">
        <v>20</v>
      </c>
      <c r="C600" t="s">
        <v>320</v>
      </c>
      <c r="D600">
        <v>3</v>
      </c>
      <c r="E600" t="s">
        <v>64</v>
      </c>
      <c r="F600" t="s">
        <v>373</v>
      </c>
      <c r="G600">
        <v>0</v>
      </c>
      <c r="H600">
        <v>0</v>
      </c>
      <c r="I600">
        <f>100-J600</f>
        <v>0</v>
      </c>
      <c r="J600">
        <f>100-G600-H600</f>
        <v>100</v>
      </c>
      <c r="K600" t="s">
        <v>19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  <c r="Q600">
        <f>I600</f>
        <v>0</v>
      </c>
      <c r="R600" t="s">
        <v>19</v>
      </c>
      <c r="S600" t="s">
        <v>19</v>
      </c>
      <c r="T600" t="s">
        <v>19</v>
      </c>
    </row>
    <row r="601" spans="1:21" x14ac:dyDescent="0.25">
      <c r="A601" s="2">
        <v>45323.544918981483</v>
      </c>
      <c r="B601" t="s">
        <v>309</v>
      </c>
      <c r="C601" t="s">
        <v>322</v>
      </c>
      <c r="D601">
        <v>3</v>
      </c>
      <c r="E601" t="s">
        <v>64</v>
      </c>
      <c r="F601" t="s">
        <v>373</v>
      </c>
      <c r="G601">
        <f>(O601/(N601+O601+P601))*100</f>
        <v>5.2132701421800949</v>
      </c>
      <c r="H601">
        <f>(P601/(O601+P601+N601))*100</f>
        <v>0</v>
      </c>
      <c r="I601">
        <f>((O601+P601)/(P601+O601+N601))*100</f>
        <v>5.2132701421800949</v>
      </c>
      <c r="J601">
        <f>(N601/(P601+O601+N601))*100</f>
        <v>94.786729857819907</v>
      </c>
      <c r="K601">
        <v>0.8</v>
      </c>
      <c r="L601">
        <v>0.3</v>
      </c>
      <c r="M601">
        <v>0.7</v>
      </c>
      <c r="N601">
        <v>400</v>
      </c>
      <c r="O601">
        <v>22</v>
      </c>
      <c r="P601">
        <v>0</v>
      </c>
      <c r="Q601">
        <v>5.21</v>
      </c>
      <c r="R601" t="s">
        <v>268</v>
      </c>
      <c r="S601">
        <v>2.6</v>
      </c>
      <c r="T601">
        <v>3.14</v>
      </c>
      <c r="U601">
        <v>43</v>
      </c>
    </row>
    <row r="602" spans="1:21" x14ac:dyDescent="0.25">
      <c r="A602" s="2">
        <v>45323.546770833331</v>
      </c>
      <c r="B602" t="s">
        <v>309</v>
      </c>
      <c r="C602" t="s">
        <v>322</v>
      </c>
      <c r="D602">
        <v>3</v>
      </c>
      <c r="E602" t="s">
        <v>64</v>
      </c>
      <c r="F602" t="s">
        <v>373</v>
      </c>
      <c r="G602">
        <f>(O602/(N602+O602+P602))*100</f>
        <v>5.8823529411764701</v>
      </c>
      <c r="H602">
        <f>(P602/(O602+P602+N602))*100</f>
        <v>0</v>
      </c>
      <c r="I602">
        <f>((O602+P602)/(P602+O602+N602))*100</f>
        <v>5.8823529411764701</v>
      </c>
      <c r="J602">
        <f>(N602/(P602+O602+N602))*100</f>
        <v>94.117647058823522</v>
      </c>
      <c r="K602">
        <v>0.7</v>
      </c>
      <c r="L602">
        <v>0.3</v>
      </c>
      <c r="M602">
        <v>0.7</v>
      </c>
      <c r="N602">
        <v>400</v>
      </c>
      <c r="O602">
        <v>25</v>
      </c>
      <c r="P602">
        <v>0</v>
      </c>
      <c r="Q602">
        <v>5.88</v>
      </c>
      <c r="R602" t="s">
        <v>259</v>
      </c>
      <c r="S602">
        <v>2.6</v>
      </c>
      <c r="T602">
        <v>3.14</v>
      </c>
      <c r="U602">
        <v>40</v>
      </c>
    </row>
    <row r="603" spans="1:21" x14ac:dyDescent="0.25">
      <c r="A603" s="2">
        <v>45325.120995370373</v>
      </c>
      <c r="B603" t="s">
        <v>309</v>
      </c>
      <c r="C603" t="s">
        <v>368</v>
      </c>
      <c r="D603">
        <v>2</v>
      </c>
      <c r="E603" t="s">
        <v>64</v>
      </c>
      <c r="F603" t="s">
        <v>373</v>
      </c>
      <c r="G603">
        <f>(O603/(N603+O603+P603))*100</f>
        <v>3.7444933920704844</v>
      </c>
      <c r="H603">
        <f>(P603/(O603+P603+N603))*100</f>
        <v>0</v>
      </c>
      <c r="I603">
        <v>3.74</v>
      </c>
      <c r="J603">
        <f>(N603/(P603+O603+N603))*100</f>
        <v>96.255506607929519</v>
      </c>
      <c r="K603">
        <v>0.8</v>
      </c>
      <c r="L603">
        <v>0.3</v>
      </c>
      <c r="M603">
        <v>0.7</v>
      </c>
      <c r="N603">
        <v>437</v>
      </c>
      <c r="O603">
        <v>17</v>
      </c>
      <c r="P603">
        <v>0</v>
      </c>
      <c r="Q603">
        <v>3.74</v>
      </c>
      <c r="R603" t="s">
        <v>272</v>
      </c>
      <c r="S603">
        <v>0.12</v>
      </c>
      <c r="T603">
        <v>0.13</v>
      </c>
    </row>
    <row r="604" spans="1:21" x14ac:dyDescent="0.25">
      <c r="A604" t="s">
        <v>19</v>
      </c>
      <c r="B604" t="s">
        <v>20</v>
      </c>
      <c r="C604" t="s">
        <v>308</v>
      </c>
      <c r="D604">
        <v>3</v>
      </c>
      <c r="E604" t="s">
        <v>65</v>
      </c>
      <c r="F604" t="s">
        <v>388</v>
      </c>
      <c r="G604">
        <v>4</v>
      </c>
      <c r="H604">
        <v>16</v>
      </c>
      <c r="I604">
        <f>G604+H604</f>
        <v>20</v>
      </c>
      <c r="J604">
        <f>100-G604-H604</f>
        <v>80</v>
      </c>
      <c r="K604" t="s">
        <v>19</v>
      </c>
      <c r="L604" t="s">
        <v>19</v>
      </c>
      <c r="M604" t="s">
        <v>19</v>
      </c>
      <c r="N604" t="s">
        <v>19</v>
      </c>
      <c r="O604" t="s">
        <v>19</v>
      </c>
      <c r="P604" t="s">
        <v>19</v>
      </c>
      <c r="Q604">
        <f>I604</f>
        <v>20</v>
      </c>
      <c r="R604" t="s">
        <v>19</v>
      </c>
      <c r="S604" t="s">
        <v>19</v>
      </c>
      <c r="T604" t="s">
        <v>19</v>
      </c>
    </row>
    <row r="605" spans="1:21" x14ac:dyDescent="0.25">
      <c r="A605" t="s">
        <v>19</v>
      </c>
      <c r="B605" t="s">
        <v>20</v>
      </c>
      <c r="C605" t="s">
        <v>22</v>
      </c>
      <c r="D605">
        <v>3</v>
      </c>
      <c r="E605" t="s">
        <v>65</v>
      </c>
      <c r="F605" t="s">
        <v>388</v>
      </c>
      <c r="G605">
        <v>5</v>
      </c>
      <c r="H605">
        <v>10</v>
      </c>
      <c r="I605">
        <f>G605+H605</f>
        <v>15</v>
      </c>
      <c r="J605">
        <f>100-G605-H605</f>
        <v>85</v>
      </c>
      <c r="K605" t="s">
        <v>19</v>
      </c>
      <c r="L605" t="s">
        <v>19</v>
      </c>
      <c r="M605" t="s">
        <v>19</v>
      </c>
      <c r="N605" t="s">
        <v>19</v>
      </c>
      <c r="O605" t="s">
        <v>19</v>
      </c>
      <c r="P605" t="s">
        <v>19</v>
      </c>
      <c r="Q605">
        <f>I605</f>
        <v>15</v>
      </c>
      <c r="R605" t="s">
        <v>19</v>
      </c>
      <c r="S605" t="s">
        <v>19</v>
      </c>
      <c r="T605" t="s">
        <v>19</v>
      </c>
    </row>
    <row r="606" spans="1:21" x14ac:dyDescent="0.25">
      <c r="A606" t="s">
        <v>19</v>
      </c>
      <c r="B606" t="s">
        <v>20</v>
      </c>
      <c r="C606" t="s">
        <v>305</v>
      </c>
      <c r="D606">
        <v>3</v>
      </c>
      <c r="E606" t="s">
        <v>65</v>
      </c>
      <c r="F606" t="s">
        <v>388</v>
      </c>
      <c r="G606">
        <v>30</v>
      </c>
      <c r="H606">
        <v>20</v>
      </c>
      <c r="I606">
        <f>G606+H606</f>
        <v>50</v>
      </c>
      <c r="J606">
        <f>100-G606-H606</f>
        <v>50</v>
      </c>
      <c r="K606" t="s">
        <v>19</v>
      </c>
      <c r="L606" t="s">
        <v>19</v>
      </c>
      <c r="M606" t="s">
        <v>19</v>
      </c>
      <c r="N606" t="s">
        <v>19</v>
      </c>
      <c r="O606" t="s">
        <v>19</v>
      </c>
      <c r="P606" t="s">
        <v>19</v>
      </c>
      <c r="Q606">
        <f>I606</f>
        <v>50</v>
      </c>
      <c r="R606" t="s">
        <v>19</v>
      </c>
      <c r="S606" t="s">
        <v>19</v>
      </c>
      <c r="T606" t="s">
        <v>19</v>
      </c>
    </row>
    <row r="607" spans="1:21" x14ac:dyDescent="0.25">
      <c r="A607" t="s">
        <v>19</v>
      </c>
      <c r="B607" t="s">
        <v>20</v>
      </c>
      <c r="C607" t="s">
        <v>307</v>
      </c>
      <c r="D607">
        <v>3</v>
      </c>
      <c r="E607" t="s">
        <v>65</v>
      </c>
      <c r="F607" t="s">
        <v>388</v>
      </c>
      <c r="G607">
        <v>2</v>
      </c>
      <c r="H607">
        <v>6</v>
      </c>
      <c r="I607">
        <f>G607+H607</f>
        <v>8</v>
      </c>
      <c r="J607">
        <f>100-G607-H607</f>
        <v>92</v>
      </c>
      <c r="K607" t="s">
        <v>19</v>
      </c>
      <c r="L607" t="s">
        <v>19</v>
      </c>
      <c r="M607" t="s">
        <v>19</v>
      </c>
      <c r="N607" t="s">
        <v>19</v>
      </c>
      <c r="O607" t="s">
        <v>19</v>
      </c>
      <c r="P607" t="s">
        <v>19</v>
      </c>
      <c r="Q607">
        <f>I607</f>
        <v>8</v>
      </c>
      <c r="R607" t="s">
        <v>19</v>
      </c>
      <c r="S607" t="s">
        <v>19</v>
      </c>
      <c r="T607" t="s">
        <v>19</v>
      </c>
    </row>
    <row r="608" spans="1:21" x14ac:dyDescent="0.25">
      <c r="A608" s="2">
        <v>45253.534722222219</v>
      </c>
      <c r="B608" t="s">
        <v>309</v>
      </c>
      <c r="C608" t="s">
        <v>213</v>
      </c>
      <c r="D608">
        <v>3</v>
      </c>
      <c r="E608" t="s">
        <v>65</v>
      </c>
      <c r="F608" t="s">
        <v>388</v>
      </c>
      <c r="G608">
        <v>0.754147813</v>
      </c>
      <c r="H608">
        <v>14.63046757</v>
      </c>
      <c r="I608">
        <v>15.38461538</v>
      </c>
      <c r="J608">
        <v>84.61538462</v>
      </c>
      <c r="K608">
        <v>0.8</v>
      </c>
      <c r="L608">
        <v>0.2</v>
      </c>
      <c r="M608">
        <v>0.7</v>
      </c>
      <c r="N608">
        <v>561</v>
      </c>
      <c r="O608">
        <v>5</v>
      </c>
      <c r="P608">
        <v>97</v>
      </c>
      <c r="Q608">
        <v>15.38</v>
      </c>
      <c r="R608" t="s">
        <v>236</v>
      </c>
      <c r="S608">
        <v>2.7</v>
      </c>
      <c r="T608">
        <v>2.9</v>
      </c>
    </row>
    <row r="609" spans="1:21" x14ac:dyDescent="0.25">
      <c r="A609" s="2">
        <v>45253.830555555556</v>
      </c>
      <c r="B609" t="s">
        <v>309</v>
      </c>
      <c r="C609" t="s">
        <v>215</v>
      </c>
      <c r="D609">
        <v>2</v>
      </c>
      <c r="E609" t="s">
        <v>65</v>
      </c>
      <c r="F609" t="s">
        <v>388</v>
      </c>
      <c r="G609">
        <v>10.014947680000001</v>
      </c>
      <c r="H609">
        <v>0</v>
      </c>
      <c r="I609">
        <v>10.014947680000001</v>
      </c>
      <c r="J609">
        <v>89.985052319999994</v>
      </c>
      <c r="K609">
        <v>0.8</v>
      </c>
      <c r="L609">
        <v>0.2</v>
      </c>
      <c r="M609">
        <v>0.7</v>
      </c>
      <c r="N609">
        <v>602</v>
      </c>
      <c r="O609">
        <v>67</v>
      </c>
      <c r="P609">
        <v>0</v>
      </c>
      <c r="Q609">
        <v>10.01</v>
      </c>
      <c r="R609" t="s">
        <v>227</v>
      </c>
      <c r="S609">
        <v>0.3</v>
      </c>
      <c r="T609">
        <v>0.32</v>
      </c>
    </row>
    <row r="610" spans="1:21" x14ac:dyDescent="0.25">
      <c r="A610" s="2">
        <v>45253.99722222222</v>
      </c>
      <c r="B610" t="s">
        <v>309</v>
      </c>
      <c r="C610" t="s">
        <v>217</v>
      </c>
      <c r="D610">
        <v>2</v>
      </c>
      <c r="E610" t="s">
        <v>65</v>
      </c>
      <c r="F610" t="s">
        <v>388</v>
      </c>
      <c r="G610">
        <v>15.82278481</v>
      </c>
      <c r="H610">
        <v>0</v>
      </c>
      <c r="I610">
        <v>15.82278481</v>
      </c>
      <c r="J610">
        <v>84.177215189999998</v>
      </c>
      <c r="K610">
        <v>0.8</v>
      </c>
      <c r="L610">
        <v>0.2</v>
      </c>
      <c r="M610">
        <v>0.7</v>
      </c>
      <c r="N610">
        <v>532</v>
      </c>
      <c r="O610">
        <v>100</v>
      </c>
      <c r="P610">
        <v>0</v>
      </c>
      <c r="Q610">
        <v>15.82</v>
      </c>
      <c r="R610" t="s">
        <v>235</v>
      </c>
      <c r="S610">
        <v>0.49</v>
      </c>
      <c r="T610">
        <v>0.51</v>
      </c>
    </row>
    <row r="611" spans="1:21" x14ac:dyDescent="0.25">
      <c r="A611" s="2">
        <v>45316.509027777778</v>
      </c>
      <c r="B611" t="s">
        <v>309</v>
      </c>
      <c r="C611" t="s">
        <v>219</v>
      </c>
      <c r="D611">
        <v>3</v>
      </c>
      <c r="E611" t="s">
        <v>65</v>
      </c>
      <c r="F611" t="s">
        <v>388</v>
      </c>
      <c r="G611">
        <v>1.5151515149999999</v>
      </c>
      <c r="H611">
        <v>16.85606061</v>
      </c>
      <c r="I611">
        <v>18.371212119999999</v>
      </c>
      <c r="J611">
        <v>81.628787880000004</v>
      </c>
      <c r="K611">
        <v>0.8</v>
      </c>
      <c r="L611">
        <v>0.2</v>
      </c>
      <c r="M611">
        <v>0.7</v>
      </c>
      <c r="N611">
        <v>431</v>
      </c>
      <c r="O611">
        <v>8</v>
      </c>
      <c r="P611">
        <v>89</v>
      </c>
      <c r="Q611">
        <v>18.37</v>
      </c>
      <c r="R611" t="s">
        <v>220</v>
      </c>
      <c r="S611">
        <v>3.15</v>
      </c>
      <c r="T611">
        <v>4.41</v>
      </c>
    </row>
    <row r="612" spans="1:21" x14ac:dyDescent="0.25">
      <c r="A612" s="2">
        <v>45320.84375</v>
      </c>
      <c r="B612" t="s">
        <v>309</v>
      </c>
      <c r="C612" t="s">
        <v>221</v>
      </c>
      <c r="D612">
        <v>2</v>
      </c>
      <c r="E612" t="s">
        <v>65</v>
      </c>
      <c r="F612" t="s">
        <v>388</v>
      </c>
      <c r="G612">
        <v>25.368248770000001</v>
      </c>
      <c r="H612">
        <v>0</v>
      </c>
      <c r="I612">
        <v>25.368248770000001</v>
      </c>
      <c r="J612">
        <v>74.631751230000006</v>
      </c>
      <c r="K612">
        <v>0.8</v>
      </c>
      <c r="L612">
        <v>0.3</v>
      </c>
      <c r="M612">
        <v>0.7</v>
      </c>
      <c r="N612">
        <v>456</v>
      </c>
      <c r="O612">
        <v>155</v>
      </c>
      <c r="P612">
        <v>0</v>
      </c>
      <c r="Q612">
        <v>25.37</v>
      </c>
      <c r="R612" t="s">
        <v>270</v>
      </c>
      <c r="S612">
        <v>0.73</v>
      </c>
      <c r="T612">
        <v>0.79</v>
      </c>
    </row>
    <row r="613" spans="1:21" x14ac:dyDescent="0.25">
      <c r="A613" t="s">
        <v>19</v>
      </c>
      <c r="B613" t="s">
        <v>20</v>
      </c>
      <c r="C613" t="s">
        <v>306</v>
      </c>
      <c r="D613">
        <v>3</v>
      </c>
      <c r="E613" t="s">
        <v>65</v>
      </c>
      <c r="F613" t="s">
        <v>388</v>
      </c>
      <c r="G613">
        <v>40</v>
      </c>
      <c r="H613">
        <v>15</v>
      </c>
      <c r="I613">
        <v>55</v>
      </c>
      <c r="J613">
        <v>45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  <c r="Q613">
        <f>I613</f>
        <v>55</v>
      </c>
      <c r="R613" t="s">
        <v>19</v>
      </c>
      <c r="S613" t="s">
        <v>19</v>
      </c>
      <c r="T613" t="s">
        <v>19</v>
      </c>
    </row>
    <row r="614" spans="1:21" x14ac:dyDescent="0.25">
      <c r="A614" t="s">
        <v>19</v>
      </c>
      <c r="B614" t="s">
        <v>20</v>
      </c>
      <c r="C614" t="s">
        <v>320</v>
      </c>
      <c r="D614">
        <v>3</v>
      </c>
      <c r="E614" t="s">
        <v>65</v>
      </c>
      <c r="F614" t="s">
        <v>388</v>
      </c>
      <c r="G614">
        <v>0</v>
      </c>
      <c r="H614">
        <v>0</v>
      </c>
      <c r="I614">
        <f>100-J614</f>
        <v>0</v>
      </c>
      <c r="J614">
        <f>100-G614-H614</f>
        <v>100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  <c r="Q614">
        <f>I614</f>
        <v>0</v>
      </c>
      <c r="R614" t="s">
        <v>19</v>
      </c>
      <c r="S614" t="s">
        <v>19</v>
      </c>
      <c r="T614" t="s">
        <v>19</v>
      </c>
    </row>
    <row r="615" spans="1:21" x14ac:dyDescent="0.25">
      <c r="A615" s="2">
        <v>45323.5390162037</v>
      </c>
      <c r="B615" t="s">
        <v>309</v>
      </c>
      <c r="C615" t="s">
        <v>322</v>
      </c>
      <c r="D615">
        <v>3</v>
      </c>
      <c r="E615" t="s">
        <v>65</v>
      </c>
      <c r="F615" t="s">
        <v>388</v>
      </c>
      <c r="G615">
        <f>(O615/(N615+O615+P615))*100</f>
        <v>8.4507042253521121</v>
      </c>
      <c r="H615">
        <f>(P615/(O615+P615+N615))*100</f>
        <v>10.7981220657277</v>
      </c>
      <c r="I615">
        <v>19.25</v>
      </c>
      <c r="J615">
        <f>(N615/(P615+O615+N615))*100</f>
        <v>80.751173708920192</v>
      </c>
      <c r="K615">
        <v>0.8</v>
      </c>
      <c r="L615">
        <v>0.3</v>
      </c>
      <c r="M615">
        <v>0.7</v>
      </c>
      <c r="N615">
        <v>516</v>
      </c>
      <c r="O615">
        <v>54</v>
      </c>
      <c r="P615">
        <v>69</v>
      </c>
      <c r="Q615">
        <v>19.25</v>
      </c>
      <c r="R615" t="s">
        <v>332</v>
      </c>
      <c r="S615">
        <v>2.39</v>
      </c>
      <c r="T615">
        <v>3.25</v>
      </c>
      <c r="U615">
        <v>73</v>
      </c>
    </row>
    <row r="616" spans="1:21" x14ac:dyDescent="0.25">
      <c r="A616" s="2">
        <v>45323.538148148145</v>
      </c>
      <c r="B616" t="s">
        <v>309</v>
      </c>
      <c r="C616" t="s">
        <v>322</v>
      </c>
      <c r="D616">
        <v>3</v>
      </c>
      <c r="E616" t="s">
        <v>65</v>
      </c>
      <c r="F616" t="s">
        <v>388</v>
      </c>
      <c r="G616">
        <f>(O616/(N616+O616+P616))*100</f>
        <v>9.7222222222222232</v>
      </c>
      <c r="H616">
        <f>(P616/(O616+P616+N616))*100</f>
        <v>12.037037037037036</v>
      </c>
      <c r="I616">
        <v>21.76</v>
      </c>
      <c r="J616">
        <f>(N616/(P616+O616+N616))*100</f>
        <v>78.240740740740748</v>
      </c>
      <c r="K616">
        <v>0.7</v>
      </c>
      <c r="L616">
        <v>0.3</v>
      </c>
      <c r="M616">
        <v>0.7</v>
      </c>
      <c r="N616">
        <v>507</v>
      </c>
      <c r="O616">
        <v>63</v>
      </c>
      <c r="P616">
        <v>78</v>
      </c>
      <c r="Q616">
        <v>21.76</v>
      </c>
      <c r="R616" t="s">
        <v>339</v>
      </c>
      <c r="S616">
        <v>2.39</v>
      </c>
      <c r="T616">
        <v>3.25</v>
      </c>
      <c r="U616">
        <v>64</v>
      </c>
    </row>
    <row r="617" spans="1:21" x14ac:dyDescent="0.25">
      <c r="A617" s="2">
        <v>45324.964074074072</v>
      </c>
      <c r="B617" t="s">
        <v>309</v>
      </c>
      <c r="C617" t="s">
        <v>368</v>
      </c>
      <c r="D617">
        <v>2</v>
      </c>
      <c r="E617" t="s">
        <v>65</v>
      </c>
      <c r="F617" t="s">
        <v>388</v>
      </c>
      <c r="G617">
        <f>(O617/(N617+O617+P617))*100</f>
        <v>26.350245499181668</v>
      </c>
      <c r="H617">
        <f>(P617/(O617+P617+N617))*100</f>
        <v>0</v>
      </c>
      <c r="I617">
        <v>26.35</v>
      </c>
      <c r="J617">
        <f>(N617/(P617+O617+N617))*100</f>
        <v>73.649754500818332</v>
      </c>
      <c r="K617">
        <v>0.8</v>
      </c>
      <c r="L617">
        <v>0.3</v>
      </c>
      <c r="M617">
        <v>0.7</v>
      </c>
      <c r="N617">
        <v>450</v>
      </c>
      <c r="O617">
        <v>161</v>
      </c>
      <c r="P617">
        <v>0</v>
      </c>
      <c r="Q617">
        <v>26.35</v>
      </c>
      <c r="R617" t="s">
        <v>253</v>
      </c>
      <c r="S617">
        <v>0.74</v>
      </c>
      <c r="T617">
        <v>0.79</v>
      </c>
    </row>
    <row r="618" spans="1:21" x14ac:dyDescent="0.25">
      <c r="A618" t="s">
        <v>19</v>
      </c>
      <c r="B618" t="s">
        <v>20</v>
      </c>
      <c r="C618" t="s">
        <v>308</v>
      </c>
      <c r="D618">
        <v>3</v>
      </c>
      <c r="E618" t="s">
        <v>66</v>
      </c>
      <c r="F618" t="s">
        <v>388</v>
      </c>
      <c r="G618">
        <v>0</v>
      </c>
      <c r="H618">
        <v>0</v>
      </c>
      <c r="I618">
        <f>G618+H618</f>
        <v>0</v>
      </c>
      <c r="J618">
        <f>100-G618-H618</f>
        <v>100</v>
      </c>
      <c r="K618" t="s">
        <v>19</v>
      </c>
      <c r="L618" t="s">
        <v>19</v>
      </c>
      <c r="M618" t="s">
        <v>19</v>
      </c>
      <c r="N618" t="s">
        <v>19</v>
      </c>
      <c r="O618" t="s">
        <v>19</v>
      </c>
      <c r="P618" t="s">
        <v>19</v>
      </c>
      <c r="Q618">
        <f>I618</f>
        <v>0</v>
      </c>
      <c r="R618" t="s">
        <v>19</v>
      </c>
      <c r="S618" t="s">
        <v>19</v>
      </c>
      <c r="T618" t="s">
        <v>19</v>
      </c>
    </row>
    <row r="619" spans="1:21" x14ac:dyDescent="0.25">
      <c r="A619" t="s">
        <v>19</v>
      </c>
      <c r="B619" t="s">
        <v>20</v>
      </c>
      <c r="C619" t="s">
        <v>22</v>
      </c>
      <c r="D619">
        <v>3</v>
      </c>
      <c r="E619" t="s">
        <v>66</v>
      </c>
      <c r="F619" t="s">
        <v>388</v>
      </c>
      <c r="G619">
        <v>0</v>
      </c>
      <c r="H619">
        <v>0</v>
      </c>
      <c r="I619">
        <f>G619+H619</f>
        <v>0</v>
      </c>
      <c r="J619">
        <f>100-G619-H619</f>
        <v>100</v>
      </c>
      <c r="K619" t="s">
        <v>19</v>
      </c>
      <c r="L619" t="s">
        <v>19</v>
      </c>
      <c r="M619" t="s">
        <v>19</v>
      </c>
      <c r="N619" t="s">
        <v>19</v>
      </c>
      <c r="O619" t="s">
        <v>19</v>
      </c>
      <c r="P619" t="s">
        <v>19</v>
      </c>
      <c r="Q619">
        <f>I619</f>
        <v>0</v>
      </c>
      <c r="R619" t="s">
        <v>19</v>
      </c>
      <c r="S619" t="s">
        <v>19</v>
      </c>
      <c r="T619" t="s">
        <v>19</v>
      </c>
    </row>
    <row r="620" spans="1:21" x14ac:dyDescent="0.25">
      <c r="A620" t="s">
        <v>19</v>
      </c>
      <c r="B620" t="s">
        <v>20</v>
      </c>
      <c r="C620" t="s">
        <v>305</v>
      </c>
      <c r="D620">
        <v>3</v>
      </c>
      <c r="E620" t="s">
        <v>66</v>
      </c>
      <c r="F620" t="s">
        <v>388</v>
      </c>
      <c r="G620">
        <v>0</v>
      </c>
      <c r="H620">
        <v>0</v>
      </c>
      <c r="I620">
        <f>G620+H620</f>
        <v>0</v>
      </c>
      <c r="J620">
        <f>100-G620-H620</f>
        <v>100</v>
      </c>
      <c r="K620" t="s">
        <v>19</v>
      </c>
      <c r="L620" t="s">
        <v>19</v>
      </c>
      <c r="M620" t="s">
        <v>19</v>
      </c>
      <c r="N620" t="s">
        <v>19</v>
      </c>
      <c r="O620" t="s">
        <v>19</v>
      </c>
      <c r="P620" t="s">
        <v>19</v>
      </c>
      <c r="Q620">
        <f>I620</f>
        <v>0</v>
      </c>
      <c r="R620" t="s">
        <v>19</v>
      </c>
      <c r="S620" t="s">
        <v>19</v>
      </c>
      <c r="T620" t="s">
        <v>19</v>
      </c>
    </row>
    <row r="621" spans="1:21" x14ac:dyDescent="0.25">
      <c r="A621" t="s">
        <v>19</v>
      </c>
      <c r="B621" t="s">
        <v>20</v>
      </c>
      <c r="C621" t="s">
        <v>307</v>
      </c>
      <c r="D621">
        <v>3</v>
      </c>
      <c r="E621" t="s">
        <v>66</v>
      </c>
      <c r="F621" t="s">
        <v>388</v>
      </c>
      <c r="G621">
        <v>0</v>
      </c>
      <c r="H621">
        <v>0</v>
      </c>
      <c r="I621">
        <f>G621+H621</f>
        <v>0</v>
      </c>
      <c r="J621">
        <f>100-G621-H621</f>
        <v>100</v>
      </c>
      <c r="K621" t="s">
        <v>19</v>
      </c>
      <c r="L621" t="s">
        <v>19</v>
      </c>
      <c r="M621" t="s">
        <v>19</v>
      </c>
      <c r="N621" t="s">
        <v>19</v>
      </c>
      <c r="O621" t="s">
        <v>19</v>
      </c>
      <c r="P621" t="s">
        <v>19</v>
      </c>
      <c r="Q621">
        <f>I621</f>
        <v>0</v>
      </c>
      <c r="R621" t="s">
        <v>19</v>
      </c>
      <c r="S621" t="s">
        <v>19</v>
      </c>
      <c r="T621" t="s">
        <v>19</v>
      </c>
    </row>
    <row r="622" spans="1:21" x14ac:dyDescent="0.25">
      <c r="A622" s="2">
        <v>45253.536111111112</v>
      </c>
      <c r="B622" t="s">
        <v>309</v>
      </c>
      <c r="C622" t="s">
        <v>213</v>
      </c>
      <c r="D622">
        <v>3</v>
      </c>
      <c r="E622" t="s">
        <v>66</v>
      </c>
      <c r="F622" t="s">
        <v>388</v>
      </c>
      <c r="G622">
        <v>0</v>
      </c>
      <c r="H622">
        <v>0</v>
      </c>
      <c r="I622">
        <v>0</v>
      </c>
      <c r="J622">
        <v>100</v>
      </c>
      <c r="K622">
        <v>0.8</v>
      </c>
      <c r="L622">
        <v>0.2</v>
      </c>
      <c r="M622">
        <v>0.7</v>
      </c>
      <c r="N622">
        <v>738</v>
      </c>
      <c r="O622">
        <v>0</v>
      </c>
      <c r="P622">
        <v>0</v>
      </c>
      <c r="Q622">
        <v>0</v>
      </c>
      <c r="R622" t="s">
        <v>240</v>
      </c>
      <c r="S622">
        <v>2.94</v>
      </c>
      <c r="T622">
        <v>3.51</v>
      </c>
    </row>
    <row r="623" spans="1:21" x14ac:dyDescent="0.25">
      <c r="A623" s="2">
        <v>45253.831250000003</v>
      </c>
      <c r="B623" t="s">
        <v>309</v>
      </c>
      <c r="C623" t="s">
        <v>215</v>
      </c>
      <c r="D623">
        <v>2</v>
      </c>
      <c r="E623" t="s">
        <v>66</v>
      </c>
      <c r="F623" t="s">
        <v>388</v>
      </c>
      <c r="G623">
        <v>0.80106809099999998</v>
      </c>
      <c r="H623">
        <v>0</v>
      </c>
      <c r="I623">
        <v>0.80106809099999998</v>
      </c>
      <c r="J623">
        <v>99.198931909999999</v>
      </c>
      <c r="K623">
        <v>0.8</v>
      </c>
      <c r="L623">
        <v>0.2</v>
      </c>
      <c r="M623">
        <v>0.7</v>
      </c>
      <c r="N623">
        <v>743</v>
      </c>
      <c r="O623">
        <v>6</v>
      </c>
      <c r="P623">
        <v>0</v>
      </c>
      <c r="Q623">
        <v>0.8</v>
      </c>
      <c r="R623" t="s">
        <v>257</v>
      </c>
      <c r="S623">
        <v>0.03</v>
      </c>
      <c r="T623">
        <v>0.03</v>
      </c>
    </row>
    <row r="624" spans="1:21" x14ac:dyDescent="0.25">
      <c r="A624" s="2">
        <v>45253.997916666667</v>
      </c>
      <c r="B624" t="s">
        <v>309</v>
      </c>
      <c r="C624" t="s">
        <v>217</v>
      </c>
      <c r="D624">
        <v>2</v>
      </c>
      <c r="E624" t="s">
        <v>66</v>
      </c>
      <c r="F624" t="s">
        <v>388</v>
      </c>
      <c r="G624">
        <v>1.066666667</v>
      </c>
      <c r="H624">
        <v>0</v>
      </c>
      <c r="I624">
        <v>1.066666667</v>
      </c>
      <c r="J624">
        <v>98.933333329999996</v>
      </c>
      <c r="K624">
        <v>0.8</v>
      </c>
      <c r="L624">
        <v>0.2</v>
      </c>
      <c r="M624">
        <v>0.7</v>
      </c>
      <c r="N624">
        <v>742</v>
      </c>
      <c r="O624">
        <v>8</v>
      </c>
      <c r="P624">
        <v>0</v>
      </c>
      <c r="Q624">
        <v>1.07</v>
      </c>
      <c r="R624" t="s">
        <v>231</v>
      </c>
      <c r="S624">
        <v>0.04</v>
      </c>
      <c r="T624">
        <v>0.04</v>
      </c>
    </row>
    <row r="625" spans="1:21" x14ac:dyDescent="0.25">
      <c r="A625" s="2">
        <v>45316.510416666664</v>
      </c>
      <c r="B625" t="s">
        <v>309</v>
      </c>
      <c r="C625" t="s">
        <v>219</v>
      </c>
      <c r="D625">
        <v>3</v>
      </c>
      <c r="E625" t="s">
        <v>66</v>
      </c>
      <c r="F625" t="s">
        <v>388</v>
      </c>
      <c r="G625">
        <v>0.27777777799999998</v>
      </c>
      <c r="H625">
        <v>0.13888888899999999</v>
      </c>
      <c r="I625">
        <v>0.41666666699999999</v>
      </c>
      <c r="J625">
        <v>99.583333330000002</v>
      </c>
      <c r="K625">
        <v>0.8</v>
      </c>
      <c r="L625">
        <v>0.2</v>
      </c>
      <c r="M625">
        <v>0.7</v>
      </c>
      <c r="N625">
        <v>717</v>
      </c>
      <c r="O625">
        <v>2</v>
      </c>
      <c r="P625">
        <v>1</v>
      </c>
      <c r="Q625">
        <v>0.42</v>
      </c>
      <c r="R625" t="s">
        <v>220</v>
      </c>
      <c r="S625">
        <v>2.98</v>
      </c>
      <c r="T625">
        <v>4.66</v>
      </c>
    </row>
    <row r="626" spans="1:21" x14ac:dyDescent="0.25">
      <c r="A626" s="2">
        <v>45320.845138888886</v>
      </c>
      <c r="B626" t="s">
        <v>309</v>
      </c>
      <c r="C626" t="s">
        <v>221</v>
      </c>
      <c r="D626">
        <v>2</v>
      </c>
      <c r="E626" t="s">
        <v>66</v>
      </c>
      <c r="F626" t="s">
        <v>388</v>
      </c>
      <c r="G626">
        <v>0.59171597600000003</v>
      </c>
      <c r="H626">
        <v>0</v>
      </c>
      <c r="I626">
        <v>0.59171597600000003</v>
      </c>
      <c r="J626">
        <v>99.408284019999996</v>
      </c>
      <c r="K626">
        <v>0.8</v>
      </c>
      <c r="L626">
        <v>0.3</v>
      </c>
      <c r="M626">
        <v>0.7</v>
      </c>
      <c r="N626">
        <v>672</v>
      </c>
      <c r="O626">
        <v>4</v>
      </c>
      <c r="P626">
        <v>0</v>
      </c>
      <c r="Q626">
        <v>0.59</v>
      </c>
      <c r="R626" t="s">
        <v>242</v>
      </c>
      <c r="S626">
        <v>0.08</v>
      </c>
      <c r="T626">
        <v>0.1</v>
      </c>
    </row>
    <row r="627" spans="1:21" x14ac:dyDescent="0.25">
      <c r="A627" t="s">
        <v>19</v>
      </c>
      <c r="B627" t="s">
        <v>20</v>
      </c>
      <c r="C627" t="s">
        <v>306</v>
      </c>
      <c r="D627">
        <v>3</v>
      </c>
      <c r="E627" t="s">
        <v>66</v>
      </c>
      <c r="F627" t="s">
        <v>388</v>
      </c>
      <c r="G627">
        <v>0</v>
      </c>
      <c r="H627">
        <v>0</v>
      </c>
      <c r="I627">
        <f>G627+H627</f>
        <v>0</v>
      </c>
      <c r="J627">
        <f>100-G627-H627</f>
        <v>100</v>
      </c>
      <c r="K627" t="s">
        <v>19</v>
      </c>
      <c r="L627" t="s">
        <v>19</v>
      </c>
      <c r="M627" t="s">
        <v>19</v>
      </c>
      <c r="N627" t="s">
        <v>19</v>
      </c>
      <c r="O627" t="s">
        <v>19</v>
      </c>
      <c r="P627" t="s">
        <v>19</v>
      </c>
      <c r="Q627">
        <f>I627</f>
        <v>0</v>
      </c>
      <c r="R627" t="s">
        <v>19</v>
      </c>
      <c r="S627" t="s">
        <v>19</v>
      </c>
      <c r="T627" t="s">
        <v>19</v>
      </c>
    </row>
    <row r="628" spans="1:21" x14ac:dyDescent="0.25">
      <c r="A628" t="s">
        <v>19</v>
      </c>
      <c r="B628" t="s">
        <v>20</v>
      </c>
      <c r="C628" t="s">
        <v>320</v>
      </c>
      <c r="D628">
        <v>3</v>
      </c>
      <c r="E628" t="s">
        <v>66</v>
      </c>
      <c r="F628" t="s">
        <v>388</v>
      </c>
      <c r="G628">
        <v>0</v>
      </c>
      <c r="H628">
        <v>0</v>
      </c>
      <c r="I628">
        <f>100-J628</f>
        <v>0</v>
      </c>
      <c r="J628">
        <f>100-G628-H628</f>
        <v>100</v>
      </c>
      <c r="K628" t="s">
        <v>19</v>
      </c>
      <c r="L628" t="s">
        <v>19</v>
      </c>
      <c r="M628" t="s">
        <v>19</v>
      </c>
      <c r="N628" t="s">
        <v>19</v>
      </c>
      <c r="O628" t="s">
        <v>19</v>
      </c>
      <c r="P628" t="s">
        <v>19</v>
      </c>
      <c r="Q628">
        <f>I628</f>
        <v>0</v>
      </c>
      <c r="R628" t="s">
        <v>19</v>
      </c>
      <c r="S628" t="s">
        <v>19</v>
      </c>
      <c r="T628" t="s">
        <v>19</v>
      </c>
    </row>
    <row r="629" spans="1:21" x14ac:dyDescent="0.25">
      <c r="A629" s="2">
        <v>45323.540729166663</v>
      </c>
      <c r="B629" t="s">
        <v>309</v>
      </c>
      <c r="C629" t="s">
        <v>322</v>
      </c>
      <c r="D629">
        <v>3</v>
      </c>
      <c r="E629" t="s">
        <v>66</v>
      </c>
      <c r="F629" t="s">
        <v>388</v>
      </c>
      <c r="G629">
        <f>(O629/(N629+O629+P629))*100</f>
        <v>0</v>
      </c>
      <c r="H629">
        <f>(P629/(O629+P629+N629))*100</f>
        <v>0</v>
      </c>
      <c r="I629">
        <v>0</v>
      </c>
      <c r="J629">
        <f>(N629/(P629+O629+N629))*100</f>
        <v>100</v>
      </c>
      <c r="K629">
        <v>0.8</v>
      </c>
      <c r="L629">
        <v>0.3</v>
      </c>
      <c r="M629">
        <v>0.7</v>
      </c>
      <c r="N629">
        <v>698</v>
      </c>
      <c r="O629">
        <v>0</v>
      </c>
      <c r="P629">
        <v>0</v>
      </c>
      <c r="Q629">
        <v>0</v>
      </c>
      <c r="R629" t="s">
        <v>342</v>
      </c>
      <c r="S629">
        <v>2.74</v>
      </c>
      <c r="T629">
        <v>3.06</v>
      </c>
      <c r="U629">
        <v>19</v>
      </c>
    </row>
    <row r="630" spans="1:21" x14ac:dyDescent="0.25">
      <c r="A630" s="2">
        <v>45323.53979166667</v>
      </c>
      <c r="B630" t="s">
        <v>309</v>
      </c>
      <c r="C630" t="s">
        <v>322</v>
      </c>
      <c r="D630">
        <v>3</v>
      </c>
      <c r="E630" t="s">
        <v>66</v>
      </c>
      <c r="F630" t="s">
        <v>388</v>
      </c>
      <c r="G630">
        <f>(O630/(N630+O630+P630))*100</f>
        <v>0.56980056980056981</v>
      </c>
      <c r="H630">
        <f>(P630/(O630+P630+N630))*100</f>
        <v>0</v>
      </c>
      <c r="I630">
        <v>0.56999999999999995</v>
      </c>
      <c r="J630">
        <f>(N630/(P630+O630+N630))*100</f>
        <v>99.430199430199423</v>
      </c>
      <c r="K630">
        <v>0.7</v>
      </c>
      <c r="L630">
        <v>0.3</v>
      </c>
      <c r="M630">
        <v>0.7</v>
      </c>
      <c r="N630">
        <v>698</v>
      </c>
      <c r="O630">
        <v>4</v>
      </c>
      <c r="P630">
        <v>0</v>
      </c>
      <c r="Q630">
        <v>0.56999999999999995</v>
      </c>
      <c r="R630" t="s">
        <v>339</v>
      </c>
      <c r="S630">
        <v>2.74</v>
      </c>
      <c r="T630">
        <v>3.06</v>
      </c>
      <c r="U630">
        <v>15</v>
      </c>
    </row>
    <row r="631" spans="1:21" x14ac:dyDescent="0.25">
      <c r="A631" s="2">
        <v>45324.965636574074</v>
      </c>
      <c r="B631" t="s">
        <v>309</v>
      </c>
      <c r="C631" t="s">
        <v>368</v>
      </c>
      <c r="D631">
        <v>2</v>
      </c>
      <c r="E631" t="s">
        <v>66</v>
      </c>
      <c r="F631" t="s">
        <v>388</v>
      </c>
      <c r="G631">
        <f>(O631/(N631+O631+P631))*100</f>
        <v>0.43668122270742354</v>
      </c>
      <c r="H631">
        <f>(P631/(O631+P631+N631))*100</f>
        <v>0</v>
      </c>
      <c r="I631">
        <v>0.44</v>
      </c>
      <c r="J631">
        <f>(N631/(P631+O631+N631))*100</f>
        <v>99.563318777292579</v>
      </c>
      <c r="K631">
        <v>0.8</v>
      </c>
      <c r="L631">
        <v>0.3</v>
      </c>
      <c r="M631">
        <v>0.7</v>
      </c>
      <c r="N631">
        <v>684</v>
      </c>
      <c r="O631">
        <v>3</v>
      </c>
      <c r="P631">
        <v>0</v>
      </c>
      <c r="Q631">
        <v>0.44</v>
      </c>
      <c r="R631" t="s">
        <v>258</v>
      </c>
      <c r="S631">
        <v>7.0000000000000007E-2</v>
      </c>
      <c r="T631">
        <v>7.0000000000000007E-2</v>
      </c>
    </row>
    <row r="632" spans="1:21" x14ac:dyDescent="0.25">
      <c r="A632" t="s">
        <v>19</v>
      </c>
      <c r="B632" t="s">
        <v>20</v>
      </c>
      <c r="C632" t="s">
        <v>308</v>
      </c>
      <c r="D632">
        <v>3</v>
      </c>
      <c r="E632" t="s">
        <v>67</v>
      </c>
      <c r="F632" t="s">
        <v>388</v>
      </c>
      <c r="G632">
        <v>25</v>
      </c>
      <c r="H632">
        <v>60</v>
      </c>
      <c r="I632">
        <f>G632+H632</f>
        <v>85</v>
      </c>
      <c r="J632">
        <f>100-G632-H632</f>
        <v>15</v>
      </c>
      <c r="K632" t="s">
        <v>19</v>
      </c>
      <c r="L632" t="s">
        <v>19</v>
      </c>
      <c r="M632" t="s">
        <v>19</v>
      </c>
      <c r="N632" t="s">
        <v>19</v>
      </c>
      <c r="O632" t="s">
        <v>19</v>
      </c>
      <c r="P632" t="s">
        <v>19</v>
      </c>
      <c r="Q632">
        <f>I632</f>
        <v>85</v>
      </c>
      <c r="R632" t="s">
        <v>19</v>
      </c>
      <c r="S632" t="s">
        <v>19</v>
      </c>
      <c r="T632" t="s">
        <v>19</v>
      </c>
    </row>
    <row r="633" spans="1:21" x14ac:dyDescent="0.25">
      <c r="A633" t="s">
        <v>19</v>
      </c>
      <c r="B633" t="s">
        <v>20</v>
      </c>
      <c r="C633" t="s">
        <v>22</v>
      </c>
      <c r="D633">
        <v>3</v>
      </c>
      <c r="E633" t="s">
        <v>67</v>
      </c>
      <c r="F633" t="s">
        <v>388</v>
      </c>
      <c r="G633">
        <v>15</v>
      </c>
      <c r="H633">
        <v>50</v>
      </c>
      <c r="I633">
        <f>G633+H633</f>
        <v>65</v>
      </c>
      <c r="J633">
        <f>100-G633-H633</f>
        <v>35</v>
      </c>
      <c r="K633" t="s">
        <v>19</v>
      </c>
      <c r="L633" t="s">
        <v>19</v>
      </c>
      <c r="M633" t="s">
        <v>19</v>
      </c>
      <c r="N633" t="s">
        <v>19</v>
      </c>
      <c r="O633" t="s">
        <v>19</v>
      </c>
      <c r="P633" t="s">
        <v>19</v>
      </c>
      <c r="Q633">
        <f>I633</f>
        <v>65</v>
      </c>
      <c r="R633" t="s">
        <v>19</v>
      </c>
      <c r="S633" t="s">
        <v>19</v>
      </c>
      <c r="T633" t="s">
        <v>19</v>
      </c>
    </row>
    <row r="634" spans="1:21" x14ac:dyDescent="0.25">
      <c r="A634" t="s">
        <v>19</v>
      </c>
      <c r="B634" t="s">
        <v>20</v>
      </c>
      <c r="C634" t="s">
        <v>305</v>
      </c>
      <c r="D634">
        <v>3</v>
      </c>
      <c r="E634" t="s">
        <v>67</v>
      </c>
      <c r="F634" t="s">
        <v>388</v>
      </c>
      <c r="G634">
        <v>25</v>
      </c>
      <c r="H634">
        <v>60</v>
      </c>
      <c r="I634">
        <f>G634+H634</f>
        <v>85</v>
      </c>
      <c r="J634">
        <f>100-G634-H634</f>
        <v>15</v>
      </c>
      <c r="K634" t="s">
        <v>19</v>
      </c>
      <c r="L634" t="s">
        <v>19</v>
      </c>
      <c r="M634" t="s">
        <v>19</v>
      </c>
      <c r="N634" t="s">
        <v>19</v>
      </c>
      <c r="O634" t="s">
        <v>19</v>
      </c>
      <c r="P634" t="s">
        <v>19</v>
      </c>
      <c r="Q634">
        <f>I634</f>
        <v>85</v>
      </c>
      <c r="R634" t="s">
        <v>19</v>
      </c>
      <c r="S634" t="s">
        <v>19</v>
      </c>
      <c r="T634" t="s">
        <v>19</v>
      </c>
    </row>
    <row r="635" spans="1:21" x14ac:dyDescent="0.25">
      <c r="A635" t="s">
        <v>19</v>
      </c>
      <c r="B635" t="s">
        <v>20</v>
      </c>
      <c r="C635" t="s">
        <v>307</v>
      </c>
      <c r="D635">
        <v>3</v>
      </c>
      <c r="E635" t="s">
        <v>67</v>
      </c>
      <c r="F635" t="s">
        <v>388</v>
      </c>
      <c r="G635">
        <v>15</v>
      </c>
      <c r="H635">
        <v>30</v>
      </c>
      <c r="I635">
        <f>G635+H635</f>
        <v>45</v>
      </c>
      <c r="J635">
        <f>100-G635-H635</f>
        <v>55</v>
      </c>
      <c r="K635" t="s">
        <v>19</v>
      </c>
      <c r="L635" t="s">
        <v>19</v>
      </c>
      <c r="M635" t="s">
        <v>19</v>
      </c>
      <c r="N635" t="s">
        <v>19</v>
      </c>
      <c r="O635" t="s">
        <v>19</v>
      </c>
      <c r="P635" t="s">
        <v>19</v>
      </c>
      <c r="Q635">
        <f>I635</f>
        <v>45</v>
      </c>
      <c r="R635" t="s">
        <v>19</v>
      </c>
      <c r="S635" t="s">
        <v>19</v>
      </c>
      <c r="T635" t="s">
        <v>19</v>
      </c>
    </row>
    <row r="636" spans="1:21" x14ac:dyDescent="0.25">
      <c r="A636" s="2">
        <v>45253.537499999999</v>
      </c>
      <c r="B636" t="s">
        <v>309</v>
      </c>
      <c r="C636" t="s">
        <v>213</v>
      </c>
      <c r="D636">
        <v>3</v>
      </c>
      <c r="E636" t="s">
        <v>67</v>
      </c>
      <c r="F636" t="s">
        <v>388</v>
      </c>
      <c r="G636">
        <v>4.6931407939999996</v>
      </c>
      <c r="H636">
        <v>71.4801444</v>
      </c>
      <c r="I636">
        <v>76.173285199999995</v>
      </c>
      <c r="J636">
        <v>23.826714800000001</v>
      </c>
      <c r="K636">
        <v>0.8</v>
      </c>
      <c r="L636">
        <v>0.2</v>
      </c>
      <c r="M636">
        <v>0.7</v>
      </c>
      <c r="N636">
        <v>132</v>
      </c>
      <c r="O636">
        <v>26</v>
      </c>
      <c r="P636">
        <v>396</v>
      </c>
      <c r="Q636">
        <v>76.17</v>
      </c>
      <c r="R636" t="s">
        <v>236</v>
      </c>
      <c r="S636">
        <v>2.96</v>
      </c>
      <c r="T636">
        <v>3.66</v>
      </c>
    </row>
    <row r="637" spans="1:21" x14ac:dyDescent="0.25">
      <c r="A637" s="2">
        <v>45253.831944444442</v>
      </c>
      <c r="B637" t="s">
        <v>309</v>
      </c>
      <c r="C637" t="s">
        <v>215</v>
      </c>
      <c r="D637">
        <v>2</v>
      </c>
      <c r="E637" t="s">
        <v>67</v>
      </c>
      <c r="F637" t="s">
        <v>388</v>
      </c>
      <c r="G637">
        <v>22.288261519999999</v>
      </c>
      <c r="H637">
        <v>0</v>
      </c>
      <c r="I637">
        <v>22.288261519999999</v>
      </c>
      <c r="J637">
        <v>77.711738479999994</v>
      </c>
      <c r="K637">
        <v>0.8</v>
      </c>
      <c r="L637">
        <v>0.2</v>
      </c>
      <c r="M637">
        <v>0.7</v>
      </c>
      <c r="N637">
        <v>523</v>
      </c>
      <c r="O637">
        <v>150</v>
      </c>
      <c r="P637">
        <v>0</v>
      </c>
      <c r="Q637">
        <v>22.29</v>
      </c>
      <c r="R637" t="s">
        <v>226</v>
      </c>
      <c r="S637">
        <v>0.6</v>
      </c>
      <c r="T637">
        <v>0.66</v>
      </c>
    </row>
    <row r="638" spans="1:21" x14ac:dyDescent="0.25">
      <c r="A638" s="2">
        <v>45253.998611111114</v>
      </c>
      <c r="B638" t="s">
        <v>309</v>
      </c>
      <c r="C638" t="s">
        <v>217</v>
      </c>
      <c r="D638">
        <v>2</v>
      </c>
      <c r="E638" t="s">
        <v>67</v>
      </c>
      <c r="F638" t="s">
        <v>388</v>
      </c>
      <c r="G638">
        <v>32.148148149999997</v>
      </c>
      <c r="H638">
        <v>0</v>
      </c>
      <c r="I638">
        <v>32.148148149999997</v>
      </c>
      <c r="J638">
        <v>67.851851850000003</v>
      </c>
      <c r="K638">
        <v>0.8</v>
      </c>
      <c r="L638">
        <v>0.2</v>
      </c>
      <c r="M638">
        <v>0.7</v>
      </c>
      <c r="N638">
        <v>458</v>
      </c>
      <c r="O638">
        <v>217</v>
      </c>
      <c r="P638">
        <v>0</v>
      </c>
      <c r="Q638">
        <v>32.15</v>
      </c>
      <c r="R638" t="s">
        <v>232</v>
      </c>
      <c r="S638">
        <v>0.85</v>
      </c>
      <c r="T638">
        <v>0.91</v>
      </c>
    </row>
    <row r="639" spans="1:21" x14ac:dyDescent="0.25">
      <c r="A639" s="2">
        <v>45316.511111111111</v>
      </c>
      <c r="B639" t="s">
        <v>309</v>
      </c>
      <c r="C639" t="s">
        <v>219</v>
      </c>
      <c r="D639">
        <v>3</v>
      </c>
      <c r="E639" t="s">
        <v>67</v>
      </c>
      <c r="F639" t="s">
        <v>388</v>
      </c>
      <c r="G639">
        <v>8.9788732390000003</v>
      </c>
      <c r="H639">
        <v>72.711267609999993</v>
      </c>
      <c r="I639">
        <v>81.690140850000006</v>
      </c>
      <c r="J639">
        <v>18.309859150000001</v>
      </c>
      <c r="K639">
        <v>0.8</v>
      </c>
      <c r="L639">
        <v>0.2</v>
      </c>
      <c r="M639">
        <v>0.7</v>
      </c>
      <c r="N639">
        <v>104</v>
      </c>
      <c r="O639">
        <v>51</v>
      </c>
      <c r="P639">
        <v>413</v>
      </c>
      <c r="Q639">
        <v>81.69</v>
      </c>
      <c r="R639" t="s">
        <v>229</v>
      </c>
      <c r="S639">
        <v>3.18</v>
      </c>
      <c r="T639">
        <v>4.51</v>
      </c>
    </row>
    <row r="640" spans="1:21" x14ac:dyDescent="0.25">
      <c r="A640" s="2">
        <v>45320.845833333333</v>
      </c>
      <c r="B640" t="s">
        <v>309</v>
      </c>
      <c r="C640" t="s">
        <v>221</v>
      </c>
      <c r="D640">
        <v>2</v>
      </c>
      <c r="E640" t="s">
        <v>67</v>
      </c>
      <c r="F640" t="s">
        <v>388</v>
      </c>
      <c r="G640">
        <v>83.757062149999996</v>
      </c>
      <c r="H640">
        <v>0</v>
      </c>
      <c r="I640">
        <v>83.757062149999996</v>
      </c>
      <c r="J640">
        <v>16.242937850000001</v>
      </c>
      <c r="K640">
        <v>0.8</v>
      </c>
      <c r="L640">
        <v>0.3</v>
      </c>
      <c r="M640">
        <v>0.7</v>
      </c>
      <c r="N640">
        <v>115</v>
      </c>
      <c r="O640">
        <v>593</v>
      </c>
      <c r="P640">
        <v>0</v>
      </c>
      <c r="Q640">
        <v>83.76</v>
      </c>
      <c r="R640" t="s">
        <v>261</v>
      </c>
      <c r="S640">
        <v>2.1800000000000002</v>
      </c>
      <c r="T640">
        <v>2.31</v>
      </c>
    </row>
    <row r="641" spans="1:21" x14ac:dyDescent="0.25">
      <c r="A641" t="s">
        <v>19</v>
      </c>
      <c r="B641" t="s">
        <v>20</v>
      </c>
      <c r="C641" t="s">
        <v>306</v>
      </c>
      <c r="D641">
        <v>3</v>
      </c>
      <c r="E641" t="s">
        <v>67</v>
      </c>
      <c r="F641" t="s">
        <v>388</v>
      </c>
      <c r="G641">
        <v>25</v>
      </c>
      <c r="H641">
        <v>65</v>
      </c>
      <c r="I641">
        <f>G641+H641</f>
        <v>90</v>
      </c>
      <c r="J641">
        <f>100-G641-H641</f>
        <v>10</v>
      </c>
      <c r="K641" t="s">
        <v>19</v>
      </c>
      <c r="L641" t="s">
        <v>19</v>
      </c>
      <c r="M641" t="s">
        <v>19</v>
      </c>
      <c r="N641" t="s">
        <v>19</v>
      </c>
      <c r="O641" t="s">
        <v>19</v>
      </c>
      <c r="P641" t="s">
        <v>19</v>
      </c>
      <c r="Q641">
        <f>I641</f>
        <v>90</v>
      </c>
      <c r="R641" t="s">
        <v>19</v>
      </c>
      <c r="S641" t="s">
        <v>19</v>
      </c>
      <c r="T641" t="s">
        <v>19</v>
      </c>
    </row>
    <row r="642" spans="1:21" x14ac:dyDescent="0.25">
      <c r="A642" t="s">
        <v>19</v>
      </c>
      <c r="B642" t="s">
        <v>20</v>
      </c>
      <c r="C642" t="s">
        <v>320</v>
      </c>
      <c r="D642">
        <v>3</v>
      </c>
      <c r="E642" t="s">
        <v>67</v>
      </c>
      <c r="F642" t="s">
        <v>388</v>
      </c>
      <c r="G642">
        <v>20</v>
      </c>
      <c r="H642">
        <v>75</v>
      </c>
      <c r="I642">
        <f>100-J642</f>
        <v>95</v>
      </c>
      <c r="J642">
        <f>100-G642-H642</f>
        <v>5</v>
      </c>
      <c r="K642" t="s">
        <v>19</v>
      </c>
      <c r="L642" t="s">
        <v>19</v>
      </c>
      <c r="M642" t="s">
        <v>19</v>
      </c>
      <c r="N642" t="s">
        <v>19</v>
      </c>
      <c r="O642" t="s">
        <v>19</v>
      </c>
      <c r="P642" t="s">
        <v>19</v>
      </c>
      <c r="Q642">
        <f>I642</f>
        <v>95</v>
      </c>
      <c r="R642" t="s">
        <v>19</v>
      </c>
      <c r="S642" t="s">
        <v>19</v>
      </c>
      <c r="T642" t="s">
        <v>19</v>
      </c>
    </row>
    <row r="643" spans="1:21" x14ac:dyDescent="0.25">
      <c r="A643" s="2">
        <v>45323.542430555557</v>
      </c>
      <c r="B643" t="s">
        <v>309</v>
      </c>
      <c r="C643" t="s">
        <v>322</v>
      </c>
      <c r="D643">
        <v>3</v>
      </c>
      <c r="E643" t="s">
        <v>67</v>
      </c>
      <c r="F643" t="s">
        <v>388</v>
      </c>
      <c r="G643">
        <f>(O643/(N643+O643+P643))*100</f>
        <v>21.832061068702291</v>
      </c>
      <c r="H643">
        <f>(P643/(O643+P643+N643))*100</f>
        <v>57.862595419847331</v>
      </c>
      <c r="I643">
        <v>79.69</v>
      </c>
      <c r="J643">
        <f>(N643/(P643+O643+N643))*100</f>
        <v>20.305343511450381</v>
      </c>
      <c r="K643">
        <v>0.8</v>
      </c>
      <c r="L643">
        <v>0.3</v>
      </c>
      <c r="M643">
        <v>0.7</v>
      </c>
      <c r="N643">
        <v>133</v>
      </c>
      <c r="O643">
        <v>143</v>
      </c>
      <c r="P643">
        <v>379</v>
      </c>
      <c r="Q643">
        <v>79.69</v>
      </c>
      <c r="R643" t="s">
        <v>344</v>
      </c>
      <c r="S643">
        <v>2.74</v>
      </c>
      <c r="T643">
        <v>4.1100000000000003</v>
      </c>
      <c r="U643">
        <v>91</v>
      </c>
    </row>
    <row r="644" spans="1:21" x14ac:dyDescent="0.25">
      <c r="A644" s="2">
        <v>45323.541446759256</v>
      </c>
      <c r="B644" t="s">
        <v>309</v>
      </c>
      <c r="C644" t="s">
        <v>322</v>
      </c>
      <c r="D644">
        <v>3</v>
      </c>
      <c r="E644" t="s">
        <v>67</v>
      </c>
      <c r="F644" t="s">
        <v>388</v>
      </c>
      <c r="G644">
        <f>(O644/(N644+O644+P644))*100</f>
        <v>24.148148148148149</v>
      </c>
      <c r="H644">
        <f>(P644/(O644+P644+N644))*100</f>
        <v>59.703703703703702</v>
      </c>
      <c r="I644">
        <v>83.85</v>
      </c>
      <c r="J644">
        <f>(N644/(P644+O644+N644))*100</f>
        <v>16.148148148148149</v>
      </c>
      <c r="K644">
        <v>0.7</v>
      </c>
      <c r="L644">
        <v>0.3</v>
      </c>
      <c r="M644">
        <v>0.7</v>
      </c>
      <c r="N644">
        <v>109</v>
      </c>
      <c r="O644">
        <v>163</v>
      </c>
      <c r="P644">
        <v>403</v>
      </c>
      <c r="Q644">
        <v>83.85</v>
      </c>
      <c r="R644" t="s">
        <v>342</v>
      </c>
      <c r="S644">
        <v>2.74</v>
      </c>
      <c r="T644">
        <v>4.1100000000000003</v>
      </c>
      <c r="U644">
        <v>71</v>
      </c>
    </row>
    <row r="645" spans="1:21" x14ac:dyDescent="0.25">
      <c r="A645" s="2">
        <v>45324.967013888891</v>
      </c>
      <c r="B645" t="s">
        <v>309</v>
      </c>
      <c r="C645" t="s">
        <v>368</v>
      </c>
      <c r="D645">
        <v>2</v>
      </c>
      <c r="E645" t="s">
        <v>67</v>
      </c>
      <c r="F645" t="s">
        <v>388</v>
      </c>
      <c r="G645">
        <f>(O645/(N645+O645+P645))*100</f>
        <v>87.197724039829311</v>
      </c>
      <c r="H645">
        <f>(P645/(O645+P645+N645))*100</f>
        <v>0</v>
      </c>
      <c r="I645">
        <v>87.2</v>
      </c>
      <c r="J645">
        <f>(N645/(P645+O645+N645))*100</f>
        <v>12.802275960170698</v>
      </c>
      <c r="K645">
        <v>0.8</v>
      </c>
      <c r="L645">
        <v>0.3</v>
      </c>
      <c r="M645">
        <v>0.7</v>
      </c>
      <c r="N645">
        <v>90</v>
      </c>
      <c r="O645">
        <v>613</v>
      </c>
      <c r="P645">
        <v>0</v>
      </c>
      <c r="Q645">
        <v>87.2</v>
      </c>
      <c r="R645" t="s">
        <v>352</v>
      </c>
      <c r="S645">
        <v>2.0499999999999998</v>
      </c>
      <c r="T645">
        <v>2.2200000000000002</v>
      </c>
    </row>
    <row r="646" spans="1:21" x14ac:dyDescent="0.25">
      <c r="A646" t="s">
        <v>19</v>
      </c>
      <c r="B646" t="s">
        <v>20</v>
      </c>
      <c r="C646" t="s">
        <v>308</v>
      </c>
      <c r="D646">
        <v>3</v>
      </c>
      <c r="E646" t="s">
        <v>68</v>
      </c>
      <c r="F646" t="s">
        <v>388</v>
      </c>
      <c r="G646">
        <v>4</v>
      </c>
      <c r="H646">
        <v>25</v>
      </c>
      <c r="I646">
        <f>G646+H646</f>
        <v>29</v>
      </c>
      <c r="J646">
        <f>100-G646-H646</f>
        <v>71</v>
      </c>
      <c r="K646" t="s">
        <v>19</v>
      </c>
      <c r="L646" t="s">
        <v>19</v>
      </c>
      <c r="M646" t="s">
        <v>19</v>
      </c>
      <c r="N646" t="s">
        <v>19</v>
      </c>
      <c r="O646" t="s">
        <v>19</v>
      </c>
      <c r="P646" t="s">
        <v>19</v>
      </c>
      <c r="Q646">
        <f>I646</f>
        <v>29</v>
      </c>
      <c r="R646" t="s">
        <v>19</v>
      </c>
      <c r="S646" t="s">
        <v>19</v>
      </c>
      <c r="T646" t="s">
        <v>19</v>
      </c>
    </row>
    <row r="647" spans="1:21" x14ac:dyDescent="0.25">
      <c r="A647" t="s">
        <v>19</v>
      </c>
      <c r="B647" t="s">
        <v>20</v>
      </c>
      <c r="C647" t="s">
        <v>22</v>
      </c>
      <c r="D647">
        <v>3</v>
      </c>
      <c r="E647" t="s">
        <v>68</v>
      </c>
      <c r="F647" t="s">
        <v>388</v>
      </c>
      <c r="G647">
        <v>25</v>
      </c>
      <c r="H647">
        <v>3</v>
      </c>
      <c r="I647">
        <f>G647+H647</f>
        <v>28</v>
      </c>
      <c r="J647">
        <f>100-G647-H647</f>
        <v>72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  <c r="P647" t="s">
        <v>19</v>
      </c>
      <c r="Q647">
        <f>I647</f>
        <v>28</v>
      </c>
      <c r="R647" t="s">
        <v>19</v>
      </c>
      <c r="S647" t="s">
        <v>19</v>
      </c>
      <c r="T647" t="s">
        <v>19</v>
      </c>
    </row>
    <row r="648" spans="1:21" x14ac:dyDescent="0.25">
      <c r="A648" t="s">
        <v>19</v>
      </c>
      <c r="B648" t="s">
        <v>20</v>
      </c>
      <c r="C648" t="s">
        <v>305</v>
      </c>
      <c r="D648">
        <v>3</v>
      </c>
      <c r="E648" t="s">
        <v>68</v>
      </c>
      <c r="F648" t="s">
        <v>388</v>
      </c>
      <c r="G648">
        <v>30</v>
      </c>
      <c r="H648">
        <v>20</v>
      </c>
      <c r="I648">
        <f>G648+H648</f>
        <v>50</v>
      </c>
      <c r="J648">
        <f>100-G648-H648</f>
        <v>50</v>
      </c>
      <c r="K648" t="s">
        <v>19</v>
      </c>
      <c r="L648" t="s">
        <v>19</v>
      </c>
      <c r="M648" t="s">
        <v>19</v>
      </c>
      <c r="N648" t="s">
        <v>19</v>
      </c>
      <c r="O648" t="s">
        <v>19</v>
      </c>
      <c r="P648" t="s">
        <v>19</v>
      </c>
      <c r="Q648">
        <f>I648</f>
        <v>50</v>
      </c>
      <c r="R648" t="s">
        <v>19</v>
      </c>
      <c r="S648" t="s">
        <v>19</v>
      </c>
      <c r="T648" t="s">
        <v>19</v>
      </c>
    </row>
    <row r="649" spans="1:21" x14ac:dyDescent="0.25">
      <c r="A649" t="s">
        <v>19</v>
      </c>
      <c r="B649" t="s">
        <v>20</v>
      </c>
      <c r="C649" t="s">
        <v>307</v>
      </c>
      <c r="D649">
        <v>3</v>
      </c>
      <c r="E649" t="s">
        <v>68</v>
      </c>
      <c r="F649" t="s">
        <v>388</v>
      </c>
      <c r="G649">
        <v>5</v>
      </c>
      <c r="H649">
        <v>5</v>
      </c>
      <c r="I649">
        <f>G649+H649</f>
        <v>10</v>
      </c>
      <c r="J649">
        <f>100-G649-H649</f>
        <v>90</v>
      </c>
      <c r="K649" t="s">
        <v>19</v>
      </c>
      <c r="L649" t="s">
        <v>19</v>
      </c>
      <c r="M649" t="s">
        <v>19</v>
      </c>
      <c r="N649" t="s">
        <v>19</v>
      </c>
      <c r="O649" t="s">
        <v>19</v>
      </c>
      <c r="P649" t="s">
        <v>19</v>
      </c>
      <c r="Q649">
        <f>I649</f>
        <v>10</v>
      </c>
      <c r="R649" t="s">
        <v>19</v>
      </c>
      <c r="S649" t="s">
        <v>19</v>
      </c>
      <c r="T649" t="s">
        <v>19</v>
      </c>
    </row>
    <row r="650" spans="1:21" x14ac:dyDescent="0.25">
      <c r="A650" s="2">
        <v>45253.538888888892</v>
      </c>
      <c r="B650" t="s">
        <v>309</v>
      </c>
      <c r="C650" t="s">
        <v>213</v>
      </c>
      <c r="D650">
        <v>3</v>
      </c>
      <c r="E650" t="s">
        <v>68</v>
      </c>
      <c r="F650" t="s">
        <v>388</v>
      </c>
      <c r="G650">
        <v>7.026143791</v>
      </c>
      <c r="H650">
        <v>11.437908500000001</v>
      </c>
      <c r="I650">
        <v>18.464052290000001</v>
      </c>
      <c r="J650">
        <v>81.535947710000002</v>
      </c>
      <c r="K650">
        <v>0.8</v>
      </c>
      <c r="L650">
        <v>0.2</v>
      </c>
      <c r="M650">
        <v>0.7</v>
      </c>
      <c r="N650">
        <v>499</v>
      </c>
      <c r="O650">
        <v>43</v>
      </c>
      <c r="P650">
        <v>70</v>
      </c>
      <c r="Q650">
        <v>18.46</v>
      </c>
      <c r="R650" t="s">
        <v>236</v>
      </c>
      <c r="S650">
        <v>2.79</v>
      </c>
      <c r="T650">
        <v>3.25</v>
      </c>
    </row>
    <row r="651" spans="1:21" x14ac:dyDescent="0.25">
      <c r="A651" s="2">
        <v>45253.833333333336</v>
      </c>
      <c r="B651" t="s">
        <v>309</v>
      </c>
      <c r="C651" t="s">
        <v>215</v>
      </c>
      <c r="D651">
        <v>2</v>
      </c>
      <c r="E651" t="s">
        <v>68</v>
      </c>
      <c r="F651" t="s">
        <v>388</v>
      </c>
      <c r="G651">
        <v>11.7820324</v>
      </c>
      <c r="H651">
        <v>0</v>
      </c>
      <c r="I651">
        <v>11.7820324</v>
      </c>
      <c r="J651">
        <v>88.217967599999994</v>
      </c>
      <c r="K651">
        <v>0.8</v>
      </c>
      <c r="L651">
        <v>0.2</v>
      </c>
      <c r="M651">
        <v>0.7</v>
      </c>
      <c r="N651">
        <v>599</v>
      </c>
      <c r="O651">
        <v>80</v>
      </c>
      <c r="P651">
        <v>0</v>
      </c>
      <c r="Q651">
        <v>11.78</v>
      </c>
      <c r="R651" t="s">
        <v>227</v>
      </c>
      <c r="S651">
        <v>0.39</v>
      </c>
      <c r="T651">
        <v>0.43</v>
      </c>
    </row>
    <row r="652" spans="1:21" x14ac:dyDescent="0.25">
      <c r="A652" s="2">
        <v>45253.999305555553</v>
      </c>
      <c r="B652" t="s">
        <v>309</v>
      </c>
      <c r="C652" t="s">
        <v>217</v>
      </c>
      <c r="D652">
        <v>2</v>
      </c>
      <c r="E652" t="s">
        <v>68</v>
      </c>
      <c r="F652" t="s">
        <v>388</v>
      </c>
      <c r="G652">
        <v>18.127786029999999</v>
      </c>
      <c r="H652">
        <v>0</v>
      </c>
      <c r="I652">
        <v>18.127786029999999</v>
      </c>
      <c r="J652">
        <v>81.872213970000004</v>
      </c>
      <c r="K652">
        <v>0.8</v>
      </c>
      <c r="L652">
        <v>0.2</v>
      </c>
      <c r="M652">
        <v>0.7</v>
      </c>
      <c r="N652">
        <v>551</v>
      </c>
      <c r="O652">
        <v>122</v>
      </c>
      <c r="P652">
        <v>0</v>
      </c>
      <c r="Q652">
        <v>18.13</v>
      </c>
      <c r="R652" t="s">
        <v>235</v>
      </c>
      <c r="S652">
        <v>0.53</v>
      </c>
      <c r="T652">
        <v>0.57999999999999996</v>
      </c>
    </row>
    <row r="653" spans="1:21" x14ac:dyDescent="0.25">
      <c r="A653" s="2">
        <v>45316.511805555558</v>
      </c>
      <c r="B653" t="s">
        <v>309</v>
      </c>
      <c r="C653" t="s">
        <v>219</v>
      </c>
      <c r="D653">
        <v>3</v>
      </c>
      <c r="E653" t="s">
        <v>68</v>
      </c>
      <c r="F653" t="s">
        <v>388</v>
      </c>
      <c r="G653">
        <v>6.2015503880000002</v>
      </c>
      <c r="H653">
        <v>12.79069767</v>
      </c>
      <c r="I653">
        <v>18.992248060000001</v>
      </c>
      <c r="J653">
        <v>81.007751940000006</v>
      </c>
      <c r="K653">
        <v>0.8</v>
      </c>
      <c r="L653">
        <v>0.2</v>
      </c>
      <c r="M653">
        <v>0.7</v>
      </c>
      <c r="N653">
        <v>418</v>
      </c>
      <c r="O653">
        <v>32</v>
      </c>
      <c r="P653">
        <v>66</v>
      </c>
      <c r="Q653">
        <v>18.989999999999998</v>
      </c>
      <c r="R653" t="s">
        <v>235</v>
      </c>
      <c r="S653">
        <v>3.14</v>
      </c>
      <c r="T653">
        <v>4.67</v>
      </c>
    </row>
    <row r="654" spans="1:21" x14ac:dyDescent="0.25">
      <c r="A654" s="2">
        <v>45320.847222222219</v>
      </c>
      <c r="B654" t="s">
        <v>309</v>
      </c>
      <c r="C654" t="s">
        <v>221</v>
      </c>
      <c r="D654">
        <v>2</v>
      </c>
      <c r="E654" t="s">
        <v>68</v>
      </c>
      <c r="F654" t="s">
        <v>388</v>
      </c>
      <c r="G654">
        <v>28.876244669999998</v>
      </c>
      <c r="H654">
        <v>0</v>
      </c>
      <c r="I654">
        <v>28.876244669999998</v>
      </c>
      <c r="J654">
        <v>71.123755329999995</v>
      </c>
      <c r="K654">
        <v>0.8</v>
      </c>
      <c r="L654">
        <v>0.3</v>
      </c>
      <c r="M654">
        <v>0.7</v>
      </c>
      <c r="N654">
        <v>500</v>
      </c>
      <c r="O654">
        <v>203</v>
      </c>
      <c r="P654">
        <v>0</v>
      </c>
      <c r="Q654">
        <v>28.88</v>
      </c>
      <c r="R654" t="s">
        <v>271</v>
      </c>
      <c r="S654">
        <v>0.84</v>
      </c>
      <c r="T654">
        <v>0.9</v>
      </c>
    </row>
    <row r="655" spans="1:21" x14ac:dyDescent="0.25">
      <c r="A655" t="s">
        <v>19</v>
      </c>
      <c r="B655" t="s">
        <v>20</v>
      </c>
      <c r="C655" t="s">
        <v>306</v>
      </c>
      <c r="D655">
        <v>3</v>
      </c>
      <c r="E655" t="s">
        <v>68</v>
      </c>
      <c r="F655" t="s">
        <v>388</v>
      </c>
      <c r="G655">
        <v>15</v>
      </c>
      <c r="H655">
        <v>30</v>
      </c>
      <c r="I655">
        <v>45</v>
      </c>
      <c r="J655">
        <v>55</v>
      </c>
      <c r="K655" t="s">
        <v>19</v>
      </c>
      <c r="L655" t="s">
        <v>19</v>
      </c>
      <c r="M655" t="s">
        <v>19</v>
      </c>
      <c r="N655" t="s">
        <v>19</v>
      </c>
      <c r="O655" t="s">
        <v>19</v>
      </c>
      <c r="P655" t="s">
        <v>19</v>
      </c>
      <c r="Q655">
        <f>I655</f>
        <v>45</v>
      </c>
      <c r="R655" t="s">
        <v>19</v>
      </c>
      <c r="S655" t="s">
        <v>19</v>
      </c>
      <c r="T655" t="s">
        <v>19</v>
      </c>
    </row>
    <row r="656" spans="1:21" x14ac:dyDescent="0.25">
      <c r="A656" t="s">
        <v>19</v>
      </c>
      <c r="B656" t="s">
        <v>20</v>
      </c>
      <c r="C656" t="s">
        <v>320</v>
      </c>
      <c r="D656">
        <v>3</v>
      </c>
      <c r="E656" t="s">
        <v>68</v>
      </c>
      <c r="F656" t="s">
        <v>388</v>
      </c>
      <c r="G656">
        <v>10</v>
      </c>
      <c r="H656">
        <v>20</v>
      </c>
      <c r="I656">
        <f>100-J656</f>
        <v>30</v>
      </c>
      <c r="J656">
        <f>100-G656-H656</f>
        <v>70</v>
      </c>
      <c r="K656" t="s">
        <v>19</v>
      </c>
      <c r="L656" t="s">
        <v>19</v>
      </c>
      <c r="M656" t="s">
        <v>19</v>
      </c>
      <c r="N656" t="s">
        <v>19</v>
      </c>
      <c r="O656" t="s">
        <v>19</v>
      </c>
      <c r="P656" t="s">
        <v>19</v>
      </c>
      <c r="Q656">
        <f>I656</f>
        <v>30</v>
      </c>
      <c r="R656" t="s">
        <v>19</v>
      </c>
      <c r="S656" t="s">
        <v>19</v>
      </c>
      <c r="T656" t="s">
        <v>19</v>
      </c>
    </row>
    <row r="657" spans="1:21" x14ac:dyDescent="0.25">
      <c r="A657" s="2">
        <v>45323.544224537036</v>
      </c>
      <c r="B657" t="s">
        <v>309</v>
      </c>
      <c r="C657" t="s">
        <v>322</v>
      </c>
      <c r="D657">
        <v>3</v>
      </c>
      <c r="E657" t="s">
        <v>68</v>
      </c>
      <c r="F657" t="s">
        <v>388</v>
      </c>
      <c r="G657">
        <f>(O657/(N657+O657+P657))*100</f>
        <v>17.593984962406015</v>
      </c>
      <c r="H657">
        <f>(P657/(O657+P657+N657))*100</f>
        <v>7.3684210526315779</v>
      </c>
      <c r="I657">
        <v>24.96</v>
      </c>
      <c r="J657">
        <f>(N657/(P657+O657+N657))*100</f>
        <v>75.037593984962399</v>
      </c>
      <c r="K657">
        <v>0.8</v>
      </c>
      <c r="L657">
        <v>0.3</v>
      </c>
      <c r="M657">
        <v>0.7</v>
      </c>
      <c r="N657">
        <v>499</v>
      </c>
      <c r="O657">
        <v>117</v>
      </c>
      <c r="P657">
        <v>49</v>
      </c>
      <c r="Q657">
        <v>24.96</v>
      </c>
      <c r="R657" t="s">
        <v>336</v>
      </c>
      <c r="S657">
        <v>2.61</v>
      </c>
      <c r="T657">
        <v>3.48</v>
      </c>
      <c r="U657">
        <v>93</v>
      </c>
    </row>
    <row r="658" spans="1:21" x14ac:dyDescent="0.25">
      <c r="A658" s="2">
        <v>45323.54314814815</v>
      </c>
      <c r="B658" t="s">
        <v>309</v>
      </c>
      <c r="C658" t="s">
        <v>322</v>
      </c>
      <c r="D658">
        <v>3</v>
      </c>
      <c r="E658" t="s">
        <v>68</v>
      </c>
      <c r="F658" t="s">
        <v>388</v>
      </c>
      <c r="G658">
        <f>(O658/(N658+O658+P658))*100</f>
        <v>19.411764705882355</v>
      </c>
      <c r="H658">
        <f>(P658/(O658+P658+N658))*100</f>
        <v>8.3823529411764692</v>
      </c>
      <c r="I658">
        <v>27.79</v>
      </c>
      <c r="J658">
        <f>(N658/(P658+O658+N658))*100</f>
        <v>72.205882352941174</v>
      </c>
      <c r="K658">
        <v>0.7</v>
      </c>
      <c r="L658">
        <v>0.3</v>
      </c>
      <c r="M658">
        <v>0.7</v>
      </c>
      <c r="N658">
        <v>491</v>
      </c>
      <c r="O658">
        <v>132</v>
      </c>
      <c r="P658">
        <v>57</v>
      </c>
      <c r="Q658">
        <v>27.79</v>
      </c>
      <c r="R658" t="s">
        <v>358</v>
      </c>
      <c r="S658">
        <v>2.61</v>
      </c>
      <c r="T658">
        <v>3.48</v>
      </c>
      <c r="U658">
        <v>78</v>
      </c>
    </row>
    <row r="659" spans="1:21" x14ac:dyDescent="0.25">
      <c r="A659" s="2">
        <v>45324.968831018516</v>
      </c>
      <c r="B659" t="s">
        <v>309</v>
      </c>
      <c r="C659" t="s">
        <v>368</v>
      </c>
      <c r="D659">
        <v>2</v>
      </c>
      <c r="E659" t="s">
        <v>68</v>
      </c>
      <c r="F659" t="s">
        <v>388</v>
      </c>
      <c r="G659">
        <f>(O659/(N659+O659+P659))*100</f>
        <v>31.721194879089616</v>
      </c>
      <c r="H659">
        <f>(P659/(O659+P659+N659))*100</f>
        <v>0</v>
      </c>
      <c r="I659">
        <v>31.72</v>
      </c>
      <c r="J659">
        <f>(N659/(P659+O659+N659))*100</f>
        <v>68.278805120910377</v>
      </c>
      <c r="K659">
        <v>0.8</v>
      </c>
      <c r="L659">
        <v>0.3</v>
      </c>
      <c r="M659">
        <v>0.7</v>
      </c>
      <c r="N659">
        <v>480</v>
      </c>
      <c r="O659">
        <v>223</v>
      </c>
      <c r="P659">
        <v>0</v>
      </c>
      <c r="Q659">
        <v>31.72</v>
      </c>
      <c r="R659" t="s">
        <v>238</v>
      </c>
      <c r="S659">
        <v>0.85</v>
      </c>
      <c r="T659">
        <v>0.93</v>
      </c>
    </row>
    <row r="660" spans="1:21" x14ac:dyDescent="0.25">
      <c r="A660" t="s">
        <v>19</v>
      </c>
      <c r="B660" t="s">
        <v>20</v>
      </c>
      <c r="C660" t="s">
        <v>306</v>
      </c>
      <c r="D660">
        <v>3</v>
      </c>
      <c r="E660" t="s">
        <v>69</v>
      </c>
      <c r="F660" t="s">
        <v>373</v>
      </c>
      <c r="G660">
        <v>0</v>
      </c>
      <c r="H660">
        <v>0</v>
      </c>
      <c r="I660">
        <f>G660+H660</f>
        <v>0</v>
      </c>
      <c r="J660">
        <f>100-G660-H660</f>
        <v>100</v>
      </c>
      <c r="K660" t="s">
        <v>19</v>
      </c>
      <c r="L660" t="s">
        <v>19</v>
      </c>
      <c r="M660" t="s">
        <v>19</v>
      </c>
      <c r="N660" t="s">
        <v>19</v>
      </c>
      <c r="O660" t="s">
        <v>19</v>
      </c>
      <c r="P660" t="s">
        <v>19</v>
      </c>
      <c r="Q660">
        <f>I660</f>
        <v>0</v>
      </c>
      <c r="R660" t="s">
        <v>19</v>
      </c>
      <c r="S660" t="s">
        <v>19</v>
      </c>
      <c r="T660" t="s">
        <v>19</v>
      </c>
    </row>
    <row r="661" spans="1:21" x14ac:dyDescent="0.25">
      <c r="A661" t="s">
        <v>19</v>
      </c>
      <c r="B661" t="s">
        <v>20</v>
      </c>
      <c r="C661" t="s">
        <v>308</v>
      </c>
      <c r="D661">
        <v>3</v>
      </c>
      <c r="E661" t="s">
        <v>69</v>
      </c>
      <c r="F661" t="s">
        <v>373</v>
      </c>
      <c r="G661">
        <v>0</v>
      </c>
      <c r="H661">
        <v>0</v>
      </c>
      <c r="I661">
        <f>G661+H661</f>
        <v>0</v>
      </c>
      <c r="J661">
        <f>100-G661-H661</f>
        <v>100</v>
      </c>
      <c r="K661" t="s">
        <v>19</v>
      </c>
      <c r="L661" t="s">
        <v>19</v>
      </c>
      <c r="M661" t="s">
        <v>19</v>
      </c>
      <c r="N661" t="s">
        <v>19</v>
      </c>
      <c r="O661" t="s">
        <v>19</v>
      </c>
      <c r="P661" t="s">
        <v>19</v>
      </c>
      <c r="Q661">
        <f>I661</f>
        <v>0</v>
      </c>
      <c r="R661" t="s">
        <v>19</v>
      </c>
      <c r="S661" t="s">
        <v>19</v>
      </c>
      <c r="T661" t="s">
        <v>19</v>
      </c>
    </row>
    <row r="662" spans="1:21" x14ac:dyDescent="0.25">
      <c r="A662" t="s">
        <v>19</v>
      </c>
      <c r="B662" t="s">
        <v>20</v>
      </c>
      <c r="C662" t="s">
        <v>22</v>
      </c>
      <c r="D662">
        <v>3</v>
      </c>
      <c r="E662" t="s">
        <v>69</v>
      </c>
      <c r="F662" t="s">
        <v>373</v>
      </c>
      <c r="G662">
        <v>0</v>
      </c>
      <c r="H662">
        <v>0</v>
      </c>
      <c r="I662">
        <f>G662+H662</f>
        <v>0</v>
      </c>
      <c r="J662">
        <f>100-G662-H662</f>
        <v>100</v>
      </c>
      <c r="K662" t="s">
        <v>19</v>
      </c>
      <c r="L662" t="s">
        <v>19</v>
      </c>
      <c r="M662" t="s">
        <v>19</v>
      </c>
      <c r="N662" t="s">
        <v>19</v>
      </c>
      <c r="O662" t="s">
        <v>19</v>
      </c>
      <c r="P662" t="s">
        <v>19</v>
      </c>
      <c r="Q662">
        <f>I662</f>
        <v>0</v>
      </c>
      <c r="R662" t="s">
        <v>19</v>
      </c>
      <c r="S662" t="s">
        <v>19</v>
      </c>
      <c r="T662" t="s">
        <v>19</v>
      </c>
    </row>
    <row r="663" spans="1:21" x14ac:dyDescent="0.25">
      <c r="A663" t="s">
        <v>19</v>
      </c>
      <c r="B663" t="s">
        <v>20</v>
      </c>
      <c r="C663" t="s">
        <v>305</v>
      </c>
      <c r="D663">
        <v>3</v>
      </c>
      <c r="E663" t="s">
        <v>69</v>
      </c>
      <c r="F663" t="s">
        <v>373</v>
      </c>
      <c r="G663">
        <v>0</v>
      </c>
      <c r="H663">
        <v>0</v>
      </c>
      <c r="I663">
        <f>G663+H663</f>
        <v>0</v>
      </c>
      <c r="J663">
        <f>100-G663-H663</f>
        <v>100</v>
      </c>
      <c r="K663" t="s">
        <v>19</v>
      </c>
      <c r="L663" t="s">
        <v>19</v>
      </c>
      <c r="M663" t="s">
        <v>19</v>
      </c>
      <c r="N663" t="s">
        <v>19</v>
      </c>
      <c r="O663" t="s">
        <v>19</v>
      </c>
      <c r="P663" t="s">
        <v>19</v>
      </c>
      <c r="Q663">
        <f>I663</f>
        <v>0</v>
      </c>
      <c r="R663" t="s">
        <v>19</v>
      </c>
      <c r="S663" t="s">
        <v>19</v>
      </c>
      <c r="T663" t="s">
        <v>19</v>
      </c>
    </row>
    <row r="664" spans="1:21" x14ac:dyDescent="0.25">
      <c r="A664" t="s">
        <v>19</v>
      </c>
      <c r="B664" t="s">
        <v>20</v>
      </c>
      <c r="C664" t="s">
        <v>307</v>
      </c>
      <c r="D664">
        <v>3</v>
      </c>
      <c r="E664" t="s">
        <v>69</v>
      </c>
      <c r="F664" t="s">
        <v>373</v>
      </c>
      <c r="G664">
        <v>0</v>
      </c>
      <c r="H664">
        <v>0</v>
      </c>
      <c r="I664">
        <f>G664+H664</f>
        <v>0</v>
      </c>
      <c r="J664">
        <f>100-G664-H664</f>
        <v>100</v>
      </c>
      <c r="K664" t="s">
        <v>19</v>
      </c>
      <c r="L664" t="s">
        <v>19</v>
      </c>
      <c r="M664" t="s">
        <v>19</v>
      </c>
      <c r="N664" t="s">
        <v>19</v>
      </c>
      <c r="O664" t="s">
        <v>19</v>
      </c>
      <c r="P664" t="s">
        <v>19</v>
      </c>
      <c r="Q664">
        <f>I664</f>
        <v>0</v>
      </c>
      <c r="R664" t="s">
        <v>19</v>
      </c>
      <c r="S664" t="s">
        <v>19</v>
      </c>
      <c r="T664" t="s">
        <v>19</v>
      </c>
    </row>
    <row r="665" spans="1:21" x14ac:dyDescent="0.25">
      <c r="A665" s="2">
        <v>45253.703472222223</v>
      </c>
      <c r="B665" t="s">
        <v>309</v>
      </c>
      <c r="C665" t="s">
        <v>213</v>
      </c>
      <c r="D665">
        <v>3</v>
      </c>
      <c r="E665" t="s">
        <v>69</v>
      </c>
      <c r="F665" t="s">
        <v>373</v>
      </c>
      <c r="G665">
        <v>0</v>
      </c>
      <c r="H665">
        <v>0</v>
      </c>
      <c r="I665">
        <v>0</v>
      </c>
      <c r="J665">
        <v>100</v>
      </c>
      <c r="K665">
        <v>0.8</v>
      </c>
      <c r="L665">
        <v>0.2</v>
      </c>
      <c r="M665">
        <v>0.7</v>
      </c>
      <c r="N665">
        <v>688</v>
      </c>
      <c r="O665">
        <v>0</v>
      </c>
      <c r="P665">
        <v>0</v>
      </c>
      <c r="Q665">
        <v>0</v>
      </c>
      <c r="R665" t="s">
        <v>223</v>
      </c>
      <c r="S665">
        <v>2.77</v>
      </c>
      <c r="T665">
        <v>3.86</v>
      </c>
    </row>
    <row r="666" spans="1:21" x14ac:dyDescent="0.25">
      <c r="A666" s="2">
        <v>45253.92083333333</v>
      </c>
      <c r="B666" t="s">
        <v>309</v>
      </c>
      <c r="C666" t="s">
        <v>215</v>
      </c>
      <c r="D666">
        <v>2</v>
      </c>
      <c r="E666" t="s">
        <v>69</v>
      </c>
      <c r="F666" t="s">
        <v>373</v>
      </c>
      <c r="G666">
        <v>9.7719869710000005</v>
      </c>
      <c r="H666">
        <v>0</v>
      </c>
      <c r="I666">
        <v>9.7719869710000005</v>
      </c>
      <c r="J666">
        <v>90.22801303</v>
      </c>
      <c r="K666">
        <v>0.8</v>
      </c>
      <c r="L666">
        <v>0.2</v>
      </c>
      <c r="M666">
        <v>0.7</v>
      </c>
      <c r="N666">
        <v>554</v>
      </c>
      <c r="O666">
        <v>60</v>
      </c>
      <c r="P666">
        <v>0</v>
      </c>
      <c r="Q666">
        <v>9.77</v>
      </c>
      <c r="R666" t="s">
        <v>224</v>
      </c>
      <c r="S666">
        <v>0.3</v>
      </c>
      <c r="T666">
        <v>0.33</v>
      </c>
    </row>
    <row r="667" spans="1:21" x14ac:dyDescent="0.25">
      <c r="A667" s="2">
        <v>45254.094444444447</v>
      </c>
      <c r="B667" t="s">
        <v>309</v>
      </c>
      <c r="C667" t="s">
        <v>217</v>
      </c>
      <c r="D667">
        <v>2</v>
      </c>
      <c r="E667" t="s">
        <v>69</v>
      </c>
      <c r="F667" t="s">
        <v>373</v>
      </c>
      <c r="G667">
        <v>9.8305084750000002</v>
      </c>
      <c r="H667">
        <v>0</v>
      </c>
      <c r="I667">
        <v>9.8305084750000002</v>
      </c>
      <c r="J667">
        <v>90.169491530000002</v>
      </c>
      <c r="K667">
        <v>0.8</v>
      </c>
      <c r="L667">
        <v>0.2</v>
      </c>
      <c r="M667">
        <v>0.7</v>
      </c>
      <c r="N667">
        <v>532</v>
      </c>
      <c r="O667">
        <v>58</v>
      </c>
      <c r="P667">
        <v>0</v>
      </c>
      <c r="Q667">
        <v>9.83</v>
      </c>
      <c r="R667" t="s">
        <v>225</v>
      </c>
      <c r="S667">
        <v>0.31</v>
      </c>
      <c r="T667">
        <v>0.32</v>
      </c>
    </row>
    <row r="668" spans="1:21" x14ac:dyDescent="0.25">
      <c r="A668" s="2">
        <v>45316.431250000001</v>
      </c>
      <c r="B668" t="s">
        <v>309</v>
      </c>
      <c r="C668" t="s">
        <v>219</v>
      </c>
      <c r="D668">
        <v>3</v>
      </c>
      <c r="E668" t="s">
        <v>69</v>
      </c>
      <c r="F668" t="s">
        <v>373</v>
      </c>
      <c r="G668">
        <v>0</v>
      </c>
      <c r="H668">
        <v>0</v>
      </c>
      <c r="I668">
        <v>0</v>
      </c>
      <c r="J668">
        <v>100</v>
      </c>
      <c r="K668">
        <v>0.8</v>
      </c>
      <c r="L668">
        <v>0.2</v>
      </c>
      <c r="M668">
        <v>0.7</v>
      </c>
      <c r="N668">
        <v>493</v>
      </c>
      <c r="O668">
        <v>0</v>
      </c>
      <c r="P668">
        <v>0</v>
      </c>
      <c r="Q668">
        <v>0</v>
      </c>
      <c r="R668" t="s">
        <v>218</v>
      </c>
      <c r="S668">
        <v>3.34</v>
      </c>
      <c r="T668">
        <v>4.91</v>
      </c>
    </row>
    <row r="669" spans="1:21" x14ac:dyDescent="0.25">
      <c r="A669" s="2">
        <v>45320.95208333333</v>
      </c>
      <c r="B669" t="s">
        <v>309</v>
      </c>
      <c r="C669" t="s">
        <v>221</v>
      </c>
      <c r="D669">
        <v>2</v>
      </c>
      <c r="E669" t="s">
        <v>69</v>
      </c>
      <c r="F669" t="s">
        <v>373</v>
      </c>
      <c r="G669">
        <v>0.50847457600000001</v>
      </c>
      <c r="H669">
        <v>0</v>
      </c>
      <c r="I669">
        <v>0.50847457600000001</v>
      </c>
      <c r="J669">
        <v>99.491525420000002</v>
      </c>
      <c r="K669">
        <v>0.8</v>
      </c>
      <c r="L669">
        <v>0.3</v>
      </c>
      <c r="M669">
        <v>0.7</v>
      </c>
      <c r="N669">
        <v>587</v>
      </c>
      <c r="O669">
        <v>3</v>
      </c>
      <c r="P669">
        <v>0</v>
      </c>
      <c r="Q669">
        <v>0.51</v>
      </c>
      <c r="R669" t="s">
        <v>220</v>
      </c>
      <c r="S669">
        <v>0.03</v>
      </c>
      <c r="T669">
        <v>0.03</v>
      </c>
    </row>
    <row r="670" spans="1:21" x14ac:dyDescent="0.25">
      <c r="A670" t="s">
        <v>19</v>
      </c>
      <c r="B670" t="s">
        <v>20</v>
      </c>
      <c r="C670" t="s">
        <v>320</v>
      </c>
      <c r="D670">
        <v>3</v>
      </c>
      <c r="E670" t="s">
        <v>69</v>
      </c>
      <c r="F670" t="s">
        <v>373</v>
      </c>
      <c r="G670">
        <v>0</v>
      </c>
      <c r="H670">
        <v>0</v>
      </c>
      <c r="I670">
        <f>100-J670</f>
        <v>0</v>
      </c>
      <c r="J670">
        <f>100-G670-H670</f>
        <v>100</v>
      </c>
      <c r="K670" t="s">
        <v>19</v>
      </c>
      <c r="L670" t="s">
        <v>19</v>
      </c>
      <c r="M670" t="s">
        <v>19</v>
      </c>
      <c r="N670" t="s">
        <v>19</v>
      </c>
      <c r="O670" t="s">
        <v>19</v>
      </c>
      <c r="P670" t="s">
        <v>19</v>
      </c>
      <c r="Q670">
        <f>I670</f>
        <v>0</v>
      </c>
      <c r="R670" t="s">
        <v>19</v>
      </c>
      <c r="S670" t="s">
        <v>19</v>
      </c>
      <c r="T670" t="s">
        <v>19</v>
      </c>
    </row>
    <row r="671" spans="1:21" x14ac:dyDescent="0.25">
      <c r="A671" s="2">
        <v>45323.546238425923</v>
      </c>
      <c r="B671" t="s">
        <v>309</v>
      </c>
      <c r="C671" t="s">
        <v>322</v>
      </c>
      <c r="D671">
        <v>3</v>
      </c>
      <c r="E671" t="s">
        <v>69</v>
      </c>
      <c r="F671" t="s">
        <v>373</v>
      </c>
      <c r="G671">
        <f>(O671/(N671+O671+P671))*100</f>
        <v>0</v>
      </c>
      <c r="H671">
        <f>(P671/(O671+P671+N671))*100</f>
        <v>0</v>
      </c>
      <c r="I671">
        <f>((O671+P671)/(P671+O671+N671))*100</f>
        <v>0</v>
      </c>
      <c r="J671">
        <f>(N671/(P671+O671+N671))*100</f>
        <v>100</v>
      </c>
      <c r="K671">
        <v>0.8</v>
      </c>
      <c r="L671">
        <v>0.3</v>
      </c>
      <c r="M671">
        <v>0.7</v>
      </c>
      <c r="N671">
        <v>608</v>
      </c>
      <c r="O671">
        <v>0</v>
      </c>
      <c r="P671">
        <v>0</v>
      </c>
      <c r="Q671">
        <v>0</v>
      </c>
      <c r="R671" t="s">
        <v>253</v>
      </c>
      <c r="S671">
        <v>2.4700000000000002</v>
      </c>
      <c r="T671">
        <v>3.53</v>
      </c>
      <c r="U671">
        <v>6</v>
      </c>
    </row>
    <row r="672" spans="1:21" x14ac:dyDescent="0.25">
      <c r="A672" s="2">
        <v>45323.548020833332</v>
      </c>
      <c r="B672" t="s">
        <v>309</v>
      </c>
      <c r="C672" t="s">
        <v>322</v>
      </c>
      <c r="D672">
        <v>3</v>
      </c>
      <c r="E672" t="s">
        <v>69</v>
      </c>
      <c r="F672" t="s">
        <v>373</v>
      </c>
      <c r="G672">
        <f>(O672/(N672+O672+P672))*100</f>
        <v>0</v>
      </c>
      <c r="H672">
        <f>(P672/(O672+P672+N672))*100</f>
        <v>0</v>
      </c>
      <c r="I672">
        <f>((O672+P672)/(P672+O672+N672))*100</f>
        <v>0</v>
      </c>
      <c r="J672">
        <f>(N672/(P672+O672+N672))*100</f>
        <v>100</v>
      </c>
      <c r="K672">
        <v>0.7</v>
      </c>
      <c r="L672">
        <v>0.3</v>
      </c>
      <c r="M672">
        <v>0.7</v>
      </c>
      <c r="N672">
        <v>608</v>
      </c>
      <c r="O672">
        <v>0</v>
      </c>
      <c r="P672">
        <v>0</v>
      </c>
      <c r="Q672">
        <v>0</v>
      </c>
      <c r="R672" t="s">
        <v>234</v>
      </c>
      <c r="S672">
        <v>2.4700000000000002</v>
      </c>
      <c r="T672">
        <v>3.53</v>
      </c>
      <c r="U672">
        <v>6</v>
      </c>
    </row>
    <row r="673" spans="1:21" x14ac:dyDescent="0.25">
      <c r="A673" s="2">
        <v>45325.122164351851</v>
      </c>
      <c r="B673" t="s">
        <v>309</v>
      </c>
      <c r="C673" t="s">
        <v>368</v>
      </c>
      <c r="D673">
        <v>2</v>
      </c>
      <c r="E673" t="s">
        <v>69</v>
      </c>
      <c r="F673" t="s">
        <v>373</v>
      </c>
      <c r="G673">
        <f>(O673/(N673+O673+P673))*100</f>
        <v>0.17064846416382254</v>
      </c>
      <c r="H673">
        <f>(P673/(O673+P673+N673))*100</f>
        <v>0</v>
      </c>
      <c r="I673">
        <v>0.17</v>
      </c>
      <c r="J673">
        <f>(N673/(P673+O673+N673))*100</f>
        <v>99.829351535836182</v>
      </c>
      <c r="K673">
        <v>0.8</v>
      </c>
      <c r="L673">
        <v>0.3</v>
      </c>
      <c r="M673">
        <v>0.7</v>
      </c>
      <c r="N673">
        <v>585</v>
      </c>
      <c r="O673">
        <v>1</v>
      </c>
      <c r="P673">
        <v>0</v>
      </c>
      <c r="Q673">
        <v>0.17</v>
      </c>
      <c r="R673" t="s">
        <v>278</v>
      </c>
      <c r="S673">
        <v>0.04</v>
      </c>
      <c r="T673">
        <v>0.04</v>
      </c>
    </row>
    <row r="674" spans="1:21" x14ac:dyDescent="0.25">
      <c r="A674" t="s">
        <v>19</v>
      </c>
      <c r="B674" t="s">
        <v>20</v>
      </c>
      <c r="C674" t="s">
        <v>306</v>
      </c>
      <c r="D674">
        <v>3</v>
      </c>
      <c r="E674" t="s">
        <v>70</v>
      </c>
      <c r="F674" t="s">
        <v>373</v>
      </c>
      <c r="G674">
        <v>2</v>
      </c>
      <c r="H674">
        <v>0</v>
      </c>
      <c r="I674">
        <f>G674+H674</f>
        <v>2</v>
      </c>
      <c r="J674">
        <f>100-G674-H674</f>
        <v>98</v>
      </c>
      <c r="K674" t="s">
        <v>19</v>
      </c>
      <c r="L674" t="s">
        <v>19</v>
      </c>
      <c r="M674" t="s">
        <v>19</v>
      </c>
      <c r="N674" t="s">
        <v>19</v>
      </c>
      <c r="O674" t="s">
        <v>19</v>
      </c>
      <c r="P674" t="s">
        <v>19</v>
      </c>
      <c r="Q674">
        <f>I674</f>
        <v>2</v>
      </c>
      <c r="R674" t="s">
        <v>19</v>
      </c>
      <c r="S674" t="s">
        <v>19</v>
      </c>
      <c r="T674" t="s">
        <v>19</v>
      </c>
    </row>
    <row r="675" spans="1:21" x14ac:dyDescent="0.25">
      <c r="A675" t="s">
        <v>19</v>
      </c>
      <c r="B675" t="s">
        <v>20</v>
      </c>
      <c r="C675" t="s">
        <v>308</v>
      </c>
      <c r="D675">
        <v>3</v>
      </c>
      <c r="E675" t="s">
        <v>70</v>
      </c>
      <c r="F675" t="s">
        <v>373</v>
      </c>
      <c r="G675">
        <v>0</v>
      </c>
      <c r="H675">
        <v>0</v>
      </c>
      <c r="I675">
        <f>G675+H675</f>
        <v>0</v>
      </c>
      <c r="J675">
        <f>100-G675-H675</f>
        <v>100</v>
      </c>
      <c r="K675" t="s">
        <v>19</v>
      </c>
      <c r="L675" t="s">
        <v>19</v>
      </c>
      <c r="M675" t="s">
        <v>19</v>
      </c>
      <c r="N675" t="s">
        <v>19</v>
      </c>
      <c r="O675" t="s">
        <v>19</v>
      </c>
      <c r="P675" t="s">
        <v>19</v>
      </c>
      <c r="Q675">
        <f>I675</f>
        <v>0</v>
      </c>
      <c r="R675" t="s">
        <v>19</v>
      </c>
      <c r="S675" t="s">
        <v>19</v>
      </c>
      <c r="T675" t="s">
        <v>19</v>
      </c>
    </row>
    <row r="676" spans="1:21" x14ac:dyDescent="0.25">
      <c r="A676" t="s">
        <v>19</v>
      </c>
      <c r="B676" t="s">
        <v>20</v>
      </c>
      <c r="C676" t="s">
        <v>22</v>
      </c>
      <c r="D676">
        <v>3</v>
      </c>
      <c r="E676" t="s">
        <v>70</v>
      </c>
      <c r="F676" t="s">
        <v>373</v>
      </c>
      <c r="G676">
        <v>0</v>
      </c>
      <c r="H676">
        <v>0</v>
      </c>
      <c r="I676">
        <f>G676+H676</f>
        <v>0</v>
      </c>
      <c r="J676">
        <f>100-G676-H676</f>
        <v>100</v>
      </c>
      <c r="K676" t="s">
        <v>19</v>
      </c>
      <c r="L676" t="s">
        <v>19</v>
      </c>
      <c r="M676" t="s">
        <v>19</v>
      </c>
      <c r="N676" t="s">
        <v>19</v>
      </c>
      <c r="O676" t="s">
        <v>19</v>
      </c>
      <c r="P676" t="s">
        <v>19</v>
      </c>
      <c r="Q676">
        <f>I676</f>
        <v>0</v>
      </c>
      <c r="R676" t="s">
        <v>19</v>
      </c>
      <c r="S676" t="s">
        <v>19</v>
      </c>
      <c r="T676" t="s">
        <v>19</v>
      </c>
    </row>
    <row r="677" spans="1:21" x14ac:dyDescent="0.25">
      <c r="A677" t="s">
        <v>19</v>
      </c>
      <c r="B677" t="s">
        <v>20</v>
      </c>
      <c r="C677" t="s">
        <v>305</v>
      </c>
      <c r="D677">
        <v>3</v>
      </c>
      <c r="E677" t="s">
        <v>70</v>
      </c>
      <c r="F677" t="s">
        <v>373</v>
      </c>
      <c r="G677">
        <v>1</v>
      </c>
      <c r="H677">
        <v>0</v>
      </c>
      <c r="I677">
        <f>G677+H677</f>
        <v>1</v>
      </c>
      <c r="J677">
        <f>100-G677-H677</f>
        <v>99</v>
      </c>
      <c r="K677" t="s">
        <v>19</v>
      </c>
      <c r="L677" t="s">
        <v>19</v>
      </c>
      <c r="M677" t="s">
        <v>19</v>
      </c>
      <c r="N677" t="s">
        <v>19</v>
      </c>
      <c r="O677" t="s">
        <v>19</v>
      </c>
      <c r="P677" t="s">
        <v>19</v>
      </c>
      <c r="Q677">
        <f>I677</f>
        <v>1</v>
      </c>
      <c r="R677" t="s">
        <v>19</v>
      </c>
      <c r="S677" t="s">
        <v>19</v>
      </c>
      <c r="T677" t="s">
        <v>19</v>
      </c>
    </row>
    <row r="678" spans="1:21" x14ac:dyDescent="0.25">
      <c r="A678" t="s">
        <v>19</v>
      </c>
      <c r="B678" t="s">
        <v>20</v>
      </c>
      <c r="C678" t="s">
        <v>307</v>
      </c>
      <c r="D678">
        <v>3</v>
      </c>
      <c r="E678" t="s">
        <v>70</v>
      </c>
      <c r="F678" t="s">
        <v>373</v>
      </c>
      <c r="G678">
        <v>0</v>
      </c>
      <c r="H678">
        <v>0</v>
      </c>
      <c r="I678">
        <f>G678+H678</f>
        <v>0</v>
      </c>
      <c r="J678">
        <f>100-G678-H678</f>
        <v>100</v>
      </c>
      <c r="K678" t="s">
        <v>19</v>
      </c>
      <c r="L678" t="s">
        <v>19</v>
      </c>
      <c r="M678" t="s">
        <v>19</v>
      </c>
      <c r="N678" t="s">
        <v>19</v>
      </c>
      <c r="O678" t="s">
        <v>19</v>
      </c>
      <c r="P678" t="s">
        <v>19</v>
      </c>
      <c r="Q678">
        <f>I678</f>
        <v>0</v>
      </c>
      <c r="R678" t="s">
        <v>19</v>
      </c>
      <c r="S678" t="s">
        <v>19</v>
      </c>
      <c r="T678" t="s">
        <v>19</v>
      </c>
    </row>
    <row r="679" spans="1:21" x14ac:dyDescent="0.25">
      <c r="A679" s="2">
        <v>45253.704861111109</v>
      </c>
      <c r="B679" t="s">
        <v>309</v>
      </c>
      <c r="C679" t="s">
        <v>213</v>
      </c>
      <c r="D679">
        <v>3</v>
      </c>
      <c r="E679" t="s">
        <v>70</v>
      </c>
      <c r="F679" t="s">
        <v>373</v>
      </c>
      <c r="G679">
        <v>2.0761245669999999</v>
      </c>
      <c r="H679">
        <v>0</v>
      </c>
      <c r="I679">
        <v>2.0761245669999999</v>
      </c>
      <c r="J679">
        <v>97.923875429999995</v>
      </c>
      <c r="K679">
        <v>0.8</v>
      </c>
      <c r="L679">
        <v>0.2</v>
      </c>
      <c r="M679">
        <v>0.7</v>
      </c>
      <c r="N679">
        <v>566</v>
      </c>
      <c r="O679">
        <v>12</v>
      </c>
      <c r="P679">
        <v>0</v>
      </c>
      <c r="Q679">
        <v>2.08</v>
      </c>
      <c r="R679" t="s">
        <v>260</v>
      </c>
      <c r="S679">
        <v>2.88</v>
      </c>
      <c r="T679">
        <v>3.09</v>
      </c>
    </row>
    <row r="680" spans="1:21" x14ac:dyDescent="0.25">
      <c r="A680" s="2">
        <v>45253.921527777777</v>
      </c>
      <c r="B680" t="s">
        <v>309</v>
      </c>
      <c r="C680" t="s">
        <v>215</v>
      </c>
      <c r="D680">
        <v>2</v>
      </c>
      <c r="E680" t="s">
        <v>70</v>
      </c>
      <c r="F680" t="s">
        <v>373</v>
      </c>
      <c r="G680">
        <v>1.7160686430000001</v>
      </c>
      <c r="H680">
        <v>0</v>
      </c>
      <c r="I680">
        <v>1.7160686430000001</v>
      </c>
      <c r="J680">
        <v>98.283931359999997</v>
      </c>
      <c r="K680">
        <v>0.8</v>
      </c>
      <c r="L680">
        <v>0.2</v>
      </c>
      <c r="M680">
        <v>0.7</v>
      </c>
      <c r="N680">
        <v>630</v>
      </c>
      <c r="O680">
        <v>11</v>
      </c>
      <c r="P680">
        <v>0</v>
      </c>
      <c r="Q680">
        <v>1.72</v>
      </c>
      <c r="R680" t="s">
        <v>257</v>
      </c>
      <c r="S680">
        <v>0.06</v>
      </c>
      <c r="T680">
        <v>7.0000000000000007E-2</v>
      </c>
    </row>
    <row r="681" spans="1:21" x14ac:dyDescent="0.25">
      <c r="A681" s="2">
        <v>45254.095138888886</v>
      </c>
      <c r="B681" t="s">
        <v>309</v>
      </c>
      <c r="C681" t="s">
        <v>217</v>
      </c>
      <c r="D681">
        <v>2</v>
      </c>
      <c r="E681" t="s">
        <v>70</v>
      </c>
      <c r="F681" t="s">
        <v>373</v>
      </c>
      <c r="G681">
        <v>1.3719512199999999</v>
      </c>
      <c r="H681">
        <v>0</v>
      </c>
      <c r="I681">
        <v>1.3719512199999999</v>
      </c>
      <c r="J681">
        <v>98.62804878</v>
      </c>
      <c r="K681">
        <v>0.8</v>
      </c>
      <c r="L681">
        <v>0.2</v>
      </c>
      <c r="M681">
        <v>0.7</v>
      </c>
      <c r="N681">
        <v>647</v>
      </c>
      <c r="O681">
        <v>9</v>
      </c>
      <c r="P681">
        <v>0</v>
      </c>
      <c r="Q681">
        <v>1.37</v>
      </c>
      <c r="R681" t="s">
        <v>224</v>
      </c>
      <c r="S681">
        <v>0.04</v>
      </c>
      <c r="T681">
        <v>0.04</v>
      </c>
    </row>
    <row r="682" spans="1:21" x14ac:dyDescent="0.25">
      <c r="A682" s="2">
        <v>45316.431944444441</v>
      </c>
      <c r="B682" t="s">
        <v>309</v>
      </c>
      <c r="C682" t="s">
        <v>219</v>
      </c>
      <c r="D682">
        <v>3</v>
      </c>
      <c r="E682" t="s">
        <v>70</v>
      </c>
      <c r="F682" t="s">
        <v>373</v>
      </c>
      <c r="G682">
        <v>4.9115913559999997</v>
      </c>
      <c r="H682">
        <v>0.19646365399999999</v>
      </c>
      <c r="I682">
        <v>5.1080550100000002</v>
      </c>
      <c r="J682">
        <v>94.891944989999999</v>
      </c>
      <c r="K682">
        <v>0.8</v>
      </c>
      <c r="L682">
        <v>0.2</v>
      </c>
      <c r="M682">
        <v>0.7</v>
      </c>
      <c r="N682">
        <v>483</v>
      </c>
      <c r="O682">
        <v>25</v>
      </c>
      <c r="P682">
        <v>1</v>
      </c>
      <c r="Q682">
        <v>5.1100000000000003</v>
      </c>
      <c r="R682" t="s">
        <v>224</v>
      </c>
      <c r="S682">
        <v>3.12</v>
      </c>
      <c r="T682">
        <v>4.1900000000000004</v>
      </c>
    </row>
    <row r="683" spans="1:21" x14ac:dyDescent="0.25">
      <c r="A683" s="2">
        <v>45320.953472222223</v>
      </c>
      <c r="B683" t="s">
        <v>309</v>
      </c>
      <c r="C683" t="s">
        <v>221</v>
      </c>
      <c r="D683">
        <v>2</v>
      </c>
      <c r="E683" t="s">
        <v>70</v>
      </c>
      <c r="F683" t="s">
        <v>373</v>
      </c>
      <c r="G683">
        <v>1.830282862</v>
      </c>
      <c r="H683">
        <v>0</v>
      </c>
      <c r="I683">
        <v>1.830282862</v>
      </c>
      <c r="J683">
        <v>98.169717140000003</v>
      </c>
      <c r="K683">
        <v>0.8</v>
      </c>
      <c r="L683">
        <v>0.3</v>
      </c>
      <c r="M683">
        <v>0.7</v>
      </c>
      <c r="N683">
        <v>590</v>
      </c>
      <c r="O683">
        <v>11</v>
      </c>
      <c r="P683">
        <v>0</v>
      </c>
      <c r="Q683">
        <v>1.83</v>
      </c>
      <c r="R683" t="s">
        <v>222</v>
      </c>
      <c r="S683">
        <v>0.15</v>
      </c>
      <c r="T683">
        <v>0.15</v>
      </c>
    </row>
    <row r="684" spans="1:21" x14ac:dyDescent="0.25">
      <c r="A684" t="s">
        <v>19</v>
      </c>
      <c r="B684" t="s">
        <v>20</v>
      </c>
      <c r="C684" t="s">
        <v>320</v>
      </c>
      <c r="D684">
        <v>3</v>
      </c>
      <c r="E684" t="s">
        <v>70</v>
      </c>
      <c r="F684" t="s">
        <v>373</v>
      </c>
      <c r="G684">
        <v>0</v>
      </c>
      <c r="H684">
        <v>0</v>
      </c>
      <c r="I684">
        <f>100-J684</f>
        <v>0</v>
      </c>
      <c r="J684">
        <f>100-G684-H684</f>
        <v>100</v>
      </c>
      <c r="K684" t="s">
        <v>19</v>
      </c>
      <c r="L684" t="s">
        <v>19</v>
      </c>
      <c r="M684" t="s">
        <v>19</v>
      </c>
      <c r="N684" t="s">
        <v>19</v>
      </c>
      <c r="O684" t="s">
        <v>19</v>
      </c>
      <c r="P684" t="s">
        <v>19</v>
      </c>
      <c r="Q684">
        <f>I684</f>
        <v>0</v>
      </c>
      <c r="R684" t="s">
        <v>19</v>
      </c>
      <c r="S684" t="s">
        <v>19</v>
      </c>
      <c r="T684" t="s">
        <v>19</v>
      </c>
    </row>
    <row r="685" spans="1:21" x14ac:dyDescent="0.25">
      <c r="A685" s="2">
        <v>45323.547789351855</v>
      </c>
      <c r="B685" t="s">
        <v>309</v>
      </c>
      <c r="C685" t="s">
        <v>322</v>
      </c>
      <c r="D685">
        <v>3</v>
      </c>
      <c r="E685" t="s">
        <v>70</v>
      </c>
      <c r="F685" t="s">
        <v>373</v>
      </c>
      <c r="G685">
        <f>(O685/(N685+O685+P685))*100</f>
        <v>1.4285714285714286</v>
      </c>
      <c r="H685">
        <f>(P685/(O685+P685+N685))*100</f>
        <v>0</v>
      </c>
      <c r="I685">
        <f>((O685+P685)/(P685+O685+N685))*100</f>
        <v>1.4285714285714286</v>
      </c>
      <c r="J685">
        <f>(N685/(P685+O685+N685))*100</f>
        <v>98.571428571428584</v>
      </c>
      <c r="K685">
        <v>0.8</v>
      </c>
      <c r="L685">
        <v>0.3</v>
      </c>
      <c r="M685">
        <v>0.7</v>
      </c>
      <c r="N685">
        <v>621</v>
      </c>
      <c r="O685">
        <v>9</v>
      </c>
      <c r="P685">
        <v>0</v>
      </c>
      <c r="Q685">
        <v>1.43</v>
      </c>
      <c r="R685" t="s">
        <v>234</v>
      </c>
      <c r="S685">
        <v>2.73</v>
      </c>
      <c r="T685">
        <v>2.91</v>
      </c>
      <c r="U685">
        <v>32</v>
      </c>
    </row>
    <row r="686" spans="1:21" x14ac:dyDescent="0.25">
      <c r="A686" s="2">
        <v>45323.54959490741</v>
      </c>
      <c r="B686" t="s">
        <v>309</v>
      </c>
      <c r="C686" t="s">
        <v>322</v>
      </c>
      <c r="D686">
        <v>3</v>
      </c>
      <c r="E686" t="s">
        <v>70</v>
      </c>
      <c r="F686" t="s">
        <v>373</v>
      </c>
      <c r="G686">
        <f>(O686/(N686+O686+P686))*100</f>
        <v>1.740506329113924</v>
      </c>
      <c r="H686">
        <f>(P686/(O686+P686+N686))*100</f>
        <v>0</v>
      </c>
      <c r="I686">
        <f>((O686+P686)/(P686+O686+N686))*100</f>
        <v>1.740506329113924</v>
      </c>
      <c r="J686">
        <f>(N686/(P686+O686+N686))*100</f>
        <v>98.259493670886073</v>
      </c>
      <c r="K686">
        <v>0.7</v>
      </c>
      <c r="L686">
        <v>0.3</v>
      </c>
      <c r="M686">
        <v>0.7</v>
      </c>
      <c r="N686">
        <v>621</v>
      </c>
      <c r="O686">
        <v>11</v>
      </c>
      <c r="P686">
        <v>0</v>
      </c>
      <c r="Q686">
        <v>1.74</v>
      </c>
      <c r="R686" t="s">
        <v>230</v>
      </c>
      <c r="S686">
        <v>2.73</v>
      </c>
      <c r="T686">
        <v>2.91</v>
      </c>
      <c r="U686">
        <v>30</v>
      </c>
    </row>
    <row r="687" spans="1:21" x14ac:dyDescent="0.25">
      <c r="A687" s="2">
        <v>45325.123379629629</v>
      </c>
      <c r="B687" t="s">
        <v>309</v>
      </c>
      <c r="C687" t="s">
        <v>368</v>
      </c>
      <c r="D687">
        <v>2</v>
      </c>
      <c r="E687" t="s">
        <v>70</v>
      </c>
      <c r="F687" t="s">
        <v>373</v>
      </c>
      <c r="G687">
        <f>(O687/(N687+O687+P687))*100</f>
        <v>1.0920436817472698</v>
      </c>
      <c r="H687">
        <f>(P687/(O687+P687+N687))*100</f>
        <v>0</v>
      </c>
      <c r="I687">
        <v>1.0900000000000001</v>
      </c>
      <c r="J687">
        <f>(N687/(P687+O687+N687))*100</f>
        <v>98.907956318252729</v>
      </c>
      <c r="K687">
        <v>0.8</v>
      </c>
      <c r="L687">
        <v>0.3</v>
      </c>
      <c r="M687">
        <v>0.7</v>
      </c>
      <c r="N687">
        <v>634</v>
      </c>
      <c r="O687">
        <v>7</v>
      </c>
      <c r="P687">
        <v>0</v>
      </c>
      <c r="Q687">
        <v>1.0900000000000001</v>
      </c>
      <c r="R687" t="s">
        <v>271</v>
      </c>
      <c r="S687">
        <v>0.05</v>
      </c>
      <c r="T687">
        <v>0.05</v>
      </c>
    </row>
    <row r="688" spans="1:21" x14ac:dyDescent="0.25">
      <c r="A688" t="s">
        <v>19</v>
      </c>
      <c r="B688" t="s">
        <v>20</v>
      </c>
      <c r="C688" t="s">
        <v>306</v>
      </c>
      <c r="D688">
        <v>3</v>
      </c>
      <c r="E688" t="s">
        <v>71</v>
      </c>
      <c r="F688" t="s">
        <v>373</v>
      </c>
      <c r="G688">
        <v>4</v>
      </c>
      <c r="H688">
        <v>0</v>
      </c>
      <c r="I688">
        <f>G688+H688</f>
        <v>4</v>
      </c>
      <c r="J688">
        <f>100-G688-H688</f>
        <v>96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  <c r="P688" t="s">
        <v>19</v>
      </c>
      <c r="Q688">
        <f>I688</f>
        <v>4</v>
      </c>
      <c r="R688" t="s">
        <v>19</v>
      </c>
      <c r="S688" t="s">
        <v>19</v>
      </c>
      <c r="T688" t="s">
        <v>19</v>
      </c>
    </row>
    <row r="689" spans="1:21" x14ac:dyDescent="0.25">
      <c r="A689" t="s">
        <v>19</v>
      </c>
      <c r="B689" t="s">
        <v>20</v>
      </c>
      <c r="C689" t="s">
        <v>308</v>
      </c>
      <c r="D689">
        <v>3</v>
      </c>
      <c r="E689" t="s">
        <v>71</v>
      </c>
      <c r="F689" t="s">
        <v>373</v>
      </c>
      <c r="G689">
        <v>8</v>
      </c>
      <c r="H689">
        <v>0</v>
      </c>
      <c r="I689">
        <f>G689+H689</f>
        <v>8</v>
      </c>
      <c r="J689">
        <f>100-G689-H689</f>
        <v>92</v>
      </c>
      <c r="K689" t="s">
        <v>19</v>
      </c>
      <c r="L689" t="s">
        <v>19</v>
      </c>
      <c r="M689" t="s">
        <v>19</v>
      </c>
      <c r="N689" t="s">
        <v>19</v>
      </c>
      <c r="O689" t="s">
        <v>19</v>
      </c>
      <c r="P689" t="s">
        <v>19</v>
      </c>
      <c r="Q689">
        <f>I689</f>
        <v>8</v>
      </c>
      <c r="R689" t="s">
        <v>19</v>
      </c>
      <c r="S689" t="s">
        <v>19</v>
      </c>
      <c r="T689" t="s">
        <v>19</v>
      </c>
    </row>
    <row r="690" spans="1:21" x14ac:dyDescent="0.25">
      <c r="A690" t="s">
        <v>19</v>
      </c>
      <c r="B690" t="s">
        <v>20</v>
      </c>
      <c r="C690" t="s">
        <v>22</v>
      </c>
      <c r="D690">
        <v>3</v>
      </c>
      <c r="E690" t="s">
        <v>71</v>
      </c>
      <c r="F690" t="s">
        <v>373</v>
      </c>
      <c r="G690">
        <v>0</v>
      </c>
      <c r="H690">
        <v>0</v>
      </c>
      <c r="I690">
        <f>G690+H690</f>
        <v>0</v>
      </c>
      <c r="J690">
        <f>100-G690-H690</f>
        <v>100</v>
      </c>
      <c r="K690" t="s">
        <v>19</v>
      </c>
      <c r="L690" t="s">
        <v>19</v>
      </c>
      <c r="M690" t="s">
        <v>19</v>
      </c>
      <c r="N690" t="s">
        <v>19</v>
      </c>
      <c r="O690" t="s">
        <v>19</v>
      </c>
      <c r="P690" t="s">
        <v>19</v>
      </c>
      <c r="Q690">
        <f>I690</f>
        <v>0</v>
      </c>
      <c r="R690" t="s">
        <v>19</v>
      </c>
      <c r="S690" t="s">
        <v>19</v>
      </c>
      <c r="T690" t="s">
        <v>19</v>
      </c>
    </row>
    <row r="691" spans="1:21" x14ac:dyDescent="0.25">
      <c r="A691" t="s">
        <v>19</v>
      </c>
      <c r="B691" t="s">
        <v>20</v>
      </c>
      <c r="C691" t="s">
        <v>305</v>
      </c>
      <c r="D691">
        <v>3</v>
      </c>
      <c r="E691" t="s">
        <v>71</v>
      </c>
      <c r="F691" t="s">
        <v>373</v>
      </c>
      <c r="G691">
        <v>2</v>
      </c>
      <c r="H691">
        <v>0</v>
      </c>
      <c r="I691">
        <f>G691+H691</f>
        <v>2</v>
      </c>
      <c r="J691">
        <f>100-G691-H691</f>
        <v>98</v>
      </c>
      <c r="K691" t="s">
        <v>19</v>
      </c>
      <c r="L691" t="s">
        <v>19</v>
      </c>
      <c r="M691" t="s">
        <v>19</v>
      </c>
      <c r="N691" t="s">
        <v>19</v>
      </c>
      <c r="O691" t="s">
        <v>19</v>
      </c>
      <c r="P691" t="s">
        <v>19</v>
      </c>
      <c r="Q691">
        <f>I691</f>
        <v>2</v>
      </c>
      <c r="R691" t="s">
        <v>19</v>
      </c>
      <c r="S691" t="s">
        <v>19</v>
      </c>
      <c r="T691" t="s">
        <v>19</v>
      </c>
    </row>
    <row r="692" spans="1:21" x14ac:dyDescent="0.25">
      <c r="A692" t="s">
        <v>19</v>
      </c>
      <c r="B692" t="s">
        <v>20</v>
      </c>
      <c r="C692" t="s">
        <v>307</v>
      </c>
      <c r="D692">
        <v>3</v>
      </c>
      <c r="E692" t="s">
        <v>71</v>
      </c>
      <c r="F692" t="s">
        <v>373</v>
      </c>
      <c r="G692">
        <v>0</v>
      </c>
      <c r="H692">
        <v>0</v>
      </c>
      <c r="I692">
        <f>G692+H692</f>
        <v>0</v>
      </c>
      <c r="J692">
        <f>100-G692-H692</f>
        <v>100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>
        <f>I692</f>
        <v>0</v>
      </c>
      <c r="R692" t="s">
        <v>19</v>
      </c>
      <c r="S692" t="s">
        <v>19</v>
      </c>
      <c r="T692" t="s">
        <v>19</v>
      </c>
    </row>
    <row r="693" spans="1:21" x14ac:dyDescent="0.25">
      <c r="A693" s="2">
        <v>45253.706944444442</v>
      </c>
      <c r="B693" t="s">
        <v>309</v>
      </c>
      <c r="C693" t="s">
        <v>213</v>
      </c>
      <c r="D693">
        <v>3</v>
      </c>
      <c r="E693" t="s">
        <v>71</v>
      </c>
      <c r="F693" t="s">
        <v>373</v>
      </c>
      <c r="G693">
        <v>2.9315960909999998</v>
      </c>
      <c r="H693">
        <v>0</v>
      </c>
      <c r="I693">
        <v>2.9315960909999998</v>
      </c>
      <c r="J693">
        <v>97.068403910000001</v>
      </c>
      <c r="K693">
        <v>0.8</v>
      </c>
      <c r="L693">
        <v>0.2</v>
      </c>
      <c r="M693">
        <v>0.7</v>
      </c>
      <c r="N693">
        <v>596</v>
      </c>
      <c r="O693">
        <v>18</v>
      </c>
      <c r="P693">
        <v>0</v>
      </c>
      <c r="Q693">
        <v>2.93</v>
      </c>
      <c r="R693" t="s">
        <v>238</v>
      </c>
      <c r="S693">
        <v>2.99</v>
      </c>
      <c r="T693">
        <v>3.24</v>
      </c>
    </row>
    <row r="694" spans="1:21" x14ac:dyDescent="0.25">
      <c r="A694" s="2">
        <v>45253.922222222223</v>
      </c>
      <c r="B694" t="s">
        <v>309</v>
      </c>
      <c r="C694" t="s">
        <v>215</v>
      </c>
      <c r="D694">
        <v>2</v>
      </c>
      <c r="E694" t="s">
        <v>71</v>
      </c>
      <c r="F694" t="s">
        <v>373</v>
      </c>
      <c r="G694">
        <v>2.9733959310000002</v>
      </c>
      <c r="H694">
        <v>0</v>
      </c>
      <c r="I694">
        <v>2.9733959310000002</v>
      </c>
      <c r="J694">
        <v>97.026604070000005</v>
      </c>
      <c r="K694">
        <v>0.8</v>
      </c>
      <c r="L694">
        <v>0.2</v>
      </c>
      <c r="M694">
        <v>0.7</v>
      </c>
      <c r="N694">
        <v>620</v>
      </c>
      <c r="O694">
        <v>19</v>
      </c>
      <c r="P694">
        <v>0</v>
      </c>
      <c r="Q694">
        <v>2.97</v>
      </c>
      <c r="R694" t="s">
        <v>257</v>
      </c>
      <c r="S694">
        <v>0.12</v>
      </c>
      <c r="T694">
        <v>0.13</v>
      </c>
    </row>
    <row r="695" spans="1:21" x14ac:dyDescent="0.25">
      <c r="A695" s="2">
        <v>45254.095833333333</v>
      </c>
      <c r="B695" t="s">
        <v>309</v>
      </c>
      <c r="C695" t="s">
        <v>217</v>
      </c>
      <c r="D695">
        <v>2</v>
      </c>
      <c r="E695" t="s">
        <v>71</v>
      </c>
      <c r="F695" t="s">
        <v>373</v>
      </c>
      <c r="G695">
        <v>2.2255192880000001</v>
      </c>
      <c r="H695">
        <v>0</v>
      </c>
      <c r="I695">
        <v>2.2255192880000001</v>
      </c>
      <c r="J695">
        <v>97.774480710000006</v>
      </c>
      <c r="K695">
        <v>0.8</v>
      </c>
      <c r="L695">
        <v>0.2</v>
      </c>
      <c r="M695">
        <v>0.7</v>
      </c>
      <c r="N695">
        <v>659</v>
      </c>
      <c r="O695">
        <v>15</v>
      </c>
      <c r="P695">
        <v>0</v>
      </c>
      <c r="Q695">
        <v>2.23</v>
      </c>
      <c r="R695" t="s">
        <v>227</v>
      </c>
      <c r="S695">
        <v>0.08</v>
      </c>
      <c r="T695">
        <v>0.08</v>
      </c>
    </row>
    <row r="696" spans="1:21" x14ac:dyDescent="0.25">
      <c r="A696" s="2">
        <v>45316.432638888888</v>
      </c>
      <c r="B696" t="s">
        <v>309</v>
      </c>
      <c r="C696" t="s">
        <v>219</v>
      </c>
      <c r="D696">
        <v>3</v>
      </c>
      <c r="E696" t="s">
        <v>71</v>
      </c>
      <c r="F696" t="s">
        <v>373</v>
      </c>
      <c r="G696">
        <v>0.64102564100000003</v>
      </c>
      <c r="H696">
        <v>0.16025640999999999</v>
      </c>
      <c r="I696">
        <v>0.80128205100000005</v>
      </c>
      <c r="J696">
        <v>99.198717950000002</v>
      </c>
      <c r="K696">
        <v>0.8</v>
      </c>
      <c r="L696">
        <v>0.2</v>
      </c>
      <c r="M696">
        <v>0.7</v>
      </c>
      <c r="N696">
        <v>619</v>
      </c>
      <c r="O696">
        <v>4</v>
      </c>
      <c r="P696">
        <v>1</v>
      </c>
      <c r="Q696">
        <v>0.8</v>
      </c>
      <c r="R696" t="s">
        <v>225</v>
      </c>
      <c r="S696">
        <v>2.94</v>
      </c>
      <c r="T696">
        <v>4.1399999999999997</v>
      </c>
    </row>
    <row r="697" spans="1:21" x14ac:dyDescent="0.25">
      <c r="A697" s="2">
        <v>45320.95416666667</v>
      </c>
      <c r="B697" t="s">
        <v>309</v>
      </c>
      <c r="C697" t="s">
        <v>221</v>
      </c>
      <c r="D697">
        <v>2</v>
      </c>
      <c r="E697" t="s">
        <v>71</v>
      </c>
      <c r="F697" t="s">
        <v>373</v>
      </c>
      <c r="G697">
        <v>5.6542810990000003</v>
      </c>
      <c r="H697">
        <v>0</v>
      </c>
      <c r="I697">
        <v>5.6542810990000003</v>
      </c>
      <c r="J697">
        <v>94.345718899999994</v>
      </c>
      <c r="K697">
        <v>0.8</v>
      </c>
      <c r="L697">
        <v>0.3</v>
      </c>
      <c r="M697">
        <v>0.7</v>
      </c>
      <c r="N697">
        <v>584</v>
      </c>
      <c r="O697">
        <v>35</v>
      </c>
      <c r="P697">
        <v>0</v>
      </c>
      <c r="Q697">
        <v>5.65</v>
      </c>
      <c r="R697" t="s">
        <v>235</v>
      </c>
      <c r="S697">
        <v>0.23</v>
      </c>
      <c r="T697">
        <v>0.24</v>
      </c>
    </row>
    <row r="698" spans="1:21" x14ac:dyDescent="0.25">
      <c r="A698" t="s">
        <v>19</v>
      </c>
      <c r="B698" t="s">
        <v>20</v>
      </c>
      <c r="C698" t="s">
        <v>320</v>
      </c>
      <c r="D698">
        <v>3</v>
      </c>
      <c r="E698" t="s">
        <v>71</v>
      </c>
      <c r="F698" t="s">
        <v>373</v>
      </c>
      <c r="G698">
        <v>0</v>
      </c>
      <c r="H698">
        <v>0</v>
      </c>
      <c r="I698">
        <f>100-J698</f>
        <v>0</v>
      </c>
      <c r="J698">
        <f>100-G698-H698</f>
        <v>100</v>
      </c>
      <c r="K698" t="s">
        <v>19</v>
      </c>
      <c r="L698" t="s">
        <v>19</v>
      </c>
      <c r="M698" t="s">
        <v>19</v>
      </c>
      <c r="N698" t="s">
        <v>19</v>
      </c>
      <c r="O698" t="s">
        <v>19</v>
      </c>
      <c r="P698" t="s">
        <v>19</v>
      </c>
      <c r="Q698">
        <f>I698</f>
        <v>0</v>
      </c>
      <c r="R698" t="s">
        <v>19</v>
      </c>
      <c r="S698" t="s">
        <v>19</v>
      </c>
      <c r="T698" t="s">
        <v>19</v>
      </c>
    </row>
    <row r="699" spans="1:21" x14ac:dyDescent="0.25">
      <c r="A699" s="2">
        <v>45323.549375000002</v>
      </c>
      <c r="B699" t="s">
        <v>309</v>
      </c>
      <c r="C699" t="s">
        <v>322</v>
      </c>
      <c r="D699">
        <v>3</v>
      </c>
      <c r="E699" t="s">
        <v>71</v>
      </c>
      <c r="F699" t="s">
        <v>373</v>
      </c>
      <c r="G699">
        <f>(O699/(N699+O699+P699))*100</f>
        <v>5.5292259083728279</v>
      </c>
      <c r="H699">
        <f>(P699/(O699+P699+N699))*100</f>
        <v>0</v>
      </c>
      <c r="I699">
        <f>((O699+P699)/(P699+O699+N699))*100</f>
        <v>5.5292259083728279</v>
      </c>
      <c r="J699">
        <f>(N699/(P699+O699+N699))*100</f>
        <v>94.470774091627177</v>
      </c>
      <c r="K699">
        <v>0.8</v>
      </c>
      <c r="L699">
        <v>0.3</v>
      </c>
      <c r="M699">
        <v>0.7</v>
      </c>
      <c r="N699">
        <v>598</v>
      </c>
      <c r="O699">
        <v>35</v>
      </c>
      <c r="P699">
        <v>0</v>
      </c>
      <c r="Q699">
        <v>5.53</v>
      </c>
      <c r="R699" t="s">
        <v>330</v>
      </c>
      <c r="S699">
        <v>2.88</v>
      </c>
      <c r="T699">
        <v>3.18</v>
      </c>
      <c r="U699">
        <v>61</v>
      </c>
    </row>
    <row r="700" spans="1:21" x14ac:dyDescent="0.25">
      <c r="A700" s="2">
        <v>45323.551249999997</v>
      </c>
      <c r="B700" t="s">
        <v>309</v>
      </c>
      <c r="C700" t="s">
        <v>322</v>
      </c>
      <c r="D700">
        <v>3</v>
      </c>
      <c r="E700" t="s">
        <v>71</v>
      </c>
      <c r="F700" t="s">
        <v>373</v>
      </c>
      <c r="G700">
        <f>(O700/(N700+O700+P700))*100</f>
        <v>6.4162754303599367</v>
      </c>
      <c r="H700">
        <f>(P700/(O700+P700+N700))*100</f>
        <v>0</v>
      </c>
      <c r="I700">
        <f>((O700+P700)/(P700+O700+N700))*100</f>
        <v>6.4162754303599367</v>
      </c>
      <c r="J700">
        <f>(N700/(P700+O700+N700))*100</f>
        <v>93.583724569640054</v>
      </c>
      <c r="K700">
        <v>0.7</v>
      </c>
      <c r="L700">
        <v>0.3</v>
      </c>
      <c r="M700">
        <v>0.7</v>
      </c>
      <c r="N700">
        <v>598</v>
      </c>
      <c r="O700">
        <v>41</v>
      </c>
      <c r="P700">
        <v>0</v>
      </c>
      <c r="Q700">
        <v>6.42</v>
      </c>
      <c r="R700" t="s">
        <v>355</v>
      </c>
      <c r="S700">
        <v>2.88</v>
      </c>
      <c r="T700">
        <v>3.18</v>
      </c>
      <c r="U700">
        <v>55</v>
      </c>
    </row>
    <row r="701" spans="1:21" x14ac:dyDescent="0.25">
      <c r="A701" s="2">
        <v>45325.124641203707</v>
      </c>
      <c r="B701" t="s">
        <v>309</v>
      </c>
      <c r="C701" t="s">
        <v>368</v>
      </c>
      <c r="D701">
        <v>2</v>
      </c>
      <c r="E701" t="s">
        <v>71</v>
      </c>
      <c r="F701" t="s">
        <v>373</v>
      </c>
      <c r="G701">
        <f>(O701/(N701+O701+P701))*100</f>
        <v>4.8192771084337354</v>
      </c>
      <c r="H701">
        <f>(P701/(O701+P701+N701))*100</f>
        <v>0</v>
      </c>
      <c r="I701">
        <v>4.82</v>
      </c>
      <c r="J701">
        <f>(N701/(P701+O701+N701))*100</f>
        <v>95.180722891566262</v>
      </c>
      <c r="K701">
        <v>0.8</v>
      </c>
      <c r="L701">
        <v>0.3</v>
      </c>
      <c r="M701">
        <v>0.7</v>
      </c>
      <c r="N701">
        <v>632</v>
      </c>
      <c r="O701">
        <v>32</v>
      </c>
      <c r="P701">
        <v>0</v>
      </c>
      <c r="Q701">
        <v>4.82</v>
      </c>
      <c r="R701" t="s">
        <v>279</v>
      </c>
      <c r="S701">
        <v>0.14000000000000001</v>
      </c>
      <c r="T701">
        <v>0.15</v>
      </c>
    </row>
    <row r="702" spans="1:21" x14ac:dyDescent="0.25">
      <c r="A702" t="s">
        <v>19</v>
      </c>
      <c r="B702" t="s">
        <v>20</v>
      </c>
      <c r="C702" t="s">
        <v>306</v>
      </c>
      <c r="D702">
        <v>3</v>
      </c>
      <c r="E702" t="s">
        <v>72</v>
      </c>
      <c r="F702" t="s">
        <v>373</v>
      </c>
      <c r="G702" t="s">
        <v>321</v>
      </c>
      <c r="H702" t="s">
        <v>321</v>
      </c>
      <c r="I702">
        <v>30</v>
      </c>
      <c r="J702">
        <v>70</v>
      </c>
      <c r="K702" t="s">
        <v>19</v>
      </c>
      <c r="L702" t="s">
        <v>19</v>
      </c>
      <c r="M702" t="s">
        <v>19</v>
      </c>
      <c r="N702" t="s">
        <v>19</v>
      </c>
      <c r="O702" t="s">
        <v>19</v>
      </c>
      <c r="P702" t="s">
        <v>19</v>
      </c>
      <c r="Q702">
        <f>I702</f>
        <v>30</v>
      </c>
      <c r="R702" t="s">
        <v>19</v>
      </c>
      <c r="S702" t="s">
        <v>19</v>
      </c>
      <c r="T702" t="s">
        <v>19</v>
      </c>
    </row>
    <row r="703" spans="1:21" x14ac:dyDescent="0.25">
      <c r="A703" t="s">
        <v>19</v>
      </c>
      <c r="B703" t="s">
        <v>20</v>
      </c>
      <c r="C703" t="s">
        <v>308</v>
      </c>
      <c r="D703">
        <v>3</v>
      </c>
      <c r="E703" t="s">
        <v>72</v>
      </c>
      <c r="F703" t="s">
        <v>373</v>
      </c>
      <c r="G703">
        <v>15</v>
      </c>
      <c r="H703">
        <v>0</v>
      </c>
      <c r="I703">
        <f>G703+H703</f>
        <v>15</v>
      </c>
      <c r="J703">
        <f>100-G703-H703</f>
        <v>85</v>
      </c>
      <c r="K703" t="s">
        <v>19</v>
      </c>
      <c r="L703" t="s">
        <v>19</v>
      </c>
      <c r="M703" t="s">
        <v>19</v>
      </c>
      <c r="N703" t="s">
        <v>19</v>
      </c>
      <c r="O703" t="s">
        <v>19</v>
      </c>
      <c r="P703" t="s">
        <v>19</v>
      </c>
      <c r="Q703">
        <f>I703</f>
        <v>15</v>
      </c>
      <c r="R703" t="s">
        <v>19</v>
      </c>
      <c r="S703" t="s">
        <v>19</v>
      </c>
      <c r="T703" t="s">
        <v>19</v>
      </c>
    </row>
    <row r="704" spans="1:21" x14ac:dyDescent="0.25">
      <c r="A704" t="s">
        <v>19</v>
      </c>
      <c r="B704" t="s">
        <v>20</v>
      </c>
      <c r="C704" t="s">
        <v>22</v>
      </c>
      <c r="D704">
        <v>3</v>
      </c>
      <c r="E704" t="s">
        <v>72</v>
      </c>
      <c r="F704" t="s">
        <v>373</v>
      </c>
      <c r="G704">
        <v>30</v>
      </c>
      <c r="H704">
        <v>0</v>
      </c>
      <c r="I704">
        <f>G704+H704</f>
        <v>30</v>
      </c>
      <c r="J704">
        <f>100-G704-H704</f>
        <v>70</v>
      </c>
      <c r="K704" t="s">
        <v>19</v>
      </c>
      <c r="L704" t="s">
        <v>19</v>
      </c>
      <c r="M704" t="s">
        <v>19</v>
      </c>
      <c r="N704" t="s">
        <v>19</v>
      </c>
      <c r="O704" t="s">
        <v>19</v>
      </c>
      <c r="P704" t="s">
        <v>19</v>
      </c>
      <c r="Q704">
        <f>I704</f>
        <v>30</v>
      </c>
      <c r="R704" t="s">
        <v>19</v>
      </c>
      <c r="S704" t="s">
        <v>19</v>
      </c>
      <c r="T704" t="s">
        <v>19</v>
      </c>
    </row>
    <row r="705" spans="1:21" x14ac:dyDescent="0.25">
      <c r="A705" t="s">
        <v>19</v>
      </c>
      <c r="B705" t="s">
        <v>20</v>
      </c>
      <c r="C705" t="s">
        <v>305</v>
      </c>
      <c r="D705">
        <v>3</v>
      </c>
      <c r="E705" t="s">
        <v>72</v>
      </c>
      <c r="F705" t="s">
        <v>373</v>
      </c>
      <c r="G705">
        <v>15</v>
      </c>
      <c r="H705">
        <v>0</v>
      </c>
      <c r="I705">
        <f>G705+H705</f>
        <v>15</v>
      </c>
      <c r="J705">
        <f>100-G705-H705</f>
        <v>85</v>
      </c>
      <c r="K705" t="s">
        <v>19</v>
      </c>
      <c r="L705" t="s">
        <v>19</v>
      </c>
      <c r="M705" t="s">
        <v>19</v>
      </c>
      <c r="N705" t="s">
        <v>19</v>
      </c>
      <c r="O705" t="s">
        <v>19</v>
      </c>
      <c r="P705" t="s">
        <v>19</v>
      </c>
      <c r="Q705">
        <f>I705</f>
        <v>15</v>
      </c>
      <c r="R705" t="s">
        <v>19</v>
      </c>
      <c r="S705" t="s">
        <v>19</v>
      </c>
      <c r="T705" t="s">
        <v>19</v>
      </c>
    </row>
    <row r="706" spans="1:21" x14ac:dyDescent="0.25">
      <c r="A706" t="s">
        <v>19</v>
      </c>
      <c r="B706" t="s">
        <v>20</v>
      </c>
      <c r="C706" t="s">
        <v>307</v>
      </c>
      <c r="D706">
        <v>3</v>
      </c>
      <c r="E706" t="s">
        <v>72</v>
      </c>
      <c r="F706" t="s">
        <v>373</v>
      </c>
      <c r="G706">
        <v>3</v>
      </c>
      <c r="H706">
        <v>1</v>
      </c>
      <c r="I706">
        <f>G706+H706</f>
        <v>4</v>
      </c>
      <c r="J706">
        <f>100-G706-H706</f>
        <v>96</v>
      </c>
      <c r="K706" t="s">
        <v>19</v>
      </c>
      <c r="L706" t="s">
        <v>19</v>
      </c>
      <c r="M706" t="s">
        <v>19</v>
      </c>
      <c r="N706" t="s">
        <v>19</v>
      </c>
      <c r="O706" t="s">
        <v>19</v>
      </c>
      <c r="P706" t="s">
        <v>19</v>
      </c>
      <c r="Q706">
        <f>I706</f>
        <v>4</v>
      </c>
      <c r="R706" t="s">
        <v>19</v>
      </c>
      <c r="S706" t="s">
        <v>19</v>
      </c>
      <c r="T706" t="s">
        <v>19</v>
      </c>
    </row>
    <row r="707" spans="1:21" x14ac:dyDescent="0.25">
      <c r="A707" s="2">
        <v>45253.708333333336</v>
      </c>
      <c r="B707" t="s">
        <v>309</v>
      </c>
      <c r="C707" t="s">
        <v>213</v>
      </c>
      <c r="D707">
        <v>3</v>
      </c>
      <c r="E707" t="s">
        <v>72</v>
      </c>
      <c r="F707" t="s">
        <v>373</v>
      </c>
      <c r="G707">
        <v>27.272727270000001</v>
      </c>
      <c r="H707">
        <v>0</v>
      </c>
      <c r="I707">
        <v>27.272727270000001</v>
      </c>
      <c r="J707">
        <v>72.727272729999996</v>
      </c>
      <c r="K707">
        <v>0.8</v>
      </c>
      <c r="L707">
        <v>0.2</v>
      </c>
      <c r="M707">
        <v>0.7</v>
      </c>
      <c r="N707">
        <v>360</v>
      </c>
      <c r="O707">
        <v>135</v>
      </c>
      <c r="P707">
        <v>0</v>
      </c>
      <c r="Q707">
        <v>27.27</v>
      </c>
      <c r="R707" t="s">
        <v>240</v>
      </c>
      <c r="S707">
        <v>3.1</v>
      </c>
      <c r="T707">
        <v>3.45</v>
      </c>
    </row>
    <row r="708" spans="1:21" x14ac:dyDescent="0.25">
      <c r="A708" s="2">
        <v>45253.92291666667</v>
      </c>
      <c r="B708" t="s">
        <v>309</v>
      </c>
      <c r="C708" t="s">
        <v>215</v>
      </c>
      <c r="D708">
        <v>2</v>
      </c>
      <c r="E708" t="s">
        <v>72</v>
      </c>
      <c r="F708" t="s">
        <v>373</v>
      </c>
      <c r="G708">
        <v>1.0057471259999999</v>
      </c>
      <c r="H708">
        <v>0</v>
      </c>
      <c r="I708">
        <v>1.0057471259999999</v>
      </c>
      <c r="J708">
        <v>98.994252869999997</v>
      </c>
      <c r="K708">
        <v>0.8</v>
      </c>
      <c r="L708">
        <v>0.2</v>
      </c>
      <c r="M708">
        <v>0.7</v>
      </c>
      <c r="N708">
        <v>689</v>
      </c>
      <c r="O708">
        <v>7</v>
      </c>
      <c r="P708">
        <v>0</v>
      </c>
      <c r="Q708">
        <v>1.01</v>
      </c>
      <c r="R708" t="s">
        <v>243</v>
      </c>
      <c r="S708">
        <v>0.04</v>
      </c>
      <c r="T708">
        <v>0.05</v>
      </c>
    </row>
    <row r="709" spans="1:21" x14ac:dyDescent="0.25">
      <c r="A709" s="2">
        <v>45254.097222222219</v>
      </c>
      <c r="B709" t="s">
        <v>309</v>
      </c>
      <c r="C709" t="s">
        <v>217</v>
      </c>
      <c r="D709">
        <v>2</v>
      </c>
      <c r="E709" t="s">
        <v>72</v>
      </c>
      <c r="F709" t="s">
        <v>373</v>
      </c>
      <c r="G709">
        <v>2.5525525529999999</v>
      </c>
      <c r="H709">
        <v>0</v>
      </c>
      <c r="I709">
        <v>2.5525525529999999</v>
      </c>
      <c r="J709">
        <v>97.447447449999999</v>
      </c>
      <c r="K709">
        <v>0.8</v>
      </c>
      <c r="L709">
        <v>0.2</v>
      </c>
      <c r="M709">
        <v>0.7</v>
      </c>
      <c r="N709">
        <v>649</v>
      </c>
      <c r="O709">
        <v>17</v>
      </c>
      <c r="P709">
        <v>0</v>
      </c>
      <c r="Q709">
        <v>2.5499999999999998</v>
      </c>
      <c r="R709" t="s">
        <v>231</v>
      </c>
      <c r="S709">
        <v>0.11</v>
      </c>
      <c r="T709">
        <v>0.12</v>
      </c>
    </row>
    <row r="710" spans="1:21" x14ac:dyDescent="0.25">
      <c r="A710" s="2">
        <v>45316.433333333334</v>
      </c>
      <c r="B710" t="s">
        <v>309</v>
      </c>
      <c r="C710" t="s">
        <v>219</v>
      </c>
      <c r="D710">
        <v>3</v>
      </c>
      <c r="E710" t="s">
        <v>72</v>
      </c>
      <c r="F710" t="s">
        <v>373</v>
      </c>
      <c r="G710">
        <v>39.877300609999999</v>
      </c>
      <c r="H710">
        <v>0</v>
      </c>
      <c r="I710">
        <v>39.877300609999999</v>
      </c>
      <c r="J710">
        <v>60.122699390000001</v>
      </c>
      <c r="K710">
        <v>0.8</v>
      </c>
      <c r="L710">
        <v>0.2</v>
      </c>
      <c r="M710">
        <v>0.7</v>
      </c>
      <c r="N710">
        <v>196</v>
      </c>
      <c r="O710">
        <v>130</v>
      </c>
      <c r="P710">
        <v>0</v>
      </c>
      <c r="Q710">
        <v>39.880000000000003</v>
      </c>
      <c r="R710" t="s">
        <v>218</v>
      </c>
      <c r="S710">
        <v>3.32</v>
      </c>
      <c r="T710">
        <v>4.74</v>
      </c>
    </row>
    <row r="711" spans="1:21" x14ac:dyDescent="0.25">
      <c r="A711" s="2">
        <v>45320.954861111109</v>
      </c>
      <c r="B711" t="s">
        <v>309</v>
      </c>
      <c r="C711" t="s">
        <v>221</v>
      </c>
      <c r="D711">
        <v>2</v>
      </c>
      <c r="E711" t="s">
        <v>72</v>
      </c>
      <c r="F711" t="s">
        <v>373</v>
      </c>
      <c r="G711">
        <v>22.242990649999999</v>
      </c>
      <c r="H711">
        <v>0</v>
      </c>
      <c r="I711">
        <v>22.242990649999999</v>
      </c>
      <c r="J711">
        <v>77.757009350000004</v>
      </c>
      <c r="K711">
        <v>0.8</v>
      </c>
      <c r="L711">
        <v>0.3</v>
      </c>
      <c r="M711">
        <v>0.7</v>
      </c>
      <c r="N711">
        <v>416</v>
      </c>
      <c r="O711">
        <v>119</v>
      </c>
      <c r="P711">
        <v>0</v>
      </c>
      <c r="Q711">
        <v>22.24</v>
      </c>
      <c r="R711" t="s">
        <v>254</v>
      </c>
      <c r="S711">
        <v>0.8</v>
      </c>
      <c r="T711">
        <v>0.83</v>
      </c>
    </row>
    <row r="712" spans="1:21" x14ac:dyDescent="0.25">
      <c r="A712" t="s">
        <v>19</v>
      </c>
      <c r="B712" t="s">
        <v>20</v>
      </c>
      <c r="C712" t="s">
        <v>320</v>
      </c>
      <c r="D712">
        <v>3</v>
      </c>
      <c r="E712" t="s">
        <v>72</v>
      </c>
      <c r="F712" t="s">
        <v>373</v>
      </c>
      <c r="G712">
        <v>5</v>
      </c>
      <c r="H712">
        <v>0</v>
      </c>
      <c r="I712">
        <f>100-J712</f>
        <v>5</v>
      </c>
      <c r="J712">
        <f>100-G712-H712</f>
        <v>95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  <c r="P712" t="s">
        <v>19</v>
      </c>
      <c r="Q712">
        <f>I712</f>
        <v>5</v>
      </c>
      <c r="R712" t="s">
        <v>19</v>
      </c>
      <c r="S712" t="s">
        <v>19</v>
      </c>
      <c r="T712" t="s">
        <v>19</v>
      </c>
    </row>
    <row r="713" spans="1:21" x14ac:dyDescent="0.25">
      <c r="A713" s="2">
        <v>45323.551006944443</v>
      </c>
      <c r="B713" t="s">
        <v>309</v>
      </c>
      <c r="C713" t="s">
        <v>322</v>
      </c>
      <c r="D713">
        <v>3</v>
      </c>
      <c r="E713" t="s">
        <v>72</v>
      </c>
      <c r="F713" t="s">
        <v>373</v>
      </c>
      <c r="G713">
        <f>(O713/(N713+O713+P713))*100</f>
        <v>14.5985401459854</v>
      </c>
      <c r="H713">
        <f>(P713/(O713+P713+N713))*100</f>
        <v>0</v>
      </c>
      <c r="I713">
        <f>((O713+P713)/(P713+O713+N713))*100</f>
        <v>14.5985401459854</v>
      </c>
      <c r="J713">
        <f>(N713/(P713+O713+N713))*100</f>
        <v>85.40145985401459</v>
      </c>
      <c r="K713">
        <v>0.8</v>
      </c>
      <c r="L713">
        <v>0.3</v>
      </c>
      <c r="M713">
        <v>0.7</v>
      </c>
      <c r="N713">
        <v>468</v>
      </c>
      <c r="O713">
        <v>80</v>
      </c>
      <c r="P713">
        <v>0</v>
      </c>
      <c r="Q713">
        <v>14.6</v>
      </c>
      <c r="R713" t="s">
        <v>230</v>
      </c>
      <c r="S713">
        <v>2.8</v>
      </c>
      <c r="T713">
        <v>3.14</v>
      </c>
      <c r="U713">
        <v>140</v>
      </c>
    </row>
    <row r="714" spans="1:21" x14ac:dyDescent="0.25">
      <c r="A714" s="2">
        <v>45323.553032407406</v>
      </c>
      <c r="B714" t="s">
        <v>309</v>
      </c>
      <c r="C714" t="s">
        <v>322</v>
      </c>
      <c r="D714">
        <v>3</v>
      </c>
      <c r="E714" t="s">
        <v>72</v>
      </c>
      <c r="F714" t="s">
        <v>373</v>
      </c>
      <c r="G714">
        <f>(O714/(N714+O714+P714))*100</f>
        <v>17.314487632508836</v>
      </c>
      <c r="H714">
        <f>(P714/(O714+P714+N714))*100</f>
        <v>0</v>
      </c>
      <c r="I714">
        <f>((O714+P714)/(P714+O714+N714))*100</f>
        <v>17.314487632508836</v>
      </c>
      <c r="J714">
        <f>(N714/(P714+O714+N714))*100</f>
        <v>82.685512367491171</v>
      </c>
      <c r="K714">
        <v>0.7</v>
      </c>
      <c r="L714">
        <v>0.3</v>
      </c>
      <c r="M714">
        <v>0.7</v>
      </c>
      <c r="N714">
        <v>468</v>
      </c>
      <c r="O714">
        <v>98</v>
      </c>
      <c r="P714">
        <v>0</v>
      </c>
      <c r="Q714">
        <v>17.309999999999999</v>
      </c>
      <c r="R714" t="s">
        <v>337</v>
      </c>
      <c r="S714">
        <v>2.8</v>
      </c>
      <c r="T714">
        <v>3.14</v>
      </c>
      <c r="U714">
        <v>122</v>
      </c>
    </row>
    <row r="715" spans="1:21" x14ac:dyDescent="0.25">
      <c r="A715" s="2">
        <v>45325.126064814816</v>
      </c>
      <c r="B715" t="s">
        <v>309</v>
      </c>
      <c r="C715" t="s">
        <v>368</v>
      </c>
      <c r="D715">
        <v>2</v>
      </c>
      <c r="E715" t="s">
        <v>72</v>
      </c>
      <c r="F715" t="s">
        <v>373</v>
      </c>
      <c r="G715">
        <f>(O715/(N715+O715+P715))*100</f>
        <v>20.069204152249135</v>
      </c>
      <c r="H715">
        <f>(P715/(O715+P715+N715))*100</f>
        <v>0</v>
      </c>
      <c r="I715">
        <v>20.07</v>
      </c>
      <c r="J715">
        <f>(N715/(P715+O715+N715))*100</f>
        <v>79.930795847750872</v>
      </c>
      <c r="K715">
        <v>0.8</v>
      </c>
      <c r="L715">
        <v>0.3</v>
      </c>
      <c r="M715">
        <v>0.7</v>
      </c>
      <c r="N715">
        <v>462</v>
      </c>
      <c r="O715">
        <v>116</v>
      </c>
      <c r="P715">
        <v>0</v>
      </c>
      <c r="Q715">
        <v>20.07</v>
      </c>
      <c r="R715" t="s">
        <v>246</v>
      </c>
      <c r="S715">
        <v>0.63</v>
      </c>
      <c r="T715">
        <v>0.65</v>
      </c>
    </row>
    <row r="716" spans="1:21" x14ac:dyDescent="0.25">
      <c r="A716" t="s">
        <v>19</v>
      </c>
      <c r="B716" t="s">
        <v>20</v>
      </c>
      <c r="C716" t="s">
        <v>308</v>
      </c>
      <c r="D716">
        <v>3</v>
      </c>
      <c r="E716" t="s">
        <v>73</v>
      </c>
      <c r="F716" t="s">
        <v>388</v>
      </c>
      <c r="G716">
        <v>0</v>
      </c>
      <c r="H716">
        <v>0</v>
      </c>
      <c r="I716">
        <f>G716+H716</f>
        <v>0</v>
      </c>
      <c r="J716">
        <f>100-G716-H716</f>
        <v>100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  <c r="P716" t="s">
        <v>19</v>
      </c>
      <c r="Q716">
        <f>I716</f>
        <v>0</v>
      </c>
      <c r="R716" t="s">
        <v>19</v>
      </c>
      <c r="S716" t="s">
        <v>19</v>
      </c>
      <c r="T716" t="s">
        <v>19</v>
      </c>
    </row>
    <row r="717" spans="1:21" x14ac:dyDescent="0.25">
      <c r="A717" t="s">
        <v>19</v>
      </c>
      <c r="B717" t="s">
        <v>20</v>
      </c>
      <c r="C717" t="s">
        <v>22</v>
      </c>
      <c r="D717">
        <v>3</v>
      </c>
      <c r="E717" t="s">
        <v>73</v>
      </c>
      <c r="F717" t="s">
        <v>388</v>
      </c>
      <c r="G717">
        <v>0</v>
      </c>
      <c r="H717">
        <v>0</v>
      </c>
      <c r="I717">
        <f>G717+H717</f>
        <v>0</v>
      </c>
      <c r="J717">
        <f>100-G717-H717</f>
        <v>100</v>
      </c>
      <c r="K717" t="s">
        <v>19</v>
      </c>
      <c r="L717" t="s">
        <v>19</v>
      </c>
      <c r="M717" t="s">
        <v>19</v>
      </c>
      <c r="N717" t="s">
        <v>19</v>
      </c>
      <c r="O717" t="s">
        <v>19</v>
      </c>
      <c r="P717" t="s">
        <v>19</v>
      </c>
      <c r="Q717">
        <f>I717</f>
        <v>0</v>
      </c>
      <c r="R717" t="s">
        <v>19</v>
      </c>
      <c r="S717" t="s">
        <v>19</v>
      </c>
      <c r="T717" t="s">
        <v>19</v>
      </c>
    </row>
    <row r="718" spans="1:21" x14ac:dyDescent="0.25">
      <c r="A718" t="s">
        <v>19</v>
      </c>
      <c r="B718" t="s">
        <v>20</v>
      </c>
      <c r="C718" t="s">
        <v>305</v>
      </c>
      <c r="D718">
        <v>3</v>
      </c>
      <c r="E718" t="s">
        <v>73</v>
      </c>
      <c r="F718" t="s">
        <v>388</v>
      </c>
      <c r="G718">
        <v>0</v>
      </c>
      <c r="H718">
        <v>0</v>
      </c>
      <c r="I718">
        <f>G718+H718</f>
        <v>0</v>
      </c>
      <c r="J718">
        <f>100-G718-H718</f>
        <v>100</v>
      </c>
      <c r="K718" t="s">
        <v>19</v>
      </c>
      <c r="L718" t="s">
        <v>19</v>
      </c>
      <c r="M718" t="s">
        <v>19</v>
      </c>
      <c r="N718" t="s">
        <v>19</v>
      </c>
      <c r="O718" t="s">
        <v>19</v>
      </c>
      <c r="P718" t="s">
        <v>19</v>
      </c>
      <c r="Q718">
        <f>I718</f>
        <v>0</v>
      </c>
      <c r="R718" t="s">
        <v>19</v>
      </c>
      <c r="S718" t="s">
        <v>19</v>
      </c>
      <c r="T718" t="s">
        <v>19</v>
      </c>
    </row>
    <row r="719" spans="1:21" x14ac:dyDescent="0.25">
      <c r="A719" t="s">
        <v>19</v>
      </c>
      <c r="B719" t="s">
        <v>20</v>
      </c>
      <c r="C719" t="s">
        <v>307</v>
      </c>
      <c r="D719">
        <v>3</v>
      </c>
      <c r="E719" t="s">
        <v>73</v>
      </c>
      <c r="F719" t="s">
        <v>388</v>
      </c>
      <c r="G719">
        <v>0</v>
      </c>
      <c r="H719">
        <v>0</v>
      </c>
      <c r="I719">
        <f>G719+H719</f>
        <v>0</v>
      </c>
      <c r="J719">
        <f>100-G719-H719</f>
        <v>100</v>
      </c>
      <c r="K719" t="s">
        <v>19</v>
      </c>
      <c r="L719" t="s">
        <v>19</v>
      </c>
      <c r="M719" t="s">
        <v>19</v>
      </c>
      <c r="N719" t="s">
        <v>19</v>
      </c>
      <c r="O719" t="s">
        <v>19</v>
      </c>
      <c r="P719" t="s">
        <v>19</v>
      </c>
      <c r="Q719">
        <f>I719</f>
        <v>0</v>
      </c>
      <c r="R719" t="s">
        <v>19</v>
      </c>
      <c r="S719" t="s">
        <v>19</v>
      </c>
      <c r="T719" t="s">
        <v>19</v>
      </c>
    </row>
    <row r="720" spans="1:21" x14ac:dyDescent="0.25">
      <c r="A720" s="2">
        <v>45253.540972222225</v>
      </c>
      <c r="B720" t="s">
        <v>309</v>
      </c>
      <c r="C720" t="s">
        <v>213</v>
      </c>
      <c r="D720">
        <v>3</v>
      </c>
      <c r="E720" t="s">
        <v>73</v>
      </c>
      <c r="F720" t="s">
        <v>388</v>
      </c>
      <c r="G720">
        <v>0</v>
      </c>
      <c r="H720">
        <v>3.312302839</v>
      </c>
      <c r="I720">
        <v>3.312302839</v>
      </c>
      <c r="J720">
        <v>96.687697159999999</v>
      </c>
      <c r="K720">
        <v>0.8</v>
      </c>
      <c r="L720">
        <v>0.2</v>
      </c>
      <c r="M720">
        <v>0.7</v>
      </c>
      <c r="N720">
        <v>613</v>
      </c>
      <c r="O720">
        <v>0</v>
      </c>
      <c r="P720">
        <v>21</v>
      </c>
      <c r="Q720">
        <v>3.31</v>
      </c>
      <c r="R720" t="s">
        <v>248</v>
      </c>
      <c r="S720">
        <v>2.46</v>
      </c>
      <c r="T720">
        <v>2.81</v>
      </c>
    </row>
    <row r="721" spans="1:21" x14ac:dyDescent="0.25">
      <c r="A721" s="2">
        <v>45253.834027777775</v>
      </c>
      <c r="B721" t="s">
        <v>309</v>
      </c>
      <c r="C721" t="s">
        <v>215</v>
      </c>
      <c r="D721">
        <v>2</v>
      </c>
      <c r="E721" t="s">
        <v>73</v>
      </c>
      <c r="F721" t="s">
        <v>388</v>
      </c>
      <c r="G721">
        <v>4.4642857139999998</v>
      </c>
      <c r="H721">
        <v>0</v>
      </c>
      <c r="I721">
        <v>4.4642857139999998</v>
      </c>
      <c r="J721">
        <v>95.535714290000001</v>
      </c>
      <c r="K721">
        <v>0.8</v>
      </c>
      <c r="L721">
        <v>0.2</v>
      </c>
      <c r="M721">
        <v>0.7</v>
      </c>
      <c r="N721">
        <v>642</v>
      </c>
      <c r="O721">
        <v>30</v>
      </c>
      <c r="P721">
        <v>0</v>
      </c>
      <c r="Q721">
        <v>4.46</v>
      </c>
      <c r="R721" t="s">
        <v>216</v>
      </c>
      <c r="S721">
        <v>0.13</v>
      </c>
      <c r="T721">
        <v>0.14000000000000001</v>
      </c>
    </row>
    <row r="722" spans="1:21" x14ac:dyDescent="0.25">
      <c r="A722" s="2">
        <v>45254.000694444447</v>
      </c>
      <c r="B722" t="s">
        <v>309</v>
      </c>
      <c r="C722" t="s">
        <v>217</v>
      </c>
      <c r="D722">
        <v>2</v>
      </c>
      <c r="E722" t="s">
        <v>73</v>
      </c>
      <c r="F722" t="s">
        <v>388</v>
      </c>
      <c r="G722">
        <v>5.159332322</v>
      </c>
      <c r="H722">
        <v>0</v>
      </c>
      <c r="I722">
        <v>5.159332322</v>
      </c>
      <c r="J722">
        <v>94.840667679999996</v>
      </c>
      <c r="K722">
        <v>0.8</v>
      </c>
      <c r="L722">
        <v>0.2</v>
      </c>
      <c r="M722">
        <v>0.7</v>
      </c>
      <c r="N722">
        <v>625</v>
      </c>
      <c r="O722">
        <v>34</v>
      </c>
      <c r="P722">
        <v>0</v>
      </c>
      <c r="Q722">
        <v>5.16</v>
      </c>
      <c r="R722" t="s">
        <v>226</v>
      </c>
      <c r="S722">
        <v>0.18</v>
      </c>
      <c r="T722">
        <v>0.19</v>
      </c>
    </row>
    <row r="723" spans="1:21" x14ac:dyDescent="0.25">
      <c r="A723" s="2">
        <v>45316.512499999997</v>
      </c>
      <c r="B723" t="s">
        <v>309</v>
      </c>
      <c r="C723" t="s">
        <v>219</v>
      </c>
      <c r="D723">
        <v>3</v>
      </c>
      <c r="E723" t="s">
        <v>73</v>
      </c>
      <c r="F723" t="s">
        <v>388</v>
      </c>
      <c r="G723">
        <v>0</v>
      </c>
      <c r="H723">
        <v>1.3071895419999999</v>
      </c>
      <c r="I723">
        <v>1.3071895419999999</v>
      </c>
      <c r="J723">
        <v>98.692810460000004</v>
      </c>
      <c r="K723">
        <v>0.8</v>
      </c>
      <c r="L723">
        <v>0.2</v>
      </c>
      <c r="M723">
        <v>0.7</v>
      </c>
      <c r="N723">
        <v>453</v>
      </c>
      <c r="O723">
        <v>0</v>
      </c>
      <c r="P723">
        <v>6</v>
      </c>
      <c r="Q723">
        <v>1.31</v>
      </c>
      <c r="R723" t="s">
        <v>226</v>
      </c>
      <c r="S723">
        <v>3.15</v>
      </c>
      <c r="T723">
        <v>4.3899999999999997</v>
      </c>
    </row>
    <row r="724" spans="1:21" x14ac:dyDescent="0.25">
      <c r="A724" s="2">
        <v>45320.848611111112</v>
      </c>
      <c r="B724" t="s">
        <v>309</v>
      </c>
      <c r="C724" t="s">
        <v>221</v>
      </c>
      <c r="D724">
        <v>2</v>
      </c>
      <c r="E724" t="s">
        <v>73</v>
      </c>
      <c r="F724" t="s">
        <v>388</v>
      </c>
      <c r="G724">
        <v>5.3191489360000004</v>
      </c>
      <c r="H724">
        <v>0</v>
      </c>
      <c r="I724">
        <v>5.3191489360000004</v>
      </c>
      <c r="J724">
        <v>94.680851059999995</v>
      </c>
      <c r="K724">
        <v>0.8</v>
      </c>
      <c r="L724">
        <v>0.3</v>
      </c>
      <c r="M724">
        <v>0.7</v>
      </c>
      <c r="N724">
        <v>534</v>
      </c>
      <c r="O724">
        <v>30</v>
      </c>
      <c r="P724">
        <v>0</v>
      </c>
      <c r="Q724">
        <v>5.32</v>
      </c>
      <c r="R724" t="s">
        <v>272</v>
      </c>
      <c r="S724">
        <v>0.23</v>
      </c>
      <c r="T724">
        <v>0.25</v>
      </c>
    </row>
    <row r="725" spans="1:21" x14ac:dyDescent="0.25">
      <c r="A725" t="s">
        <v>19</v>
      </c>
      <c r="B725" t="s">
        <v>20</v>
      </c>
      <c r="C725" t="s">
        <v>306</v>
      </c>
      <c r="D725">
        <v>3</v>
      </c>
      <c r="E725" t="s">
        <v>73</v>
      </c>
      <c r="F725" t="s">
        <v>388</v>
      </c>
      <c r="G725">
        <v>0</v>
      </c>
      <c r="H725">
        <v>0</v>
      </c>
      <c r="I725">
        <f>G725+H725</f>
        <v>0</v>
      </c>
      <c r="J725">
        <f>100-G725-H725</f>
        <v>100</v>
      </c>
      <c r="K725" t="s">
        <v>19</v>
      </c>
      <c r="L725" t="s">
        <v>19</v>
      </c>
      <c r="M725" t="s">
        <v>19</v>
      </c>
      <c r="N725" t="s">
        <v>19</v>
      </c>
      <c r="O725" t="s">
        <v>19</v>
      </c>
      <c r="P725" t="s">
        <v>19</v>
      </c>
      <c r="Q725">
        <f>I725</f>
        <v>0</v>
      </c>
      <c r="R725" t="s">
        <v>19</v>
      </c>
      <c r="S725" t="s">
        <v>19</v>
      </c>
      <c r="T725" t="s">
        <v>19</v>
      </c>
    </row>
    <row r="726" spans="1:21" x14ac:dyDescent="0.25">
      <c r="A726" t="s">
        <v>19</v>
      </c>
      <c r="B726" t="s">
        <v>20</v>
      </c>
      <c r="C726" t="s">
        <v>320</v>
      </c>
      <c r="D726">
        <v>3</v>
      </c>
      <c r="E726" t="s">
        <v>73</v>
      </c>
      <c r="F726" t="s">
        <v>388</v>
      </c>
      <c r="G726">
        <v>0</v>
      </c>
      <c r="H726">
        <v>0</v>
      </c>
      <c r="I726">
        <f>100-J726</f>
        <v>0</v>
      </c>
      <c r="J726">
        <f>100-G726-H726</f>
        <v>100</v>
      </c>
      <c r="K726" t="s">
        <v>19</v>
      </c>
      <c r="L726" t="s">
        <v>19</v>
      </c>
      <c r="M726" t="s">
        <v>19</v>
      </c>
      <c r="N726" t="s">
        <v>19</v>
      </c>
      <c r="O726" t="s">
        <v>19</v>
      </c>
      <c r="P726" t="s">
        <v>19</v>
      </c>
      <c r="Q726">
        <f>I726</f>
        <v>0</v>
      </c>
      <c r="R726" t="s">
        <v>19</v>
      </c>
      <c r="S726" t="s">
        <v>19</v>
      </c>
      <c r="T726" t="s">
        <v>19</v>
      </c>
    </row>
    <row r="727" spans="1:21" x14ac:dyDescent="0.25">
      <c r="A727" s="2">
        <v>45323.546087962961</v>
      </c>
      <c r="B727" t="s">
        <v>309</v>
      </c>
      <c r="C727" t="s">
        <v>322</v>
      </c>
      <c r="D727">
        <v>3</v>
      </c>
      <c r="E727" t="s">
        <v>73</v>
      </c>
      <c r="F727" t="s">
        <v>388</v>
      </c>
      <c r="G727">
        <f>(O727/(N727+O727+P727))*100</f>
        <v>1.669449081803005</v>
      </c>
      <c r="H727">
        <f>(P727/(O727+P727+N727))*100</f>
        <v>0.333889816360601</v>
      </c>
      <c r="I727">
        <v>2</v>
      </c>
      <c r="J727">
        <f>(N727/(P727+O727+N727))*100</f>
        <v>97.996661101836395</v>
      </c>
      <c r="K727">
        <v>0.8</v>
      </c>
      <c r="L727">
        <v>0.3</v>
      </c>
      <c r="M727">
        <v>0.7</v>
      </c>
      <c r="N727">
        <v>587</v>
      </c>
      <c r="O727">
        <v>10</v>
      </c>
      <c r="P727">
        <v>2</v>
      </c>
      <c r="Q727">
        <v>2</v>
      </c>
      <c r="R727" t="s">
        <v>333</v>
      </c>
      <c r="S727">
        <v>2.2599999999999998</v>
      </c>
      <c r="T727">
        <v>3.39</v>
      </c>
      <c r="U727">
        <v>68</v>
      </c>
    </row>
    <row r="728" spans="1:21" x14ac:dyDescent="0.25">
      <c r="A728" s="2">
        <v>45323.544976851852</v>
      </c>
      <c r="B728" t="s">
        <v>309</v>
      </c>
      <c r="C728" t="s">
        <v>322</v>
      </c>
      <c r="D728">
        <v>3</v>
      </c>
      <c r="E728" t="s">
        <v>73</v>
      </c>
      <c r="F728" t="s">
        <v>388</v>
      </c>
      <c r="G728">
        <f>(O728/(N728+O728+P728))*100</f>
        <v>2.8052805280528053</v>
      </c>
      <c r="H728">
        <f>(P728/(O728+P728+N728))*100</f>
        <v>0.33003300330033003</v>
      </c>
      <c r="I728">
        <v>3.14</v>
      </c>
      <c r="J728">
        <f>(N728/(P728+O728+N728))*100</f>
        <v>96.864686468646866</v>
      </c>
      <c r="K728">
        <v>0.7</v>
      </c>
      <c r="L728">
        <v>0.3</v>
      </c>
      <c r="M728">
        <v>0.7</v>
      </c>
      <c r="N728">
        <v>587</v>
      </c>
      <c r="O728">
        <v>17</v>
      </c>
      <c r="P728">
        <v>2</v>
      </c>
      <c r="Q728">
        <v>3.14</v>
      </c>
      <c r="R728" t="s">
        <v>234</v>
      </c>
      <c r="S728">
        <v>2.2599999999999998</v>
      </c>
      <c r="T728">
        <v>3.39</v>
      </c>
      <c r="U728">
        <v>61</v>
      </c>
    </row>
    <row r="729" spans="1:21" x14ac:dyDescent="0.25">
      <c r="A729" s="2">
        <v>45324.970324074071</v>
      </c>
      <c r="B729" t="s">
        <v>309</v>
      </c>
      <c r="C729" t="s">
        <v>368</v>
      </c>
      <c r="D729">
        <v>2</v>
      </c>
      <c r="E729" t="s">
        <v>73</v>
      </c>
      <c r="F729" t="s">
        <v>388</v>
      </c>
      <c r="G729">
        <f>(O729/(N729+O729+P729))*100</f>
        <v>4.4036697247706424</v>
      </c>
      <c r="H729">
        <f>(P729/(O729+P729+N729))*100</f>
        <v>0</v>
      </c>
      <c r="I729">
        <v>4.4000000000000004</v>
      </c>
      <c r="J729">
        <f>(N729/(P729+O729+N729))*100</f>
        <v>95.596330275229363</v>
      </c>
      <c r="K729">
        <v>0.8</v>
      </c>
      <c r="L729">
        <v>0.3</v>
      </c>
      <c r="M729">
        <v>0.7</v>
      </c>
      <c r="N729">
        <v>521</v>
      </c>
      <c r="O729">
        <v>24</v>
      </c>
      <c r="P729">
        <v>0</v>
      </c>
      <c r="Q729">
        <v>4.4000000000000004</v>
      </c>
      <c r="R729" t="s">
        <v>347</v>
      </c>
      <c r="S729">
        <v>0.26</v>
      </c>
      <c r="T729">
        <v>0.28000000000000003</v>
      </c>
    </row>
    <row r="730" spans="1:21" x14ac:dyDescent="0.25">
      <c r="A730" t="s">
        <v>19</v>
      </c>
      <c r="B730" t="s">
        <v>20</v>
      </c>
      <c r="C730" t="s">
        <v>306</v>
      </c>
      <c r="D730">
        <v>3</v>
      </c>
      <c r="E730" t="s">
        <v>74</v>
      </c>
      <c r="F730" t="s">
        <v>373</v>
      </c>
      <c r="G730">
        <v>0</v>
      </c>
      <c r="H730">
        <v>0</v>
      </c>
      <c r="I730">
        <f>G730+H730</f>
        <v>0</v>
      </c>
      <c r="J730">
        <f>100-G730-H730</f>
        <v>100</v>
      </c>
      <c r="K730" t="s">
        <v>19</v>
      </c>
      <c r="L730" t="s">
        <v>19</v>
      </c>
      <c r="M730" t="s">
        <v>19</v>
      </c>
      <c r="N730" t="s">
        <v>19</v>
      </c>
      <c r="O730" t="s">
        <v>19</v>
      </c>
      <c r="P730" t="s">
        <v>19</v>
      </c>
      <c r="Q730">
        <f>I730</f>
        <v>0</v>
      </c>
      <c r="R730" t="s">
        <v>19</v>
      </c>
      <c r="S730" t="s">
        <v>19</v>
      </c>
      <c r="T730" t="s">
        <v>19</v>
      </c>
    </row>
    <row r="731" spans="1:21" x14ac:dyDescent="0.25">
      <c r="A731" t="s">
        <v>19</v>
      </c>
      <c r="B731" t="s">
        <v>20</v>
      </c>
      <c r="C731" t="s">
        <v>308</v>
      </c>
      <c r="D731">
        <v>3</v>
      </c>
      <c r="E731" t="s">
        <v>74</v>
      </c>
      <c r="F731" t="s">
        <v>373</v>
      </c>
      <c r="G731">
        <v>0</v>
      </c>
      <c r="H731">
        <v>0</v>
      </c>
      <c r="I731">
        <f>G731+H731</f>
        <v>0</v>
      </c>
      <c r="J731">
        <f>100-G731-H731</f>
        <v>100</v>
      </c>
      <c r="K731" t="s">
        <v>19</v>
      </c>
      <c r="L731" t="s">
        <v>19</v>
      </c>
      <c r="M731" t="s">
        <v>19</v>
      </c>
      <c r="N731" t="s">
        <v>19</v>
      </c>
      <c r="O731" t="s">
        <v>19</v>
      </c>
      <c r="P731" t="s">
        <v>19</v>
      </c>
      <c r="Q731">
        <f>I731</f>
        <v>0</v>
      </c>
      <c r="R731" t="s">
        <v>19</v>
      </c>
      <c r="S731" t="s">
        <v>19</v>
      </c>
      <c r="T731" t="s">
        <v>19</v>
      </c>
    </row>
    <row r="732" spans="1:21" x14ac:dyDescent="0.25">
      <c r="A732" t="s">
        <v>19</v>
      </c>
      <c r="B732" t="s">
        <v>20</v>
      </c>
      <c r="C732" t="s">
        <v>22</v>
      </c>
      <c r="D732">
        <v>3</v>
      </c>
      <c r="E732" t="s">
        <v>74</v>
      </c>
      <c r="F732" t="s">
        <v>373</v>
      </c>
      <c r="G732">
        <v>0</v>
      </c>
      <c r="H732">
        <v>0</v>
      </c>
      <c r="I732">
        <f>G732+H732</f>
        <v>0</v>
      </c>
      <c r="J732">
        <f>100-G732-H732</f>
        <v>100</v>
      </c>
      <c r="K732" t="s">
        <v>19</v>
      </c>
      <c r="L732" t="s">
        <v>19</v>
      </c>
      <c r="M732" t="s">
        <v>19</v>
      </c>
      <c r="N732" t="s">
        <v>19</v>
      </c>
      <c r="O732" t="s">
        <v>19</v>
      </c>
      <c r="P732" t="s">
        <v>19</v>
      </c>
      <c r="Q732">
        <f>I732</f>
        <v>0</v>
      </c>
      <c r="R732" t="s">
        <v>19</v>
      </c>
      <c r="S732" t="s">
        <v>19</v>
      </c>
      <c r="T732" t="s">
        <v>19</v>
      </c>
    </row>
    <row r="733" spans="1:21" x14ac:dyDescent="0.25">
      <c r="A733" t="s">
        <v>19</v>
      </c>
      <c r="B733" t="s">
        <v>20</v>
      </c>
      <c r="C733" t="s">
        <v>305</v>
      </c>
      <c r="D733">
        <v>3</v>
      </c>
      <c r="E733" t="s">
        <v>74</v>
      </c>
      <c r="F733" t="s">
        <v>373</v>
      </c>
      <c r="G733">
        <v>0</v>
      </c>
      <c r="H733">
        <v>0</v>
      </c>
      <c r="I733">
        <f>G733+H733</f>
        <v>0</v>
      </c>
      <c r="J733">
        <f>100-G733-H733</f>
        <v>100</v>
      </c>
      <c r="K733" t="s">
        <v>19</v>
      </c>
      <c r="L733" t="s">
        <v>19</v>
      </c>
      <c r="M733" t="s">
        <v>19</v>
      </c>
      <c r="N733" t="s">
        <v>19</v>
      </c>
      <c r="O733" t="s">
        <v>19</v>
      </c>
      <c r="P733" t="s">
        <v>19</v>
      </c>
      <c r="Q733">
        <f>I733</f>
        <v>0</v>
      </c>
      <c r="R733" t="s">
        <v>19</v>
      </c>
      <c r="S733" t="s">
        <v>19</v>
      </c>
      <c r="T733" t="s">
        <v>19</v>
      </c>
    </row>
    <row r="734" spans="1:21" x14ac:dyDescent="0.25">
      <c r="A734" t="s">
        <v>19</v>
      </c>
      <c r="B734" t="s">
        <v>20</v>
      </c>
      <c r="C734" t="s">
        <v>307</v>
      </c>
      <c r="D734">
        <v>3</v>
      </c>
      <c r="E734" t="s">
        <v>74</v>
      </c>
      <c r="F734" t="s">
        <v>373</v>
      </c>
      <c r="G734">
        <v>0</v>
      </c>
      <c r="H734">
        <v>0</v>
      </c>
      <c r="I734">
        <f>G734+H734</f>
        <v>0</v>
      </c>
      <c r="J734">
        <f>100-G734-H734</f>
        <v>100</v>
      </c>
      <c r="K734" t="s">
        <v>19</v>
      </c>
      <c r="L734" t="s">
        <v>19</v>
      </c>
      <c r="M734" t="s">
        <v>19</v>
      </c>
      <c r="N734" t="s">
        <v>19</v>
      </c>
      <c r="O734" t="s">
        <v>19</v>
      </c>
      <c r="P734" t="s">
        <v>19</v>
      </c>
      <c r="Q734">
        <f>I734</f>
        <v>0</v>
      </c>
      <c r="R734" t="s">
        <v>19</v>
      </c>
      <c r="S734" t="s">
        <v>19</v>
      </c>
      <c r="T734" t="s">
        <v>19</v>
      </c>
    </row>
    <row r="735" spans="1:21" x14ac:dyDescent="0.25">
      <c r="A735" s="2">
        <v>45253.709722222222</v>
      </c>
      <c r="B735" t="s">
        <v>309</v>
      </c>
      <c r="C735" t="s">
        <v>213</v>
      </c>
      <c r="D735">
        <v>3</v>
      </c>
      <c r="E735" t="s">
        <v>74</v>
      </c>
      <c r="F735" t="s">
        <v>373</v>
      </c>
      <c r="G735">
        <v>0</v>
      </c>
      <c r="H735">
        <v>0</v>
      </c>
      <c r="I735">
        <v>0</v>
      </c>
      <c r="J735">
        <v>100</v>
      </c>
      <c r="K735">
        <v>0.8</v>
      </c>
      <c r="L735">
        <v>0.2</v>
      </c>
      <c r="M735">
        <v>0.7</v>
      </c>
      <c r="N735">
        <v>678</v>
      </c>
      <c r="O735">
        <v>0</v>
      </c>
      <c r="P735">
        <v>0</v>
      </c>
      <c r="Q735">
        <v>0</v>
      </c>
      <c r="R735" t="s">
        <v>223</v>
      </c>
      <c r="S735">
        <v>2.73</v>
      </c>
      <c r="T735">
        <v>3.25</v>
      </c>
    </row>
    <row r="736" spans="1:21" x14ac:dyDescent="0.25">
      <c r="A736" s="2">
        <v>45253.923611111109</v>
      </c>
      <c r="B736" t="s">
        <v>309</v>
      </c>
      <c r="C736" t="s">
        <v>215</v>
      </c>
      <c r="D736">
        <v>2</v>
      </c>
      <c r="E736" t="s">
        <v>74</v>
      </c>
      <c r="F736" t="s">
        <v>373</v>
      </c>
      <c r="G736">
        <v>26.792452829999998</v>
      </c>
      <c r="H736">
        <v>0</v>
      </c>
      <c r="I736">
        <v>26.792452829999998</v>
      </c>
      <c r="J736">
        <v>73.207547169999998</v>
      </c>
      <c r="K736">
        <v>0.8</v>
      </c>
      <c r="L736">
        <v>0.2</v>
      </c>
      <c r="M736">
        <v>0.7</v>
      </c>
      <c r="N736">
        <v>388</v>
      </c>
      <c r="O736">
        <v>142</v>
      </c>
      <c r="P736">
        <v>0</v>
      </c>
      <c r="Q736">
        <v>26.79</v>
      </c>
      <c r="R736" t="s">
        <v>226</v>
      </c>
      <c r="S736">
        <v>0.73</v>
      </c>
      <c r="T736">
        <v>0.81</v>
      </c>
    </row>
    <row r="737" spans="1:21" x14ac:dyDescent="0.25">
      <c r="A737" s="2">
        <v>45254.097916666666</v>
      </c>
      <c r="B737" t="s">
        <v>309</v>
      </c>
      <c r="C737" t="s">
        <v>217</v>
      </c>
      <c r="D737">
        <v>2</v>
      </c>
      <c r="E737" t="s">
        <v>74</v>
      </c>
      <c r="F737" t="s">
        <v>373</v>
      </c>
      <c r="G737">
        <v>22.395833329999999</v>
      </c>
      <c r="H737">
        <v>0</v>
      </c>
      <c r="I737">
        <v>22.395833329999999</v>
      </c>
      <c r="J737">
        <v>77.604166669999998</v>
      </c>
      <c r="K737">
        <v>0.8</v>
      </c>
      <c r="L737">
        <v>0.2</v>
      </c>
      <c r="M737">
        <v>0.7</v>
      </c>
      <c r="N737">
        <v>447</v>
      </c>
      <c r="O737">
        <v>129</v>
      </c>
      <c r="P737">
        <v>0</v>
      </c>
      <c r="Q737">
        <v>22.4</v>
      </c>
      <c r="R737" t="s">
        <v>235</v>
      </c>
      <c r="S737">
        <v>0.57999999999999996</v>
      </c>
      <c r="T737">
        <v>0.6</v>
      </c>
    </row>
    <row r="738" spans="1:21" x14ac:dyDescent="0.25">
      <c r="A738" s="2">
        <v>45316.434027777781</v>
      </c>
      <c r="B738" t="s">
        <v>309</v>
      </c>
      <c r="C738" t="s">
        <v>219</v>
      </c>
      <c r="D738">
        <v>3</v>
      </c>
      <c r="E738" t="s">
        <v>74</v>
      </c>
      <c r="F738" t="s">
        <v>373</v>
      </c>
      <c r="G738">
        <v>0</v>
      </c>
      <c r="H738">
        <v>0</v>
      </c>
      <c r="I738">
        <v>0</v>
      </c>
      <c r="J738">
        <v>100</v>
      </c>
      <c r="K738">
        <v>0.8</v>
      </c>
      <c r="L738">
        <v>0.2</v>
      </c>
      <c r="M738">
        <v>0.7</v>
      </c>
      <c r="N738">
        <v>506</v>
      </c>
      <c r="O738">
        <v>0</v>
      </c>
      <c r="P738">
        <v>0</v>
      </c>
      <c r="Q738">
        <v>0</v>
      </c>
      <c r="R738" t="s">
        <v>218</v>
      </c>
      <c r="S738">
        <v>3.28</v>
      </c>
      <c r="T738">
        <v>4.71</v>
      </c>
    </row>
    <row r="739" spans="1:21" x14ac:dyDescent="0.25">
      <c r="A739" s="2">
        <v>45320.956250000003</v>
      </c>
      <c r="B739" t="s">
        <v>309</v>
      </c>
      <c r="C739" t="s">
        <v>221</v>
      </c>
      <c r="D739">
        <v>2</v>
      </c>
      <c r="E739" t="s">
        <v>74</v>
      </c>
      <c r="F739" t="s">
        <v>373</v>
      </c>
      <c r="G739">
        <v>0.56338028200000001</v>
      </c>
      <c r="H739">
        <v>0</v>
      </c>
      <c r="I739">
        <v>0.56338028200000001</v>
      </c>
      <c r="J739">
        <v>99.436619719999996</v>
      </c>
      <c r="K739">
        <v>0.8</v>
      </c>
      <c r="L739">
        <v>0.3</v>
      </c>
      <c r="M739">
        <v>0.7</v>
      </c>
      <c r="N739">
        <v>706</v>
      </c>
      <c r="O739">
        <v>4</v>
      </c>
      <c r="P739">
        <v>0</v>
      </c>
      <c r="Q739">
        <v>0.56000000000000005</v>
      </c>
      <c r="R739" t="s">
        <v>218</v>
      </c>
      <c r="S739">
        <v>0.04</v>
      </c>
      <c r="T739">
        <v>0.05</v>
      </c>
    </row>
    <row r="740" spans="1:21" x14ac:dyDescent="0.25">
      <c r="A740" t="s">
        <v>19</v>
      </c>
      <c r="B740" t="s">
        <v>20</v>
      </c>
      <c r="C740" t="s">
        <v>320</v>
      </c>
      <c r="D740">
        <v>3</v>
      </c>
      <c r="E740" t="s">
        <v>74</v>
      </c>
      <c r="F740" t="s">
        <v>373</v>
      </c>
      <c r="G740">
        <v>0</v>
      </c>
      <c r="H740">
        <v>0</v>
      </c>
      <c r="I740">
        <f>100-J740</f>
        <v>0</v>
      </c>
      <c r="J740">
        <f>100-G740-H740</f>
        <v>100</v>
      </c>
      <c r="K740" t="s">
        <v>19</v>
      </c>
      <c r="L740" t="s">
        <v>19</v>
      </c>
      <c r="M740" t="s">
        <v>19</v>
      </c>
      <c r="N740" t="s">
        <v>19</v>
      </c>
      <c r="O740" t="s">
        <v>19</v>
      </c>
      <c r="P740" t="s">
        <v>19</v>
      </c>
      <c r="Q740">
        <f>I740</f>
        <v>0</v>
      </c>
      <c r="R740" t="s">
        <v>19</v>
      </c>
      <c r="S740" t="s">
        <v>19</v>
      </c>
      <c r="T740" t="s">
        <v>19</v>
      </c>
    </row>
    <row r="741" spans="1:21" x14ac:dyDescent="0.25">
      <c r="A741" s="2">
        <v>45323.552673611113</v>
      </c>
      <c r="B741" t="s">
        <v>309</v>
      </c>
      <c r="C741" t="s">
        <v>322</v>
      </c>
      <c r="D741">
        <v>3</v>
      </c>
      <c r="E741" t="s">
        <v>74</v>
      </c>
      <c r="F741" t="s">
        <v>373</v>
      </c>
      <c r="G741">
        <f>(O741/(N741+O741+P741))*100</f>
        <v>0</v>
      </c>
      <c r="H741">
        <f>(P741/(O741+P741+N741))*100</f>
        <v>0</v>
      </c>
      <c r="I741">
        <f>((O741+P741)/(P741+O741+N741))*100</f>
        <v>0</v>
      </c>
      <c r="J741">
        <f>(N741/(P741+O741+N741))*100</f>
        <v>100</v>
      </c>
      <c r="K741">
        <v>0.8</v>
      </c>
      <c r="L741">
        <v>0.3</v>
      </c>
      <c r="M741">
        <v>0.7</v>
      </c>
      <c r="N741">
        <v>717</v>
      </c>
      <c r="O741">
        <v>0</v>
      </c>
      <c r="P741">
        <v>0</v>
      </c>
      <c r="Q741">
        <v>0</v>
      </c>
      <c r="R741" t="s">
        <v>340</v>
      </c>
      <c r="S741">
        <v>2.4500000000000002</v>
      </c>
      <c r="T741">
        <v>3.16</v>
      </c>
      <c r="U741">
        <v>12</v>
      </c>
    </row>
    <row r="742" spans="1:21" x14ac:dyDescent="0.25">
      <c r="A742" s="2">
        <v>45323.554780092592</v>
      </c>
      <c r="B742" t="s">
        <v>309</v>
      </c>
      <c r="C742" t="s">
        <v>322</v>
      </c>
      <c r="D742">
        <v>3</v>
      </c>
      <c r="E742" t="s">
        <v>74</v>
      </c>
      <c r="F742" t="s">
        <v>373</v>
      </c>
      <c r="G742">
        <f>(O742/(N742+O742+P742))*100</f>
        <v>0.1392757660167131</v>
      </c>
      <c r="H742">
        <f>(P742/(O742+P742+N742))*100</f>
        <v>0</v>
      </c>
      <c r="I742">
        <f>((O742+P742)/(P742+O742+N742))*100</f>
        <v>0.1392757660167131</v>
      </c>
      <c r="J742">
        <f>(N742/(P742+O742+N742))*100</f>
        <v>99.860724233983291</v>
      </c>
      <c r="K742">
        <v>0.7</v>
      </c>
      <c r="L742">
        <v>0.3</v>
      </c>
      <c r="M742">
        <v>0.7</v>
      </c>
      <c r="N742">
        <v>717</v>
      </c>
      <c r="O742">
        <v>1</v>
      </c>
      <c r="P742">
        <v>0</v>
      </c>
      <c r="Q742">
        <v>0.14000000000000001</v>
      </c>
      <c r="R742" t="s">
        <v>348</v>
      </c>
      <c r="S742">
        <v>2.4500000000000002</v>
      </c>
      <c r="T742">
        <v>3.16</v>
      </c>
      <c r="U742">
        <v>11</v>
      </c>
    </row>
    <row r="743" spans="1:21" x14ac:dyDescent="0.25">
      <c r="A743" s="2">
        <v>45325.127488425926</v>
      </c>
      <c r="B743" t="s">
        <v>309</v>
      </c>
      <c r="C743" t="s">
        <v>368</v>
      </c>
      <c r="D743">
        <v>2</v>
      </c>
      <c r="E743" t="s">
        <v>74</v>
      </c>
      <c r="F743" t="s">
        <v>373</v>
      </c>
      <c r="G743">
        <f>(O743/(N743+O743+P743))*100</f>
        <v>0.14306151645207438</v>
      </c>
      <c r="H743">
        <f>(P743/(O743+P743+N743))*100</f>
        <v>0</v>
      </c>
      <c r="I743">
        <v>0.14000000000000001</v>
      </c>
      <c r="J743">
        <f>(N743/(P743+O743+N743))*100</f>
        <v>99.856938483547935</v>
      </c>
      <c r="K743">
        <v>0.8</v>
      </c>
      <c r="L743">
        <v>0.3</v>
      </c>
      <c r="M743">
        <v>0.7</v>
      </c>
      <c r="N743">
        <v>698</v>
      </c>
      <c r="O743">
        <v>1</v>
      </c>
      <c r="P743">
        <v>0</v>
      </c>
      <c r="Q743">
        <v>0.14000000000000001</v>
      </c>
      <c r="R743" t="s">
        <v>259</v>
      </c>
      <c r="S743">
        <v>0.04</v>
      </c>
      <c r="T743">
        <v>0.05</v>
      </c>
    </row>
    <row r="744" spans="1:21" x14ac:dyDescent="0.25">
      <c r="A744" t="s">
        <v>19</v>
      </c>
      <c r="B744" t="s">
        <v>20</v>
      </c>
      <c r="C744" t="s">
        <v>306</v>
      </c>
      <c r="D744">
        <v>3</v>
      </c>
      <c r="E744" t="s">
        <v>75</v>
      </c>
      <c r="F744" t="s">
        <v>373</v>
      </c>
      <c r="G744">
        <v>0</v>
      </c>
      <c r="H744">
        <v>0</v>
      </c>
      <c r="I744">
        <f>G744+H744</f>
        <v>0</v>
      </c>
      <c r="J744">
        <f>100-G744-H744</f>
        <v>100</v>
      </c>
      <c r="K744" t="s">
        <v>19</v>
      </c>
      <c r="L744" t="s">
        <v>19</v>
      </c>
      <c r="M744" t="s">
        <v>19</v>
      </c>
      <c r="N744" t="s">
        <v>19</v>
      </c>
      <c r="O744" t="s">
        <v>19</v>
      </c>
      <c r="P744" t="s">
        <v>19</v>
      </c>
      <c r="Q744">
        <f>I744</f>
        <v>0</v>
      </c>
      <c r="R744" t="s">
        <v>19</v>
      </c>
      <c r="S744" t="s">
        <v>19</v>
      </c>
      <c r="T744" t="s">
        <v>19</v>
      </c>
    </row>
    <row r="745" spans="1:21" x14ac:dyDescent="0.25">
      <c r="A745" t="s">
        <v>19</v>
      </c>
      <c r="B745" t="s">
        <v>20</v>
      </c>
      <c r="C745" t="s">
        <v>308</v>
      </c>
      <c r="D745">
        <v>3</v>
      </c>
      <c r="E745" t="s">
        <v>75</v>
      </c>
      <c r="F745" t="s">
        <v>373</v>
      </c>
      <c r="G745">
        <v>1</v>
      </c>
      <c r="H745">
        <v>0</v>
      </c>
      <c r="I745">
        <f>G745+H745</f>
        <v>1</v>
      </c>
      <c r="J745">
        <f>100-G745-H745</f>
        <v>99</v>
      </c>
      <c r="K745" t="s">
        <v>19</v>
      </c>
      <c r="L745" t="s">
        <v>19</v>
      </c>
      <c r="M745" t="s">
        <v>19</v>
      </c>
      <c r="N745" t="s">
        <v>19</v>
      </c>
      <c r="O745" t="s">
        <v>19</v>
      </c>
      <c r="P745" t="s">
        <v>19</v>
      </c>
      <c r="Q745">
        <f>I745</f>
        <v>1</v>
      </c>
      <c r="R745" t="s">
        <v>19</v>
      </c>
      <c r="S745" t="s">
        <v>19</v>
      </c>
      <c r="T745" t="s">
        <v>19</v>
      </c>
    </row>
    <row r="746" spans="1:21" x14ac:dyDescent="0.25">
      <c r="A746" t="s">
        <v>19</v>
      </c>
      <c r="B746" t="s">
        <v>20</v>
      </c>
      <c r="C746" t="s">
        <v>22</v>
      </c>
      <c r="D746">
        <v>3</v>
      </c>
      <c r="E746" t="s">
        <v>75</v>
      </c>
      <c r="F746" t="s">
        <v>373</v>
      </c>
      <c r="G746">
        <v>0</v>
      </c>
      <c r="H746">
        <v>0</v>
      </c>
      <c r="I746">
        <f>G746+H746</f>
        <v>0</v>
      </c>
      <c r="J746">
        <f>100-G746-H746</f>
        <v>100</v>
      </c>
      <c r="K746" t="s">
        <v>19</v>
      </c>
      <c r="L746" t="s">
        <v>19</v>
      </c>
      <c r="M746" t="s">
        <v>19</v>
      </c>
      <c r="N746" t="s">
        <v>19</v>
      </c>
      <c r="O746" t="s">
        <v>19</v>
      </c>
      <c r="P746" t="s">
        <v>19</v>
      </c>
      <c r="Q746">
        <f>I746</f>
        <v>0</v>
      </c>
      <c r="R746" t="s">
        <v>19</v>
      </c>
      <c r="S746" t="s">
        <v>19</v>
      </c>
      <c r="T746" t="s">
        <v>19</v>
      </c>
    </row>
    <row r="747" spans="1:21" x14ac:dyDescent="0.25">
      <c r="A747" t="s">
        <v>19</v>
      </c>
      <c r="B747" t="s">
        <v>20</v>
      </c>
      <c r="C747" t="s">
        <v>305</v>
      </c>
      <c r="D747">
        <v>3</v>
      </c>
      <c r="E747" t="s">
        <v>75</v>
      </c>
      <c r="F747" t="s">
        <v>373</v>
      </c>
      <c r="G747">
        <v>0</v>
      </c>
      <c r="H747">
        <v>0</v>
      </c>
      <c r="I747">
        <f>G747+H747</f>
        <v>0</v>
      </c>
      <c r="J747">
        <f>100-G747-H747</f>
        <v>100</v>
      </c>
      <c r="K747" t="s">
        <v>19</v>
      </c>
      <c r="L747" t="s">
        <v>19</v>
      </c>
      <c r="M747" t="s">
        <v>19</v>
      </c>
      <c r="N747" t="s">
        <v>19</v>
      </c>
      <c r="O747" t="s">
        <v>19</v>
      </c>
      <c r="P747" t="s">
        <v>19</v>
      </c>
      <c r="Q747">
        <f>I747</f>
        <v>0</v>
      </c>
      <c r="R747" t="s">
        <v>19</v>
      </c>
      <c r="S747" t="s">
        <v>19</v>
      </c>
      <c r="T747" t="s">
        <v>19</v>
      </c>
    </row>
    <row r="748" spans="1:21" x14ac:dyDescent="0.25">
      <c r="A748" t="s">
        <v>19</v>
      </c>
      <c r="B748" t="s">
        <v>20</v>
      </c>
      <c r="C748" t="s">
        <v>307</v>
      </c>
      <c r="D748">
        <v>3</v>
      </c>
      <c r="E748" t="s">
        <v>75</v>
      </c>
      <c r="F748" t="s">
        <v>373</v>
      </c>
      <c r="G748">
        <v>0</v>
      </c>
      <c r="H748">
        <v>0</v>
      </c>
      <c r="I748">
        <f>G748+H748</f>
        <v>0</v>
      </c>
      <c r="J748">
        <f>100-G748-H748</f>
        <v>100</v>
      </c>
      <c r="K748" t="s">
        <v>19</v>
      </c>
      <c r="L748" t="s">
        <v>19</v>
      </c>
      <c r="M748" t="s">
        <v>19</v>
      </c>
      <c r="N748" t="s">
        <v>19</v>
      </c>
      <c r="O748" t="s">
        <v>19</v>
      </c>
      <c r="P748" t="s">
        <v>19</v>
      </c>
      <c r="Q748">
        <f>I748</f>
        <v>0</v>
      </c>
      <c r="R748" t="s">
        <v>19</v>
      </c>
      <c r="S748" t="s">
        <v>19</v>
      </c>
      <c r="T748" t="s">
        <v>19</v>
      </c>
    </row>
    <row r="749" spans="1:21" x14ac:dyDescent="0.25">
      <c r="A749" s="2">
        <v>45253.711111111108</v>
      </c>
      <c r="B749" t="s">
        <v>309</v>
      </c>
      <c r="C749" t="s">
        <v>213</v>
      </c>
      <c r="D749">
        <v>3</v>
      </c>
      <c r="E749" t="s">
        <v>75</v>
      </c>
      <c r="F749" t="s">
        <v>373</v>
      </c>
      <c r="G749">
        <v>0.143061516</v>
      </c>
      <c r="H749">
        <v>0</v>
      </c>
      <c r="I749">
        <v>0.143061516</v>
      </c>
      <c r="J749">
        <v>99.856938479999997</v>
      </c>
      <c r="K749">
        <v>0.8</v>
      </c>
      <c r="L749">
        <v>0.2</v>
      </c>
      <c r="M749">
        <v>0.7</v>
      </c>
      <c r="N749">
        <v>698</v>
      </c>
      <c r="O749">
        <v>1</v>
      </c>
      <c r="P749">
        <v>0</v>
      </c>
      <c r="Q749">
        <v>0.14000000000000001</v>
      </c>
      <c r="R749" t="s">
        <v>240</v>
      </c>
      <c r="S749">
        <v>2.94</v>
      </c>
      <c r="T749">
        <v>3.35</v>
      </c>
    </row>
    <row r="750" spans="1:21" x14ac:dyDescent="0.25">
      <c r="A750" s="2">
        <v>45253.925000000003</v>
      </c>
      <c r="B750" t="s">
        <v>309</v>
      </c>
      <c r="C750" t="s">
        <v>215</v>
      </c>
      <c r="D750">
        <v>2</v>
      </c>
      <c r="E750" t="s">
        <v>75</v>
      </c>
      <c r="F750" t="s">
        <v>373</v>
      </c>
      <c r="G750">
        <v>5.2473763120000001</v>
      </c>
      <c r="H750">
        <v>0</v>
      </c>
      <c r="I750">
        <v>5.2473763120000001</v>
      </c>
      <c r="J750">
        <v>94.752623689999993</v>
      </c>
      <c r="K750">
        <v>0.8</v>
      </c>
      <c r="L750">
        <v>0.2</v>
      </c>
      <c r="M750">
        <v>0.7</v>
      </c>
      <c r="N750">
        <v>632</v>
      </c>
      <c r="O750">
        <v>35</v>
      </c>
      <c r="P750">
        <v>0</v>
      </c>
      <c r="Q750">
        <v>5.25</v>
      </c>
      <c r="R750" t="s">
        <v>216</v>
      </c>
      <c r="S750">
        <v>0.17</v>
      </c>
      <c r="T750">
        <v>0.19</v>
      </c>
    </row>
    <row r="751" spans="1:21" x14ac:dyDescent="0.25">
      <c r="A751" s="2">
        <v>45254.098611111112</v>
      </c>
      <c r="B751" t="s">
        <v>309</v>
      </c>
      <c r="C751" t="s">
        <v>217</v>
      </c>
      <c r="D751">
        <v>2</v>
      </c>
      <c r="E751" t="s">
        <v>75</v>
      </c>
      <c r="F751" t="s">
        <v>373</v>
      </c>
      <c r="G751">
        <v>8.7603305789999997</v>
      </c>
      <c r="H751">
        <v>0</v>
      </c>
      <c r="I751">
        <v>8.7603305789999997</v>
      </c>
      <c r="J751">
        <v>91.239669419999998</v>
      </c>
      <c r="K751">
        <v>0.8</v>
      </c>
      <c r="L751">
        <v>0.2</v>
      </c>
      <c r="M751">
        <v>0.7</v>
      </c>
      <c r="N751">
        <v>552</v>
      </c>
      <c r="O751">
        <v>53</v>
      </c>
      <c r="P751">
        <v>0</v>
      </c>
      <c r="Q751">
        <v>8.76</v>
      </c>
      <c r="R751" t="s">
        <v>225</v>
      </c>
      <c r="S751">
        <v>0.28000000000000003</v>
      </c>
      <c r="T751">
        <v>0.28999999999999998</v>
      </c>
    </row>
    <row r="752" spans="1:21" x14ac:dyDescent="0.25">
      <c r="A752" s="2">
        <v>45316.435416666667</v>
      </c>
      <c r="B752" t="s">
        <v>309</v>
      </c>
      <c r="C752" t="s">
        <v>219</v>
      </c>
      <c r="D752">
        <v>3</v>
      </c>
      <c r="E752" t="s">
        <v>75</v>
      </c>
      <c r="F752" t="s">
        <v>373</v>
      </c>
      <c r="G752">
        <v>0.80385852099999999</v>
      </c>
      <c r="H752">
        <v>0.16077170399999999</v>
      </c>
      <c r="I752">
        <v>0.96463022499999995</v>
      </c>
      <c r="J752">
        <v>99.035369770000003</v>
      </c>
      <c r="K752">
        <v>0.8</v>
      </c>
      <c r="L752">
        <v>0.2</v>
      </c>
      <c r="M752">
        <v>0.7</v>
      </c>
      <c r="N752">
        <v>616</v>
      </c>
      <c r="O752">
        <v>5</v>
      </c>
      <c r="P752">
        <v>1</v>
      </c>
      <c r="Q752">
        <v>0.96</v>
      </c>
      <c r="R752" t="s">
        <v>218</v>
      </c>
      <c r="S752">
        <v>3.18</v>
      </c>
      <c r="T752">
        <v>4.28</v>
      </c>
    </row>
    <row r="753" spans="1:21" x14ac:dyDescent="0.25">
      <c r="A753" s="2">
        <v>45320.956944444442</v>
      </c>
      <c r="B753" t="s">
        <v>309</v>
      </c>
      <c r="C753" t="s">
        <v>221</v>
      </c>
      <c r="D753">
        <v>2</v>
      </c>
      <c r="E753" t="s">
        <v>75</v>
      </c>
      <c r="F753" t="s">
        <v>373</v>
      </c>
      <c r="G753">
        <v>0.45523520499999998</v>
      </c>
      <c r="H753">
        <v>0</v>
      </c>
      <c r="I753">
        <v>0.45523520499999998</v>
      </c>
      <c r="J753">
        <v>99.544764799999996</v>
      </c>
      <c r="K753">
        <v>0.8</v>
      </c>
      <c r="L753">
        <v>0.3</v>
      </c>
      <c r="M753">
        <v>0.7</v>
      </c>
      <c r="N753">
        <v>656</v>
      </c>
      <c r="O753">
        <v>3</v>
      </c>
      <c r="P753">
        <v>0</v>
      </c>
      <c r="Q753">
        <v>0.46</v>
      </c>
      <c r="R753" t="s">
        <v>226</v>
      </c>
      <c r="S753">
        <v>0.03</v>
      </c>
      <c r="T753">
        <v>0.03</v>
      </c>
    </row>
    <row r="754" spans="1:21" x14ac:dyDescent="0.25">
      <c r="A754" t="s">
        <v>19</v>
      </c>
      <c r="B754" t="s">
        <v>20</v>
      </c>
      <c r="C754" t="s">
        <v>320</v>
      </c>
      <c r="D754">
        <v>3</v>
      </c>
      <c r="E754" t="s">
        <v>75</v>
      </c>
      <c r="F754" t="s">
        <v>373</v>
      </c>
      <c r="G754">
        <v>0</v>
      </c>
      <c r="H754">
        <v>0</v>
      </c>
      <c r="I754">
        <f>100-J754</f>
        <v>0</v>
      </c>
      <c r="J754">
        <f>100-G754-H754</f>
        <v>100</v>
      </c>
      <c r="K754" t="s">
        <v>19</v>
      </c>
      <c r="L754" t="s">
        <v>19</v>
      </c>
      <c r="M754" t="s">
        <v>19</v>
      </c>
      <c r="N754" t="s">
        <v>19</v>
      </c>
      <c r="O754" t="s">
        <v>19</v>
      </c>
      <c r="P754" t="s">
        <v>19</v>
      </c>
      <c r="Q754">
        <f>I754</f>
        <v>0</v>
      </c>
      <c r="R754" t="s">
        <v>19</v>
      </c>
      <c r="S754" t="s">
        <v>19</v>
      </c>
      <c r="T754" t="s">
        <v>19</v>
      </c>
    </row>
    <row r="755" spans="1:21" x14ac:dyDescent="0.25">
      <c r="A755" s="2">
        <v>45323.554398148146</v>
      </c>
      <c r="B755" t="s">
        <v>309</v>
      </c>
      <c r="C755" t="s">
        <v>322</v>
      </c>
      <c r="D755">
        <v>3</v>
      </c>
      <c r="E755" t="s">
        <v>75</v>
      </c>
      <c r="F755" t="s">
        <v>373</v>
      </c>
      <c r="G755">
        <f t="shared" ref="G755:G763" si="0">(O755/(N755+O755+P755))*100</f>
        <v>0.61728395061728392</v>
      </c>
      <c r="H755">
        <f t="shared" ref="H755:H763" si="1">(P755/(O755+P755+N755))*100</f>
        <v>0</v>
      </c>
      <c r="I755">
        <f>((O755+P755)/(P755+O755+N755))*100</f>
        <v>0.61728395061728392</v>
      </c>
      <c r="J755">
        <f t="shared" ref="J755:J763" si="2">(N755/(P755+O755+N755))*100</f>
        <v>99.382716049382708</v>
      </c>
      <c r="K755">
        <v>0.8</v>
      </c>
      <c r="L755">
        <v>0.3</v>
      </c>
      <c r="M755">
        <v>0.7</v>
      </c>
      <c r="N755">
        <v>644</v>
      </c>
      <c r="O755">
        <v>4</v>
      </c>
      <c r="P755">
        <v>0</v>
      </c>
      <c r="Q755">
        <v>0.62</v>
      </c>
      <c r="R755" t="s">
        <v>339</v>
      </c>
      <c r="S755">
        <v>2.66</v>
      </c>
      <c r="T755">
        <v>2.92</v>
      </c>
      <c r="U755">
        <v>29</v>
      </c>
    </row>
    <row r="756" spans="1:21" x14ac:dyDescent="0.25">
      <c r="A756" s="2">
        <v>45323.556643518517</v>
      </c>
      <c r="B756" t="s">
        <v>309</v>
      </c>
      <c r="C756" t="s">
        <v>322</v>
      </c>
      <c r="D756">
        <v>3</v>
      </c>
      <c r="E756" t="s">
        <v>75</v>
      </c>
      <c r="F756" t="s">
        <v>373</v>
      </c>
      <c r="G756">
        <f t="shared" si="0"/>
        <v>1.3782542113323124</v>
      </c>
      <c r="H756">
        <f t="shared" si="1"/>
        <v>0</v>
      </c>
      <c r="I756">
        <f>((O756+P756)/(P756+O756+N756))*100</f>
        <v>1.3782542113323124</v>
      </c>
      <c r="J756">
        <f t="shared" si="2"/>
        <v>98.621745788667695</v>
      </c>
      <c r="K756">
        <v>0.7</v>
      </c>
      <c r="L756">
        <v>0.3</v>
      </c>
      <c r="M756">
        <v>0.7</v>
      </c>
      <c r="N756">
        <v>644</v>
      </c>
      <c r="O756">
        <v>9</v>
      </c>
      <c r="P756">
        <v>0</v>
      </c>
      <c r="Q756">
        <v>1.38</v>
      </c>
      <c r="R756" t="s">
        <v>338</v>
      </c>
      <c r="S756">
        <v>2.66</v>
      </c>
      <c r="T756">
        <v>2.92</v>
      </c>
      <c r="U756">
        <v>24</v>
      </c>
    </row>
    <row r="757" spans="1:21" x14ac:dyDescent="0.25">
      <c r="A757" s="2">
        <v>45325.128738425927</v>
      </c>
      <c r="B757" t="s">
        <v>309</v>
      </c>
      <c r="C757" t="s">
        <v>368</v>
      </c>
      <c r="D757">
        <v>2</v>
      </c>
      <c r="E757" t="s">
        <v>75</v>
      </c>
      <c r="F757" t="s">
        <v>373</v>
      </c>
      <c r="G757">
        <f t="shared" si="0"/>
        <v>0.15313935681470139</v>
      </c>
      <c r="H757">
        <f t="shared" si="1"/>
        <v>0</v>
      </c>
      <c r="I757">
        <v>0.15</v>
      </c>
      <c r="J757">
        <f t="shared" si="2"/>
        <v>99.846860643185295</v>
      </c>
      <c r="K757">
        <v>0.8</v>
      </c>
      <c r="L757">
        <v>0.3</v>
      </c>
      <c r="M757">
        <v>0.7</v>
      </c>
      <c r="N757">
        <v>652</v>
      </c>
      <c r="O757">
        <v>1</v>
      </c>
      <c r="P757">
        <v>0</v>
      </c>
      <c r="Q757">
        <v>0.15</v>
      </c>
      <c r="R757" t="s">
        <v>346</v>
      </c>
      <c r="S757">
        <v>0.03</v>
      </c>
      <c r="T757">
        <v>0.03</v>
      </c>
    </row>
    <row r="758" spans="1:21" x14ac:dyDescent="0.25">
      <c r="A758" s="2">
        <v>45323.547800925924</v>
      </c>
      <c r="B758" t="s">
        <v>309</v>
      </c>
      <c r="C758" t="s">
        <v>322</v>
      </c>
      <c r="D758">
        <v>3</v>
      </c>
      <c r="E758" t="s">
        <v>323</v>
      </c>
      <c r="F758" t="s">
        <v>388</v>
      </c>
      <c r="G758" t="e">
        <f t="shared" si="0"/>
        <v>#VALUE!</v>
      </c>
      <c r="H758" t="e">
        <f t="shared" si="1"/>
        <v>#VALUE!</v>
      </c>
      <c r="I758">
        <v>6.58</v>
      </c>
      <c r="J758" t="e">
        <f t="shared" si="2"/>
        <v>#VALUE!</v>
      </c>
      <c r="K758">
        <v>0.8</v>
      </c>
      <c r="L758">
        <v>0.3</v>
      </c>
      <c r="M758">
        <v>0.7</v>
      </c>
      <c r="N758">
        <v>525</v>
      </c>
      <c r="O758" t="s">
        <v>266</v>
      </c>
      <c r="P758" t="s">
        <v>266</v>
      </c>
      <c r="Q758">
        <v>6.58</v>
      </c>
      <c r="R758" t="s">
        <v>343</v>
      </c>
      <c r="S758">
        <v>2.38</v>
      </c>
      <c r="T758">
        <v>3.46</v>
      </c>
      <c r="U758">
        <v>132</v>
      </c>
    </row>
    <row r="759" spans="1:21" x14ac:dyDescent="0.25">
      <c r="A759" s="2">
        <v>45323.546550925923</v>
      </c>
      <c r="B759" t="s">
        <v>309</v>
      </c>
      <c r="C759" t="s">
        <v>322</v>
      </c>
      <c r="D759">
        <v>3</v>
      </c>
      <c r="E759" t="s">
        <v>323</v>
      </c>
      <c r="F759" t="s">
        <v>388</v>
      </c>
      <c r="G759" t="e">
        <f t="shared" si="0"/>
        <v>#VALUE!</v>
      </c>
      <c r="H759" t="e">
        <f t="shared" si="1"/>
        <v>#VALUE!</v>
      </c>
      <c r="I759">
        <v>9.64</v>
      </c>
      <c r="J759" t="e">
        <f t="shared" si="2"/>
        <v>#VALUE!</v>
      </c>
      <c r="K759">
        <v>0.7</v>
      </c>
      <c r="L759">
        <v>0.3</v>
      </c>
      <c r="M759">
        <v>0.7</v>
      </c>
      <c r="N759">
        <v>525</v>
      </c>
      <c r="O759" t="s">
        <v>266</v>
      </c>
      <c r="P759" t="s">
        <v>266</v>
      </c>
      <c r="Q759">
        <v>9.64</v>
      </c>
      <c r="R759" t="s">
        <v>255</v>
      </c>
      <c r="S759">
        <v>2.38</v>
      </c>
      <c r="T759">
        <v>3.46</v>
      </c>
      <c r="U759">
        <v>113</v>
      </c>
    </row>
    <row r="760" spans="1:21" x14ac:dyDescent="0.25">
      <c r="A760" s="2">
        <v>45324.971712962964</v>
      </c>
      <c r="B760" t="s">
        <v>309</v>
      </c>
      <c r="C760" t="s">
        <v>368</v>
      </c>
      <c r="D760">
        <v>2</v>
      </c>
      <c r="E760" t="s">
        <v>323</v>
      </c>
      <c r="F760" t="s">
        <v>388</v>
      </c>
      <c r="G760">
        <f t="shared" si="0"/>
        <v>6.1538461538461542</v>
      </c>
      <c r="H760">
        <f t="shared" si="1"/>
        <v>0</v>
      </c>
      <c r="I760">
        <v>6.15</v>
      </c>
      <c r="J760">
        <f t="shared" si="2"/>
        <v>93.84615384615384</v>
      </c>
      <c r="K760">
        <v>0.8</v>
      </c>
      <c r="L760">
        <v>0.3</v>
      </c>
      <c r="M760">
        <v>0.7</v>
      </c>
      <c r="N760">
        <v>549</v>
      </c>
      <c r="O760">
        <v>36</v>
      </c>
      <c r="P760">
        <v>0</v>
      </c>
      <c r="Q760">
        <v>6.15</v>
      </c>
      <c r="R760" t="s">
        <v>347</v>
      </c>
      <c r="S760">
        <v>0.3</v>
      </c>
      <c r="T760">
        <v>0.33</v>
      </c>
    </row>
    <row r="761" spans="1:21" x14ac:dyDescent="0.25">
      <c r="A761" s="2">
        <v>45323.556041666663</v>
      </c>
      <c r="B761" t="s">
        <v>309</v>
      </c>
      <c r="C761" t="s">
        <v>322</v>
      </c>
      <c r="D761">
        <v>3</v>
      </c>
      <c r="E761" t="s">
        <v>323</v>
      </c>
      <c r="F761" t="s">
        <v>373</v>
      </c>
      <c r="G761">
        <f t="shared" si="0"/>
        <v>5.342237061769616</v>
      </c>
      <c r="H761">
        <f t="shared" si="1"/>
        <v>0</v>
      </c>
      <c r="I761">
        <f>((O761+P761)/(P761+O761+N761))*100</f>
        <v>5.342237061769616</v>
      </c>
      <c r="J761">
        <f t="shared" si="2"/>
        <v>94.657762938230377</v>
      </c>
      <c r="K761">
        <v>0.8</v>
      </c>
      <c r="L761">
        <v>0.3</v>
      </c>
      <c r="M761">
        <v>0.7</v>
      </c>
      <c r="N761">
        <v>567</v>
      </c>
      <c r="O761">
        <v>32</v>
      </c>
      <c r="P761">
        <v>0</v>
      </c>
      <c r="Q761">
        <v>5.34</v>
      </c>
      <c r="R761" t="s">
        <v>341</v>
      </c>
      <c r="S761">
        <v>2.57</v>
      </c>
      <c r="T761">
        <v>2.94</v>
      </c>
      <c r="U761">
        <v>83</v>
      </c>
    </row>
    <row r="762" spans="1:21" x14ac:dyDescent="0.25">
      <c r="A762" s="2">
        <v>45323.558379629627</v>
      </c>
      <c r="B762" t="s">
        <v>309</v>
      </c>
      <c r="C762" t="s">
        <v>322</v>
      </c>
      <c r="D762">
        <v>3</v>
      </c>
      <c r="E762" t="s">
        <v>323</v>
      </c>
      <c r="F762" t="s">
        <v>373</v>
      </c>
      <c r="G762">
        <f t="shared" si="0"/>
        <v>7.6547231270358314</v>
      </c>
      <c r="H762">
        <f t="shared" si="1"/>
        <v>0</v>
      </c>
      <c r="I762">
        <f>((O762+P762)/(P762+O762+N762))*100</f>
        <v>7.6547231270358314</v>
      </c>
      <c r="J762">
        <f t="shared" si="2"/>
        <v>92.345276872964163</v>
      </c>
      <c r="K762">
        <v>0.7</v>
      </c>
      <c r="L762">
        <v>0.3</v>
      </c>
      <c r="M762">
        <v>0.7</v>
      </c>
      <c r="N762">
        <v>567</v>
      </c>
      <c r="O762">
        <v>47</v>
      </c>
      <c r="P762">
        <v>0</v>
      </c>
      <c r="Q762">
        <v>7.65</v>
      </c>
      <c r="R762" t="s">
        <v>333</v>
      </c>
      <c r="S762">
        <v>2.57</v>
      </c>
      <c r="T762">
        <v>2.94</v>
      </c>
      <c r="U762">
        <v>68</v>
      </c>
    </row>
    <row r="763" spans="1:21" x14ac:dyDescent="0.25">
      <c r="A763" s="2">
        <v>45325.129988425928</v>
      </c>
      <c r="B763" t="s">
        <v>309</v>
      </c>
      <c r="C763" t="s">
        <v>368</v>
      </c>
      <c r="D763">
        <v>2</v>
      </c>
      <c r="E763" t="s">
        <v>323</v>
      </c>
      <c r="F763" t="s">
        <v>373</v>
      </c>
      <c r="G763">
        <f t="shared" si="0"/>
        <v>3.9432176656151419</v>
      </c>
      <c r="H763">
        <f t="shared" si="1"/>
        <v>0</v>
      </c>
      <c r="I763">
        <v>3.94</v>
      </c>
      <c r="J763">
        <f t="shared" si="2"/>
        <v>96.056782334384863</v>
      </c>
      <c r="K763">
        <v>0.8</v>
      </c>
      <c r="L763">
        <v>0.3</v>
      </c>
      <c r="M763">
        <v>0.7</v>
      </c>
      <c r="N763">
        <v>609</v>
      </c>
      <c r="O763">
        <v>25</v>
      </c>
      <c r="P763">
        <v>0</v>
      </c>
      <c r="Q763">
        <v>3.94</v>
      </c>
      <c r="R763" t="s">
        <v>264</v>
      </c>
      <c r="S763">
        <v>0.16</v>
      </c>
      <c r="T763">
        <v>0.16</v>
      </c>
    </row>
    <row r="764" spans="1:21" x14ac:dyDescent="0.25">
      <c r="A764" t="s">
        <v>19</v>
      </c>
      <c r="B764" t="s">
        <v>20</v>
      </c>
      <c r="C764" t="s">
        <v>308</v>
      </c>
      <c r="D764">
        <v>3</v>
      </c>
      <c r="E764" t="s">
        <v>310</v>
      </c>
      <c r="F764" t="s">
        <v>388</v>
      </c>
      <c r="G764">
        <v>0</v>
      </c>
      <c r="H764">
        <v>2</v>
      </c>
      <c r="I764">
        <f>G764+H764</f>
        <v>2</v>
      </c>
      <c r="J764">
        <f>100-G764-H764</f>
        <v>98</v>
      </c>
      <c r="K764" t="s">
        <v>19</v>
      </c>
      <c r="L764" t="s">
        <v>19</v>
      </c>
      <c r="M764" t="s">
        <v>19</v>
      </c>
      <c r="N764" t="s">
        <v>19</v>
      </c>
      <c r="O764" t="s">
        <v>19</v>
      </c>
      <c r="P764" t="s">
        <v>19</v>
      </c>
      <c r="Q764">
        <f>I764</f>
        <v>2</v>
      </c>
      <c r="R764" t="s">
        <v>19</v>
      </c>
      <c r="S764" t="s">
        <v>19</v>
      </c>
      <c r="T764" t="s">
        <v>19</v>
      </c>
    </row>
    <row r="765" spans="1:21" x14ac:dyDescent="0.25">
      <c r="A765" t="s">
        <v>19</v>
      </c>
      <c r="B765" t="s">
        <v>20</v>
      </c>
      <c r="C765" t="s">
        <v>22</v>
      </c>
      <c r="D765">
        <v>3</v>
      </c>
      <c r="E765" t="s">
        <v>310</v>
      </c>
      <c r="F765" t="s">
        <v>388</v>
      </c>
      <c r="G765">
        <v>0</v>
      </c>
      <c r="H765">
        <v>1</v>
      </c>
      <c r="I765">
        <f>G765+H765</f>
        <v>1</v>
      </c>
      <c r="J765">
        <f>100-G765-H765</f>
        <v>99</v>
      </c>
      <c r="K765" t="s">
        <v>19</v>
      </c>
      <c r="L765" t="s">
        <v>19</v>
      </c>
      <c r="M765" t="s">
        <v>19</v>
      </c>
      <c r="N765" t="s">
        <v>19</v>
      </c>
      <c r="O765" t="s">
        <v>19</v>
      </c>
      <c r="P765" t="s">
        <v>19</v>
      </c>
      <c r="Q765">
        <f>I765</f>
        <v>1</v>
      </c>
      <c r="R765" t="s">
        <v>19</v>
      </c>
      <c r="S765" t="s">
        <v>19</v>
      </c>
      <c r="T765" t="s">
        <v>19</v>
      </c>
    </row>
    <row r="766" spans="1:21" x14ac:dyDescent="0.25">
      <c r="A766" t="s">
        <v>19</v>
      </c>
      <c r="B766" t="s">
        <v>20</v>
      </c>
      <c r="C766" t="s">
        <v>305</v>
      </c>
      <c r="D766">
        <v>3</v>
      </c>
      <c r="E766" t="s">
        <v>310</v>
      </c>
      <c r="F766" t="s">
        <v>388</v>
      </c>
      <c r="G766">
        <v>2</v>
      </c>
      <c r="H766">
        <v>2</v>
      </c>
      <c r="I766">
        <f>G766+H766</f>
        <v>4</v>
      </c>
      <c r="J766">
        <f>100-G766-H766</f>
        <v>96</v>
      </c>
      <c r="K766" t="s">
        <v>19</v>
      </c>
      <c r="L766" t="s">
        <v>19</v>
      </c>
      <c r="M766" t="s">
        <v>19</v>
      </c>
      <c r="N766" t="s">
        <v>19</v>
      </c>
      <c r="O766" t="s">
        <v>19</v>
      </c>
      <c r="P766" t="s">
        <v>19</v>
      </c>
      <c r="Q766">
        <f>I766</f>
        <v>4</v>
      </c>
      <c r="R766" t="s">
        <v>19</v>
      </c>
      <c r="S766" t="s">
        <v>19</v>
      </c>
      <c r="T766" t="s">
        <v>19</v>
      </c>
    </row>
    <row r="767" spans="1:21" x14ac:dyDescent="0.25">
      <c r="A767" t="s">
        <v>19</v>
      </c>
      <c r="B767" t="s">
        <v>20</v>
      </c>
      <c r="C767" t="s">
        <v>307</v>
      </c>
      <c r="D767">
        <v>3</v>
      </c>
      <c r="E767" t="s">
        <v>310</v>
      </c>
      <c r="F767" t="s">
        <v>388</v>
      </c>
      <c r="G767">
        <v>0</v>
      </c>
      <c r="H767">
        <v>1</v>
      </c>
      <c r="I767">
        <f>G767+H767</f>
        <v>1</v>
      </c>
      <c r="J767">
        <f>100-G767-H767</f>
        <v>99</v>
      </c>
      <c r="K767" t="s">
        <v>19</v>
      </c>
      <c r="L767" t="s">
        <v>19</v>
      </c>
      <c r="M767" t="s">
        <v>19</v>
      </c>
      <c r="N767" t="s">
        <v>19</v>
      </c>
      <c r="O767" t="s">
        <v>19</v>
      </c>
      <c r="P767" t="s">
        <v>19</v>
      </c>
      <c r="Q767">
        <f>I767</f>
        <v>1</v>
      </c>
      <c r="R767" t="s">
        <v>19</v>
      </c>
      <c r="S767" t="s">
        <v>19</v>
      </c>
      <c r="T767" t="s">
        <v>19</v>
      </c>
    </row>
    <row r="768" spans="1:21" x14ac:dyDescent="0.25">
      <c r="A768" s="2">
        <v>45253.542361111111</v>
      </c>
      <c r="B768" t="s">
        <v>309</v>
      </c>
      <c r="C768" t="s">
        <v>213</v>
      </c>
      <c r="D768">
        <v>3</v>
      </c>
      <c r="E768" t="s">
        <v>310</v>
      </c>
      <c r="F768" t="s">
        <v>388</v>
      </c>
      <c r="G768" t="e">
        <v>#VALUE!</v>
      </c>
      <c r="H768" t="e">
        <v>#VALUE!</v>
      </c>
      <c r="I768">
        <v>3.07</v>
      </c>
      <c r="J768" t="e">
        <v>#VALUE!</v>
      </c>
      <c r="K768">
        <v>0.8</v>
      </c>
      <c r="L768">
        <v>0.2</v>
      </c>
      <c r="M768">
        <v>0.7</v>
      </c>
      <c r="N768">
        <v>411</v>
      </c>
      <c r="O768" t="s">
        <v>266</v>
      </c>
      <c r="P768" t="s">
        <v>266</v>
      </c>
      <c r="Q768">
        <v>3.07</v>
      </c>
      <c r="R768" t="s">
        <v>238</v>
      </c>
      <c r="S768">
        <v>2.65</v>
      </c>
      <c r="T768">
        <v>2.9</v>
      </c>
    </row>
    <row r="769" spans="1:20" x14ac:dyDescent="0.25">
      <c r="A769" s="2">
        <v>45253.834722222222</v>
      </c>
      <c r="B769" t="s">
        <v>309</v>
      </c>
      <c r="C769" t="s">
        <v>215</v>
      </c>
      <c r="D769">
        <v>2</v>
      </c>
      <c r="E769" t="s">
        <v>310</v>
      </c>
      <c r="F769" t="s">
        <v>388</v>
      </c>
      <c r="G769">
        <v>76.657060520000002</v>
      </c>
      <c r="H769">
        <v>0</v>
      </c>
      <c r="I769">
        <v>76.657060520000002</v>
      </c>
      <c r="J769">
        <v>23.342939479999998</v>
      </c>
      <c r="K769">
        <v>0.8</v>
      </c>
      <c r="L769">
        <v>0.2</v>
      </c>
      <c r="M769">
        <v>0.7</v>
      </c>
      <c r="N769">
        <v>162</v>
      </c>
      <c r="O769">
        <v>532</v>
      </c>
      <c r="P769">
        <v>0</v>
      </c>
      <c r="Q769">
        <v>76.66</v>
      </c>
      <c r="R769" t="s">
        <v>254</v>
      </c>
      <c r="S769">
        <v>1.66</v>
      </c>
      <c r="T769">
        <v>1.78</v>
      </c>
    </row>
    <row r="770" spans="1:20" x14ac:dyDescent="0.25">
      <c r="A770" s="2">
        <v>45254.001388888886</v>
      </c>
      <c r="B770" t="s">
        <v>309</v>
      </c>
      <c r="C770" t="s">
        <v>217</v>
      </c>
      <c r="D770">
        <v>2</v>
      </c>
      <c r="E770" t="s">
        <v>310</v>
      </c>
      <c r="F770" t="s">
        <v>388</v>
      </c>
      <c r="G770">
        <v>76.834532370000005</v>
      </c>
      <c r="H770">
        <v>0</v>
      </c>
      <c r="I770">
        <v>76.834532370000005</v>
      </c>
      <c r="J770">
        <v>23.165467629999998</v>
      </c>
      <c r="K770">
        <v>0.8</v>
      </c>
      <c r="L770">
        <v>0.2</v>
      </c>
      <c r="M770">
        <v>0.7</v>
      </c>
      <c r="N770">
        <v>161</v>
      </c>
      <c r="O770">
        <v>534</v>
      </c>
      <c r="P770">
        <v>0</v>
      </c>
      <c r="Q770">
        <v>76.83</v>
      </c>
      <c r="R770" t="s">
        <v>273</v>
      </c>
      <c r="S770">
        <v>1.9</v>
      </c>
      <c r="T770">
        <v>2</v>
      </c>
    </row>
    <row r="771" spans="1:20" x14ac:dyDescent="0.25">
      <c r="A771" s="2">
        <v>45316.513888888891</v>
      </c>
      <c r="B771" t="s">
        <v>309</v>
      </c>
      <c r="C771" t="s">
        <v>219</v>
      </c>
      <c r="D771">
        <v>3</v>
      </c>
      <c r="E771" t="s">
        <v>310</v>
      </c>
      <c r="F771" t="s">
        <v>388</v>
      </c>
      <c r="G771" t="e">
        <v>#VALUE!</v>
      </c>
      <c r="H771" t="e">
        <v>#VALUE!</v>
      </c>
      <c r="I771">
        <v>30.6</v>
      </c>
      <c r="J771" t="e">
        <v>#VALUE!</v>
      </c>
      <c r="K771">
        <v>0.8</v>
      </c>
      <c r="L771">
        <v>0.2</v>
      </c>
      <c r="M771">
        <v>0.7</v>
      </c>
      <c r="N771">
        <v>127</v>
      </c>
      <c r="O771" t="s">
        <v>266</v>
      </c>
      <c r="P771" t="s">
        <v>266</v>
      </c>
      <c r="Q771">
        <v>30.6</v>
      </c>
      <c r="R771" t="s">
        <v>220</v>
      </c>
      <c r="S771">
        <v>3.24</v>
      </c>
      <c r="T771">
        <v>4.37</v>
      </c>
    </row>
    <row r="772" spans="1:20" x14ac:dyDescent="0.25">
      <c r="A772" s="2">
        <v>45320.85</v>
      </c>
      <c r="B772" t="s">
        <v>309</v>
      </c>
      <c r="C772" t="s">
        <v>221</v>
      </c>
      <c r="D772">
        <v>2</v>
      </c>
      <c r="E772" t="s">
        <v>310</v>
      </c>
      <c r="F772" t="s">
        <v>388</v>
      </c>
      <c r="G772">
        <v>6.4124783360000004</v>
      </c>
      <c r="H772">
        <v>0</v>
      </c>
      <c r="I772">
        <v>6.4124783360000004</v>
      </c>
      <c r="J772">
        <v>93.587521659999993</v>
      </c>
      <c r="K772">
        <v>0.8</v>
      </c>
      <c r="L772">
        <v>0.3</v>
      </c>
      <c r="M772">
        <v>0.7</v>
      </c>
      <c r="N772">
        <v>540</v>
      </c>
      <c r="O772">
        <v>37</v>
      </c>
      <c r="P772">
        <v>0</v>
      </c>
      <c r="Q772">
        <v>6.41</v>
      </c>
      <c r="R772" t="s">
        <v>274</v>
      </c>
      <c r="S772">
        <v>0.31</v>
      </c>
      <c r="T772">
        <v>0.34</v>
      </c>
    </row>
    <row r="773" spans="1:20" x14ac:dyDescent="0.25">
      <c r="A773" t="s">
        <v>19</v>
      </c>
      <c r="B773" t="s">
        <v>20</v>
      </c>
      <c r="C773" t="s">
        <v>306</v>
      </c>
      <c r="D773">
        <v>3</v>
      </c>
      <c r="E773" t="s">
        <v>310</v>
      </c>
      <c r="F773" t="s">
        <v>388</v>
      </c>
      <c r="G773">
        <v>0</v>
      </c>
      <c r="H773">
        <v>0</v>
      </c>
      <c r="I773">
        <f>G773+H773</f>
        <v>0</v>
      </c>
      <c r="J773">
        <f t="shared" ref="J773:J779" si="3">100-G773-H773</f>
        <v>100</v>
      </c>
      <c r="K773" t="s">
        <v>19</v>
      </c>
      <c r="L773" t="s">
        <v>19</v>
      </c>
      <c r="M773" t="s">
        <v>19</v>
      </c>
      <c r="N773" t="s">
        <v>19</v>
      </c>
      <c r="O773" t="s">
        <v>19</v>
      </c>
      <c r="P773" t="s">
        <v>19</v>
      </c>
      <c r="Q773">
        <f t="shared" ref="Q773:Q779" si="4">I773</f>
        <v>0</v>
      </c>
      <c r="R773" t="s">
        <v>19</v>
      </c>
      <c r="S773" t="s">
        <v>19</v>
      </c>
      <c r="T773" t="s">
        <v>19</v>
      </c>
    </row>
    <row r="774" spans="1:20" x14ac:dyDescent="0.25">
      <c r="A774" t="s">
        <v>19</v>
      </c>
      <c r="B774" t="s">
        <v>20</v>
      </c>
      <c r="C774" t="s">
        <v>320</v>
      </c>
      <c r="D774">
        <v>3</v>
      </c>
      <c r="E774" t="s">
        <v>310</v>
      </c>
      <c r="F774" t="s">
        <v>388</v>
      </c>
      <c r="G774">
        <v>0</v>
      </c>
      <c r="H774">
        <v>0</v>
      </c>
      <c r="I774">
        <f>100-J774</f>
        <v>0</v>
      </c>
      <c r="J774">
        <f t="shared" si="3"/>
        <v>100</v>
      </c>
      <c r="K774" t="s">
        <v>19</v>
      </c>
      <c r="L774" t="s">
        <v>19</v>
      </c>
      <c r="M774" t="s">
        <v>19</v>
      </c>
      <c r="N774" t="s">
        <v>19</v>
      </c>
      <c r="O774" t="s">
        <v>19</v>
      </c>
      <c r="P774" t="s">
        <v>19</v>
      </c>
      <c r="Q774">
        <f t="shared" si="4"/>
        <v>0</v>
      </c>
      <c r="R774" t="s">
        <v>19</v>
      </c>
      <c r="S774" t="s">
        <v>19</v>
      </c>
      <c r="T774" t="s">
        <v>19</v>
      </c>
    </row>
    <row r="775" spans="1:20" x14ac:dyDescent="0.25">
      <c r="A775" t="s">
        <v>19</v>
      </c>
      <c r="B775" t="s">
        <v>20</v>
      </c>
      <c r="C775" t="s">
        <v>306</v>
      </c>
      <c r="D775">
        <v>3</v>
      </c>
      <c r="E775" t="s">
        <v>311</v>
      </c>
      <c r="F775" t="s">
        <v>373</v>
      </c>
      <c r="G775">
        <v>15</v>
      </c>
      <c r="H775">
        <v>0</v>
      </c>
      <c r="I775">
        <f>G775+H775</f>
        <v>15</v>
      </c>
      <c r="J775">
        <f t="shared" si="3"/>
        <v>85</v>
      </c>
      <c r="K775" t="s">
        <v>19</v>
      </c>
      <c r="L775" t="s">
        <v>19</v>
      </c>
      <c r="M775" t="s">
        <v>19</v>
      </c>
      <c r="N775" t="s">
        <v>19</v>
      </c>
      <c r="O775" t="s">
        <v>19</v>
      </c>
      <c r="P775" t="s">
        <v>19</v>
      </c>
      <c r="Q775">
        <f t="shared" si="4"/>
        <v>15</v>
      </c>
      <c r="R775" t="s">
        <v>19</v>
      </c>
      <c r="S775" t="s">
        <v>19</v>
      </c>
      <c r="T775" t="s">
        <v>19</v>
      </c>
    </row>
    <row r="776" spans="1:20" x14ac:dyDescent="0.25">
      <c r="A776" t="s">
        <v>19</v>
      </c>
      <c r="B776" t="s">
        <v>20</v>
      </c>
      <c r="C776" t="s">
        <v>308</v>
      </c>
      <c r="D776">
        <v>3</v>
      </c>
      <c r="E776" t="s">
        <v>311</v>
      </c>
      <c r="F776" t="s">
        <v>373</v>
      </c>
      <c r="G776">
        <v>1</v>
      </c>
      <c r="H776">
        <v>0</v>
      </c>
      <c r="I776">
        <f>G776+H776</f>
        <v>1</v>
      </c>
      <c r="J776">
        <f t="shared" si="3"/>
        <v>99</v>
      </c>
      <c r="K776" t="s">
        <v>19</v>
      </c>
      <c r="L776" t="s">
        <v>19</v>
      </c>
      <c r="M776" t="s">
        <v>19</v>
      </c>
      <c r="N776" t="s">
        <v>19</v>
      </c>
      <c r="O776" t="s">
        <v>19</v>
      </c>
      <c r="P776" t="s">
        <v>19</v>
      </c>
      <c r="Q776">
        <f t="shared" si="4"/>
        <v>1</v>
      </c>
      <c r="R776" t="s">
        <v>19</v>
      </c>
      <c r="S776" t="s">
        <v>19</v>
      </c>
      <c r="T776" t="s">
        <v>19</v>
      </c>
    </row>
    <row r="777" spans="1:20" x14ac:dyDescent="0.25">
      <c r="A777" t="s">
        <v>19</v>
      </c>
      <c r="B777" t="s">
        <v>20</v>
      </c>
      <c r="C777" t="s">
        <v>22</v>
      </c>
      <c r="D777">
        <v>3</v>
      </c>
      <c r="E777" t="s">
        <v>311</v>
      </c>
      <c r="F777" t="s">
        <v>373</v>
      </c>
      <c r="G777">
        <v>10</v>
      </c>
      <c r="H777">
        <v>0</v>
      </c>
      <c r="I777">
        <f>G777+H777</f>
        <v>10</v>
      </c>
      <c r="J777">
        <f t="shared" si="3"/>
        <v>90</v>
      </c>
      <c r="K777" t="s">
        <v>19</v>
      </c>
      <c r="L777" t="s">
        <v>19</v>
      </c>
      <c r="M777" t="s">
        <v>19</v>
      </c>
      <c r="N777" t="s">
        <v>19</v>
      </c>
      <c r="O777" t="s">
        <v>19</v>
      </c>
      <c r="P777" t="s">
        <v>19</v>
      </c>
      <c r="Q777">
        <f t="shared" si="4"/>
        <v>10</v>
      </c>
      <c r="R777" t="s">
        <v>19</v>
      </c>
      <c r="S777" t="s">
        <v>19</v>
      </c>
      <c r="T777" t="s">
        <v>19</v>
      </c>
    </row>
    <row r="778" spans="1:20" x14ac:dyDescent="0.25">
      <c r="A778" t="s">
        <v>19</v>
      </c>
      <c r="B778" t="s">
        <v>20</v>
      </c>
      <c r="C778" t="s">
        <v>305</v>
      </c>
      <c r="D778">
        <v>3</v>
      </c>
      <c r="E778" t="s">
        <v>311</v>
      </c>
      <c r="F778" t="s">
        <v>373</v>
      </c>
      <c r="G778">
        <v>2</v>
      </c>
      <c r="H778">
        <v>0</v>
      </c>
      <c r="I778">
        <f>G778+H778</f>
        <v>2</v>
      </c>
      <c r="J778">
        <f t="shared" si="3"/>
        <v>98</v>
      </c>
      <c r="K778" t="s">
        <v>19</v>
      </c>
      <c r="L778" t="s">
        <v>19</v>
      </c>
      <c r="M778" t="s">
        <v>19</v>
      </c>
      <c r="N778" t="s">
        <v>19</v>
      </c>
      <c r="O778" t="s">
        <v>19</v>
      </c>
      <c r="P778" t="s">
        <v>19</v>
      </c>
      <c r="Q778">
        <f t="shared" si="4"/>
        <v>2</v>
      </c>
      <c r="R778" t="s">
        <v>19</v>
      </c>
      <c r="S778" t="s">
        <v>19</v>
      </c>
      <c r="T778" t="s">
        <v>19</v>
      </c>
    </row>
    <row r="779" spans="1:20" x14ac:dyDescent="0.25">
      <c r="A779" t="s">
        <v>19</v>
      </c>
      <c r="B779" t="s">
        <v>20</v>
      </c>
      <c r="C779" t="s">
        <v>307</v>
      </c>
      <c r="D779">
        <v>3</v>
      </c>
      <c r="E779" t="s">
        <v>311</v>
      </c>
      <c r="F779" t="s">
        <v>373</v>
      </c>
      <c r="G779">
        <v>0</v>
      </c>
      <c r="H779">
        <v>0</v>
      </c>
      <c r="I779">
        <f>G779+H779</f>
        <v>0</v>
      </c>
      <c r="J779">
        <f t="shared" si="3"/>
        <v>100</v>
      </c>
      <c r="K779" t="s">
        <v>19</v>
      </c>
      <c r="L779" t="s">
        <v>19</v>
      </c>
      <c r="M779" t="s">
        <v>19</v>
      </c>
      <c r="N779" t="s">
        <v>19</v>
      </c>
      <c r="O779" t="s">
        <v>19</v>
      </c>
      <c r="P779" t="s">
        <v>19</v>
      </c>
      <c r="Q779">
        <f t="shared" si="4"/>
        <v>0</v>
      </c>
      <c r="R779" t="s">
        <v>19</v>
      </c>
      <c r="S779" t="s">
        <v>19</v>
      </c>
      <c r="T779" t="s">
        <v>19</v>
      </c>
    </row>
    <row r="780" spans="1:20" x14ac:dyDescent="0.25">
      <c r="A780" s="2">
        <v>45253.712500000001</v>
      </c>
      <c r="B780" t="s">
        <v>309</v>
      </c>
      <c r="C780" t="s">
        <v>213</v>
      </c>
      <c r="D780">
        <v>3</v>
      </c>
      <c r="E780" t="s">
        <v>311</v>
      </c>
      <c r="F780" t="s">
        <v>373</v>
      </c>
      <c r="G780">
        <v>0.98039215700000004</v>
      </c>
      <c r="H780">
        <v>0.49019607799999998</v>
      </c>
      <c r="I780">
        <v>1.4705882349999999</v>
      </c>
      <c r="J780">
        <v>98.529411760000002</v>
      </c>
      <c r="K780">
        <v>0.8</v>
      </c>
      <c r="L780">
        <v>0.2</v>
      </c>
      <c r="M780">
        <v>0.7</v>
      </c>
      <c r="N780">
        <v>402</v>
      </c>
      <c r="O780">
        <v>4</v>
      </c>
      <c r="P780">
        <v>2</v>
      </c>
      <c r="Q780">
        <v>1.47</v>
      </c>
      <c r="R780" t="s">
        <v>265</v>
      </c>
      <c r="S780">
        <v>2.84</v>
      </c>
      <c r="T780">
        <v>2.95</v>
      </c>
    </row>
    <row r="781" spans="1:20" x14ac:dyDescent="0.25">
      <c r="A781" s="2">
        <v>45253.925694444442</v>
      </c>
      <c r="B781" t="s">
        <v>309</v>
      </c>
      <c r="C781" t="s">
        <v>215</v>
      </c>
      <c r="D781">
        <v>2</v>
      </c>
      <c r="E781" t="s">
        <v>311</v>
      </c>
      <c r="F781" t="s">
        <v>373</v>
      </c>
      <c r="G781">
        <v>7.0996978850000003</v>
      </c>
      <c r="H781">
        <v>0</v>
      </c>
      <c r="I781">
        <v>7.0996978850000003</v>
      </c>
      <c r="J781">
        <v>92.900302109999998</v>
      </c>
      <c r="K781">
        <v>0.8</v>
      </c>
      <c r="L781">
        <v>0.2</v>
      </c>
      <c r="M781">
        <v>0.7</v>
      </c>
      <c r="N781">
        <v>615</v>
      </c>
      <c r="O781">
        <v>47</v>
      </c>
      <c r="P781">
        <v>0</v>
      </c>
      <c r="Q781">
        <v>7.1</v>
      </c>
      <c r="R781" t="s">
        <v>216</v>
      </c>
      <c r="S781">
        <v>0.18</v>
      </c>
      <c r="T781">
        <v>0.19</v>
      </c>
    </row>
    <row r="782" spans="1:20" x14ac:dyDescent="0.25">
      <c r="A782" s="2">
        <v>45254.099305555559</v>
      </c>
      <c r="B782" t="s">
        <v>309</v>
      </c>
      <c r="C782" t="s">
        <v>217</v>
      </c>
      <c r="D782">
        <v>2</v>
      </c>
      <c r="E782" t="s">
        <v>311</v>
      </c>
      <c r="F782" t="s">
        <v>373</v>
      </c>
      <c r="G782">
        <v>11.94029851</v>
      </c>
      <c r="H782">
        <v>0</v>
      </c>
      <c r="I782">
        <v>11.94029851</v>
      </c>
      <c r="J782">
        <v>88.059701489999995</v>
      </c>
      <c r="K782">
        <v>0.8</v>
      </c>
      <c r="L782">
        <v>0.2</v>
      </c>
      <c r="M782">
        <v>0.7</v>
      </c>
      <c r="N782">
        <v>531</v>
      </c>
      <c r="O782">
        <v>72</v>
      </c>
      <c r="P782">
        <v>0</v>
      </c>
      <c r="Q782">
        <v>11.94</v>
      </c>
      <c r="R782" t="s">
        <v>225</v>
      </c>
      <c r="S782">
        <v>0.34</v>
      </c>
      <c r="T782">
        <v>0.35</v>
      </c>
    </row>
    <row r="783" spans="1:20" x14ac:dyDescent="0.25">
      <c r="A783" s="2">
        <v>45316.436111111114</v>
      </c>
      <c r="B783" t="s">
        <v>309</v>
      </c>
      <c r="C783" t="s">
        <v>219</v>
      </c>
      <c r="D783">
        <v>3</v>
      </c>
      <c r="E783" t="s">
        <v>311</v>
      </c>
      <c r="F783" t="s">
        <v>373</v>
      </c>
      <c r="G783">
        <v>0.42553191499999998</v>
      </c>
      <c r="H783">
        <v>0</v>
      </c>
      <c r="I783">
        <v>0.42553191499999998</v>
      </c>
      <c r="J783">
        <v>99.574468089999996</v>
      </c>
      <c r="K783">
        <v>0.8</v>
      </c>
      <c r="L783">
        <v>0.2</v>
      </c>
      <c r="M783">
        <v>0.7</v>
      </c>
      <c r="N783">
        <v>234</v>
      </c>
      <c r="O783">
        <v>1</v>
      </c>
      <c r="P783">
        <v>0</v>
      </c>
      <c r="Q783">
        <v>0.43</v>
      </c>
      <c r="R783" t="s">
        <v>231</v>
      </c>
      <c r="S783">
        <v>3.22</v>
      </c>
      <c r="T783">
        <v>4.25</v>
      </c>
    </row>
    <row r="784" spans="1:20" x14ac:dyDescent="0.25">
      <c r="A784" s="2">
        <v>45320.957638888889</v>
      </c>
      <c r="B784" t="s">
        <v>309</v>
      </c>
      <c r="C784" t="s">
        <v>221</v>
      </c>
      <c r="D784">
        <v>2</v>
      </c>
      <c r="E784" t="s">
        <v>311</v>
      </c>
      <c r="F784" t="s">
        <v>373</v>
      </c>
      <c r="G784">
        <v>4.451510334</v>
      </c>
      <c r="H784">
        <v>0</v>
      </c>
      <c r="I784">
        <v>4.451510334</v>
      </c>
      <c r="J784">
        <v>95.548489669999995</v>
      </c>
      <c r="K784">
        <v>0.8</v>
      </c>
      <c r="L784">
        <v>0.3</v>
      </c>
      <c r="M784">
        <v>0.7</v>
      </c>
      <c r="N784">
        <v>601</v>
      </c>
      <c r="O784">
        <v>28</v>
      </c>
      <c r="P784">
        <v>0</v>
      </c>
      <c r="Q784">
        <v>4.45</v>
      </c>
      <c r="R784" t="s">
        <v>235</v>
      </c>
      <c r="S784">
        <v>0.19</v>
      </c>
      <c r="T784">
        <v>0.2</v>
      </c>
    </row>
    <row r="785" spans="1:21" x14ac:dyDescent="0.25">
      <c r="A785" t="s">
        <v>19</v>
      </c>
      <c r="B785" t="s">
        <v>20</v>
      </c>
      <c r="C785" t="s">
        <v>320</v>
      </c>
      <c r="D785">
        <v>3</v>
      </c>
      <c r="E785" t="s">
        <v>311</v>
      </c>
      <c r="F785" t="s">
        <v>373</v>
      </c>
      <c r="G785">
        <v>0</v>
      </c>
      <c r="H785">
        <v>0</v>
      </c>
      <c r="I785">
        <f>100-J785</f>
        <v>0</v>
      </c>
      <c r="J785">
        <f>100-G785-H785</f>
        <v>100</v>
      </c>
      <c r="K785" t="s">
        <v>19</v>
      </c>
      <c r="L785" t="s">
        <v>19</v>
      </c>
      <c r="M785" t="s">
        <v>19</v>
      </c>
      <c r="N785" t="s">
        <v>19</v>
      </c>
      <c r="O785" t="s">
        <v>19</v>
      </c>
      <c r="P785" t="s">
        <v>19</v>
      </c>
      <c r="Q785">
        <f>I785</f>
        <v>0</v>
      </c>
      <c r="R785" t="s">
        <v>19</v>
      </c>
      <c r="S785" t="s">
        <v>19</v>
      </c>
      <c r="T785" t="s">
        <v>19</v>
      </c>
    </row>
    <row r="786" spans="1:21" x14ac:dyDescent="0.25">
      <c r="A786" t="s">
        <v>19</v>
      </c>
      <c r="B786" t="s">
        <v>20</v>
      </c>
      <c r="C786" t="s">
        <v>308</v>
      </c>
      <c r="D786">
        <v>3</v>
      </c>
      <c r="E786" t="s">
        <v>76</v>
      </c>
      <c r="F786" t="s">
        <v>388</v>
      </c>
      <c r="G786">
        <v>35</v>
      </c>
      <c r="H786">
        <v>15</v>
      </c>
      <c r="I786">
        <f>G786+H786</f>
        <v>50</v>
      </c>
      <c r="J786">
        <f>100-G786-H786</f>
        <v>50</v>
      </c>
      <c r="K786" t="s">
        <v>19</v>
      </c>
      <c r="L786" t="s">
        <v>19</v>
      </c>
      <c r="M786" t="s">
        <v>19</v>
      </c>
      <c r="N786" t="s">
        <v>19</v>
      </c>
      <c r="O786" t="s">
        <v>19</v>
      </c>
      <c r="P786" t="s">
        <v>19</v>
      </c>
      <c r="Q786">
        <f>I786</f>
        <v>50</v>
      </c>
      <c r="R786" t="s">
        <v>19</v>
      </c>
      <c r="S786" t="s">
        <v>19</v>
      </c>
      <c r="T786" t="s">
        <v>19</v>
      </c>
    </row>
    <row r="787" spans="1:21" x14ac:dyDescent="0.25">
      <c r="A787" t="s">
        <v>19</v>
      </c>
      <c r="B787" t="s">
        <v>20</v>
      </c>
      <c r="C787" t="s">
        <v>22</v>
      </c>
      <c r="D787">
        <v>3</v>
      </c>
      <c r="E787" t="s">
        <v>76</v>
      </c>
      <c r="F787" t="s">
        <v>388</v>
      </c>
      <c r="G787">
        <v>40</v>
      </c>
      <c r="H787">
        <v>10</v>
      </c>
      <c r="I787">
        <f>G787+H787</f>
        <v>50</v>
      </c>
      <c r="J787">
        <f>100-G787-H787</f>
        <v>50</v>
      </c>
      <c r="K787" t="s">
        <v>19</v>
      </c>
      <c r="L787" t="s">
        <v>19</v>
      </c>
      <c r="M787" t="s">
        <v>19</v>
      </c>
      <c r="N787" t="s">
        <v>19</v>
      </c>
      <c r="O787" t="s">
        <v>19</v>
      </c>
      <c r="P787" t="s">
        <v>19</v>
      </c>
      <c r="Q787">
        <f>I787</f>
        <v>50</v>
      </c>
      <c r="R787" t="s">
        <v>19</v>
      </c>
      <c r="S787" t="s">
        <v>19</v>
      </c>
      <c r="T787" t="s">
        <v>19</v>
      </c>
    </row>
    <row r="788" spans="1:21" x14ac:dyDescent="0.25">
      <c r="A788" t="s">
        <v>19</v>
      </c>
      <c r="B788" t="s">
        <v>20</v>
      </c>
      <c r="C788" t="s">
        <v>305</v>
      </c>
      <c r="D788">
        <v>3</v>
      </c>
      <c r="E788" t="s">
        <v>76</v>
      </c>
      <c r="F788" t="s">
        <v>388</v>
      </c>
      <c r="G788">
        <v>20</v>
      </c>
      <c r="H788">
        <v>20</v>
      </c>
      <c r="I788">
        <f>G788+H788</f>
        <v>40</v>
      </c>
      <c r="J788">
        <f>100-G788-H788</f>
        <v>60</v>
      </c>
      <c r="K788" t="s">
        <v>19</v>
      </c>
      <c r="L788" t="s">
        <v>19</v>
      </c>
      <c r="M788" t="s">
        <v>19</v>
      </c>
      <c r="N788" t="s">
        <v>19</v>
      </c>
      <c r="O788" t="s">
        <v>19</v>
      </c>
      <c r="P788" t="s">
        <v>19</v>
      </c>
      <c r="Q788">
        <f>I788</f>
        <v>40</v>
      </c>
      <c r="R788" t="s">
        <v>19</v>
      </c>
      <c r="S788" t="s">
        <v>19</v>
      </c>
      <c r="T788" t="s">
        <v>19</v>
      </c>
    </row>
    <row r="789" spans="1:21" x14ac:dyDescent="0.25">
      <c r="A789" t="s">
        <v>19</v>
      </c>
      <c r="B789" t="s">
        <v>20</v>
      </c>
      <c r="C789" t="s">
        <v>307</v>
      </c>
      <c r="D789">
        <v>3</v>
      </c>
      <c r="E789" t="s">
        <v>76</v>
      </c>
      <c r="F789" t="s">
        <v>388</v>
      </c>
      <c r="G789">
        <v>12</v>
      </c>
      <c r="H789">
        <v>18</v>
      </c>
      <c r="I789">
        <f>G789+H789</f>
        <v>30</v>
      </c>
      <c r="J789">
        <f>100-G789-H789</f>
        <v>70</v>
      </c>
      <c r="K789" t="s">
        <v>19</v>
      </c>
      <c r="L789" t="s">
        <v>19</v>
      </c>
      <c r="M789" t="s">
        <v>19</v>
      </c>
      <c r="N789" t="s">
        <v>19</v>
      </c>
      <c r="O789" t="s">
        <v>19</v>
      </c>
      <c r="P789" t="s">
        <v>19</v>
      </c>
      <c r="Q789">
        <f>I789</f>
        <v>30</v>
      </c>
      <c r="R789" t="s">
        <v>19</v>
      </c>
      <c r="S789" t="s">
        <v>19</v>
      </c>
      <c r="T789" t="s">
        <v>19</v>
      </c>
    </row>
    <row r="790" spans="1:21" x14ac:dyDescent="0.25">
      <c r="A790" s="2">
        <v>45253.543749999997</v>
      </c>
      <c r="B790" t="s">
        <v>309</v>
      </c>
      <c r="C790" t="s">
        <v>213</v>
      </c>
      <c r="D790">
        <v>3</v>
      </c>
      <c r="E790" t="s">
        <v>76</v>
      </c>
      <c r="F790" t="s">
        <v>388</v>
      </c>
      <c r="G790">
        <v>8.0578512399999997</v>
      </c>
      <c r="H790">
        <v>26.859504130000001</v>
      </c>
      <c r="I790">
        <v>34.917355370000003</v>
      </c>
      <c r="J790">
        <v>65.082644630000004</v>
      </c>
      <c r="K790">
        <v>0.8</v>
      </c>
      <c r="L790">
        <v>0.2</v>
      </c>
      <c r="M790">
        <v>0.7</v>
      </c>
      <c r="N790">
        <v>315</v>
      </c>
      <c r="O790">
        <v>39</v>
      </c>
      <c r="P790">
        <v>130</v>
      </c>
      <c r="Q790">
        <v>34.92</v>
      </c>
      <c r="R790" t="s">
        <v>240</v>
      </c>
      <c r="S790">
        <v>2.59</v>
      </c>
      <c r="T790">
        <v>3.04</v>
      </c>
    </row>
    <row r="791" spans="1:21" x14ac:dyDescent="0.25">
      <c r="A791" s="2">
        <v>45253.835416666669</v>
      </c>
      <c r="B791" t="s">
        <v>309</v>
      </c>
      <c r="C791" t="s">
        <v>215</v>
      </c>
      <c r="D791">
        <v>2</v>
      </c>
      <c r="E791" t="s">
        <v>76</v>
      </c>
      <c r="F791" t="s">
        <v>388</v>
      </c>
      <c r="G791">
        <v>55.414012739999997</v>
      </c>
      <c r="H791">
        <v>0</v>
      </c>
      <c r="I791">
        <v>55.414012739999997</v>
      </c>
      <c r="J791">
        <v>44.585987260000003</v>
      </c>
      <c r="K791">
        <v>0.8</v>
      </c>
      <c r="L791">
        <v>0.2</v>
      </c>
      <c r="M791">
        <v>0.7</v>
      </c>
      <c r="N791">
        <v>280</v>
      </c>
      <c r="O791">
        <v>348</v>
      </c>
      <c r="P791">
        <v>0</v>
      </c>
      <c r="Q791">
        <v>55.41</v>
      </c>
      <c r="R791" t="s">
        <v>229</v>
      </c>
      <c r="S791">
        <v>1.25</v>
      </c>
      <c r="T791">
        <v>1.36</v>
      </c>
    </row>
    <row r="792" spans="1:21" x14ac:dyDescent="0.25">
      <c r="A792" s="2">
        <v>45254.002083333333</v>
      </c>
      <c r="B792" t="s">
        <v>309</v>
      </c>
      <c r="C792" t="s">
        <v>217</v>
      </c>
      <c r="D792">
        <v>2</v>
      </c>
      <c r="E792" t="s">
        <v>76</v>
      </c>
      <c r="F792" t="s">
        <v>388</v>
      </c>
      <c r="G792">
        <v>61.221122110000003</v>
      </c>
      <c r="H792">
        <v>0</v>
      </c>
      <c r="I792">
        <v>61.221122110000003</v>
      </c>
      <c r="J792">
        <v>38.778877889999997</v>
      </c>
      <c r="K792">
        <v>0.8</v>
      </c>
      <c r="L792">
        <v>0.2</v>
      </c>
      <c r="M792">
        <v>0.7</v>
      </c>
      <c r="N792">
        <v>235</v>
      </c>
      <c r="O792">
        <v>371</v>
      </c>
      <c r="P792">
        <v>0</v>
      </c>
      <c r="Q792">
        <v>61.22</v>
      </c>
      <c r="R792" t="s">
        <v>239</v>
      </c>
      <c r="S792">
        <v>1.47</v>
      </c>
      <c r="T792">
        <v>1.58</v>
      </c>
    </row>
    <row r="793" spans="1:21" x14ac:dyDescent="0.25">
      <c r="A793" s="2">
        <v>45316.51458333333</v>
      </c>
      <c r="B793" t="s">
        <v>309</v>
      </c>
      <c r="C793" t="s">
        <v>219</v>
      </c>
      <c r="D793">
        <v>3</v>
      </c>
      <c r="E793" t="s">
        <v>76</v>
      </c>
      <c r="F793" t="s">
        <v>388</v>
      </c>
      <c r="G793">
        <v>13.17829457</v>
      </c>
      <c r="H793">
        <v>22.480620160000001</v>
      </c>
      <c r="I793">
        <v>35.658914729999999</v>
      </c>
      <c r="J793">
        <v>64.341085269999994</v>
      </c>
      <c r="K793">
        <v>0.8</v>
      </c>
      <c r="L793">
        <v>0.2</v>
      </c>
      <c r="M793">
        <v>0.7</v>
      </c>
      <c r="N793">
        <v>166</v>
      </c>
      <c r="O793">
        <v>34</v>
      </c>
      <c r="P793">
        <v>58</v>
      </c>
      <c r="Q793">
        <v>35.659999999999997</v>
      </c>
      <c r="R793" t="s">
        <v>218</v>
      </c>
      <c r="S793">
        <v>3.12</v>
      </c>
      <c r="T793">
        <v>4.37</v>
      </c>
    </row>
    <row r="794" spans="1:21" x14ac:dyDescent="0.25">
      <c r="A794" s="2">
        <v>45320.851388888892</v>
      </c>
      <c r="B794" t="s">
        <v>309</v>
      </c>
      <c r="C794" t="s">
        <v>221</v>
      </c>
      <c r="D794">
        <v>2</v>
      </c>
      <c r="E794" t="s">
        <v>76</v>
      </c>
      <c r="F794" t="s">
        <v>388</v>
      </c>
      <c r="G794">
        <v>38.869863010000003</v>
      </c>
      <c r="H794">
        <v>0</v>
      </c>
      <c r="I794">
        <v>38.869863010000003</v>
      </c>
      <c r="J794">
        <v>61.130136989999997</v>
      </c>
      <c r="K794">
        <v>0.8</v>
      </c>
      <c r="L794">
        <v>0.3</v>
      </c>
      <c r="M794">
        <v>0.7</v>
      </c>
      <c r="N794">
        <v>357</v>
      </c>
      <c r="O794">
        <v>227</v>
      </c>
      <c r="P794">
        <v>0</v>
      </c>
      <c r="Q794">
        <v>38.869999999999997</v>
      </c>
      <c r="R794" t="s">
        <v>275</v>
      </c>
      <c r="S794">
        <v>1.07</v>
      </c>
      <c r="T794">
        <v>1.19</v>
      </c>
    </row>
    <row r="795" spans="1:21" x14ac:dyDescent="0.25">
      <c r="A795" t="s">
        <v>19</v>
      </c>
      <c r="B795" t="s">
        <v>20</v>
      </c>
      <c r="C795" t="s">
        <v>306</v>
      </c>
      <c r="D795">
        <v>3</v>
      </c>
      <c r="E795" t="s">
        <v>76</v>
      </c>
      <c r="F795" t="s">
        <v>388</v>
      </c>
      <c r="G795">
        <v>60</v>
      </c>
      <c r="H795">
        <v>21</v>
      </c>
      <c r="I795">
        <f>G795+H795</f>
        <v>81</v>
      </c>
      <c r="J795">
        <f>100-G795-H795</f>
        <v>19</v>
      </c>
      <c r="K795" t="s">
        <v>19</v>
      </c>
      <c r="L795" t="s">
        <v>19</v>
      </c>
      <c r="M795" t="s">
        <v>19</v>
      </c>
      <c r="N795" t="s">
        <v>19</v>
      </c>
      <c r="O795" t="s">
        <v>19</v>
      </c>
      <c r="P795" t="s">
        <v>19</v>
      </c>
      <c r="Q795">
        <f>I795</f>
        <v>81</v>
      </c>
      <c r="R795" t="s">
        <v>19</v>
      </c>
      <c r="S795" t="s">
        <v>19</v>
      </c>
      <c r="T795" t="s">
        <v>19</v>
      </c>
    </row>
    <row r="796" spans="1:21" x14ac:dyDescent="0.25">
      <c r="A796" t="s">
        <v>19</v>
      </c>
      <c r="B796" t="s">
        <v>20</v>
      </c>
      <c r="C796" t="s">
        <v>320</v>
      </c>
      <c r="D796">
        <v>3</v>
      </c>
      <c r="E796" t="s">
        <v>76</v>
      </c>
      <c r="F796" t="s">
        <v>388</v>
      </c>
      <c r="G796">
        <v>20</v>
      </c>
      <c r="H796">
        <v>20</v>
      </c>
      <c r="I796">
        <f>100-J796</f>
        <v>40</v>
      </c>
      <c r="J796">
        <f>100-G796-H796</f>
        <v>60</v>
      </c>
      <c r="K796" t="s">
        <v>19</v>
      </c>
      <c r="L796" t="s">
        <v>19</v>
      </c>
      <c r="M796" t="s">
        <v>19</v>
      </c>
      <c r="N796" t="s">
        <v>19</v>
      </c>
      <c r="O796" t="s">
        <v>19</v>
      </c>
      <c r="P796" t="s">
        <v>19</v>
      </c>
      <c r="Q796">
        <f>I796</f>
        <v>40</v>
      </c>
      <c r="R796" t="s">
        <v>19</v>
      </c>
      <c r="S796" t="s">
        <v>19</v>
      </c>
      <c r="T796" t="s">
        <v>19</v>
      </c>
    </row>
    <row r="797" spans="1:21" x14ac:dyDescent="0.25">
      <c r="A797" s="2">
        <v>45323.549490740741</v>
      </c>
      <c r="B797" t="s">
        <v>309</v>
      </c>
      <c r="C797" t="s">
        <v>322</v>
      </c>
      <c r="D797">
        <v>3</v>
      </c>
      <c r="E797" t="s">
        <v>76</v>
      </c>
      <c r="F797" t="s">
        <v>388</v>
      </c>
      <c r="G797">
        <f>(O797/(N797+O797+P797))*100</f>
        <v>9.2495636998254795</v>
      </c>
      <c r="H797">
        <f>(P797/(O797+P797+N797))*100</f>
        <v>15.532286212914483</v>
      </c>
      <c r="I797">
        <v>24.78</v>
      </c>
      <c r="J797">
        <f>(N797/(P797+O797+N797))*100</f>
        <v>75.218150087260042</v>
      </c>
      <c r="K797">
        <v>0.8</v>
      </c>
      <c r="L797">
        <v>0.3</v>
      </c>
      <c r="M797">
        <v>0.7</v>
      </c>
      <c r="N797">
        <v>431</v>
      </c>
      <c r="O797">
        <v>53</v>
      </c>
      <c r="P797">
        <v>89</v>
      </c>
      <c r="Q797">
        <v>24.78</v>
      </c>
      <c r="R797" t="s">
        <v>353</v>
      </c>
      <c r="S797">
        <v>2.5299999999999998</v>
      </c>
      <c r="T797">
        <v>3.8</v>
      </c>
      <c r="U797">
        <v>143</v>
      </c>
    </row>
    <row r="798" spans="1:21" x14ac:dyDescent="0.25">
      <c r="A798" s="2">
        <v>45323.548113425924</v>
      </c>
      <c r="B798" t="s">
        <v>309</v>
      </c>
      <c r="C798" t="s">
        <v>322</v>
      </c>
      <c r="D798">
        <v>3</v>
      </c>
      <c r="E798" t="s">
        <v>76</v>
      </c>
      <c r="F798" t="s">
        <v>388</v>
      </c>
      <c r="G798">
        <f>(O798/(N798+O798+P798))*100</f>
        <v>12.162162162162163</v>
      </c>
      <c r="H798">
        <f>(P798/(O798+P798+N798))*100</f>
        <v>17.22972972972973</v>
      </c>
      <c r="I798">
        <v>29.39</v>
      </c>
      <c r="J798">
        <f>(N798/(P798+O798+N798))*100</f>
        <v>70.608108108108098</v>
      </c>
      <c r="K798">
        <v>0.7</v>
      </c>
      <c r="L798">
        <v>0.3</v>
      </c>
      <c r="M798">
        <v>0.7</v>
      </c>
      <c r="N798">
        <v>418</v>
      </c>
      <c r="O798">
        <v>72</v>
      </c>
      <c r="P798">
        <v>102</v>
      </c>
      <c r="Q798">
        <v>29.39</v>
      </c>
      <c r="R798" t="s">
        <v>330</v>
      </c>
      <c r="S798">
        <v>2.5299999999999998</v>
      </c>
      <c r="T798">
        <v>3.8</v>
      </c>
      <c r="U798">
        <v>124</v>
      </c>
    </row>
    <row r="799" spans="1:21" x14ac:dyDescent="0.25">
      <c r="A799" s="2">
        <v>45324.973101851851</v>
      </c>
      <c r="B799" t="s">
        <v>309</v>
      </c>
      <c r="C799" t="s">
        <v>368</v>
      </c>
      <c r="D799">
        <v>2</v>
      </c>
      <c r="E799" t="s">
        <v>76</v>
      </c>
      <c r="F799" t="s">
        <v>388</v>
      </c>
      <c r="G799">
        <f>(O799/(N799+O799+P799))*100</f>
        <v>44.444444444444443</v>
      </c>
      <c r="H799">
        <f>(P799/(O799+P799+N799))*100</f>
        <v>0</v>
      </c>
      <c r="I799">
        <v>44.44</v>
      </c>
      <c r="J799">
        <f>(N799/(P799+O799+N799))*100</f>
        <v>55.555555555555557</v>
      </c>
      <c r="K799">
        <v>0.8</v>
      </c>
      <c r="L799">
        <v>0.3</v>
      </c>
      <c r="M799">
        <v>0.7</v>
      </c>
      <c r="N799">
        <v>290</v>
      </c>
      <c r="O799">
        <v>232</v>
      </c>
      <c r="P799">
        <v>0</v>
      </c>
      <c r="Q799">
        <v>44.44</v>
      </c>
      <c r="R799" t="s">
        <v>287</v>
      </c>
      <c r="S799">
        <v>1.23</v>
      </c>
      <c r="T799">
        <v>1.35</v>
      </c>
    </row>
    <row r="800" spans="1:21" x14ac:dyDescent="0.25">
      <c r="A800" t="s">
        <v>19</v>
      </c>
      <c r="B800" t="s">
        <v>20</v>
      </c>
      <c r="C800" t="s">
        <v>308</v>
      </c>
      <c r="D800">
        <v>3</v>
      </c>
      <c r="E800" t="s">
        <v>77</v>
      </c>
      <c r="F800" t="s">
        <v>388</v>
      </c>
      <c r="G800">
        <v>15</v>
      </c>
      <c r="H800">
        <v>30</v>
      </c>
      <c r="I800">
        <f>G800+H800</f>
        <v>45</v>
      </c>
      <c r="J800">
        <f>100-G800-H800</f>
        <v>55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  <c r="Q800">
        <f>I800</f>
        <v>45</v>
      </c>
      <c r="R800" t="s">
        <v>19</v>
      </c>
      <c r="S800" t="s">
        <v>19</v>
      </c>
      <c r="T800" t="s">
        <v>19</v>
      </c>
    </row>
    <row r="801" spans="1:21" x14ac:dyDescent="0.25">
      <c r="A801" t="s">
        <v>19</v>
      </c>
      <c r="B801" t="s">
        <v>20</v>
      </c>
      <c r="C801" t="s">
        <v>22</v>
      </c>
      <c r="D801">
        <v>3</v>
      </c>
      <c r="E801" t="s">
        <v>77</v>
      </c>
      <c r="F801" t="s">
        <v>388</v>
      </c>
      <c r="G801">
        <v>20</v>
      </c>
      <c r="H801">
        <v>25</v>
      </c>
      <c r="I801">
        <f>G801+H801</f>
        <v>45</v>
      </c>
      <c r="J801">
        <f>100-G801-H801</f>
        <v>55</v>
      </c>
      <c r="K801" t="s">
        <v>19</v>
      </c>
      <c r="L801" t="s">
        <v>19</v>
      </c>
      <c r="M801" t="s">
        <v>19</v>
      </c>
      <c r="N801" t="s">
        <v>19</v>
      </c>
      <c r="O801" t="s">
        <v>19</v>
      </c>
      <c r="P801" t="s">
        <v>19</v>
      </c>
      <c r="Q801">
        <f>I801</f>
        <v>45</v>
      </c>
      <c r="R801" t="s">
        <v>19</v>
      </c>
      <c r="S801" t="s">
        <v>19</v>
      </c>
      <c r="T801" t="s">
        <v>19</v>
      </c>
    </row>
    <row r="802" spans="1:21" x14ac:dyDescent="0.25">
      <c r="A802" t="s">
        <v>19</v>
      </c>
      <c r="B802" t="s">
        <v>20</v>
      </c>
      <c r="C802" t="s">
        <v>305</v>
      </c>
      <c r="D802">
        <v>3</v>
      </c>
      <c r="E802" t="s">
        <v>77</v>
      </c>
      <c r="F802" t="s">
        <v>388</v>
      </c>
      <c r="G802">
        <v>20</v>
      </c>
      <c r="H802">
        <v>20</v>
      </c>
      <c r="I802">
        <f>G802+H802</f>
        <v>40</v>
      </c>
      <c r="J802">
        <f>100-G802-H802</f>
        <v>60</v>
      </c>
      <c r="K802" t="s">
        <v>19</v>
      </c>
      <c r="L802" t="s">
        <v>19</v>
      </c>
      <c r="M802" t="s">
        <v>19</v>
      </c>
      <c r="N802" t="s">
        <v>19</v>
      </c>
      <c r="O802" t="s">
        <v>19</v>
      </c>
      <c r="P802" t="s">
        <v>19</v>
      </c>
      <c r="Q802">
        <f>I802</f>
        <v>40</v>
      </c>
      <c r="R802" t="s">
        <v>19</v>
      </c>
      <c r="S802" t="s">
        <v>19</v>
      </c>
      <c r="T802" t="s">
        <v>19</v>
      </c>
    </row>
    <row r="803" spans="1:21" x14ac:dyDescent="0.25">
      <c r="A803" t="s">
        <v>19</v>
      </c>
      <c r="B803" t="s">
        <v>20</v>
      </c>
      <c r="C803" t="s">
        <v>307</v>
      </c>
      <c r="D803">
        <v>3</v>
      </c>
      <c r="E803" t="s">
        <v>77</v>
      </c>
      <c r="F803" t="s">
        <v>388</v>
      </c>
      <c r="G803">
        <v>10</v>
      </c>
      <c r="H803">
        <v>20</v>
      </c>
      <c r="I803">
        <f>G803+H803</f>
        <v>30</v>
      </c>
      <c r="J803">
        <f>100-G803-H803</f>
        <v>70</v>
      </c>
      <c r="K803" t="s">
        <v>19</v>
      </c>
      <c r="L803" t="s">
        <v>19</v>
      </c>
      <c r="M803" t="s">
        <v>19</v>
      </c>
      <c r="N803" t="s">
        <v>19</v>
      </c>
      <c r="O803" t="s">
        <v>19</v>
      </c>
      <c r="P803" t="s">
        <v>19</v>
      </c>
      <c r="Q803">
        <f>I803</f>
        <v>30</v>
      </c>
      <c r="R803" t="s">
        <v>19</v>
      </c>
      <c r="S803" t="s">
        <v>19</v>
      </c>
      <c r="T803" t="s">
        <v>19</v>
      </c>
    </row>
    <row r="804" spans="1:21" x14ac:dyDescent="0.25">
      <c r="A804" s="2">
        <v>45253.545138888891</v>
      </c>
      <c r="B804" t="s">
        <v>309</v>
      </c>
      <c r="C804" t="s">
        <v>213</v>
      </c>
      <c r="D804">
        <v>3</v>
      </c>
      <c r="E804" t="s">
        <v>77</v>
      </c>
      <c r="F804" t="s">
        <v>388</v>
      </c>
      <c r="G804">
        <v>5</v>
      </c>
      <c r="H804">
        <v>35.17241379</v>
      </c>
      <c r="I804">
        <v>40.17241379</v>
      </c>
      <c r="J804">
        <v>59.82758621</v>
      </c>
      <c r="K804">
        <v>0.8</v>
      </c>
      <c r="L804">
        <v>0.2</v>
      </c>
      <c r="M804">
        <v>0.7</v>
      </c>
      <c r="N804">
        <v>347</v>
      </c>
      <c r="O804">
        <v>29</v>
      </c>
      <c r="P804">
        <v>204</v>
      </c>
      <c r="Q804">
        <v>40.17</v>
      </c>
      <c r="R804" t="s">
        <v>223</v>
      </c>
      <c r="S804">
        <v>2.67</v>
      </c>
      <c r="T804">
        <v>3.15</v>
      </c>
    </row>
    <row r="805" spans="1:21" x14ac:dyDescent="0.25">
      <c r="A805" s="2">
        <v>45253.836111111108</v>
      </c>
      <c r="B805" t="s">
        <v>309</v>
      </c>
      <c r="C805" t="s">
        <v>215</v>
      </c>
      <c r="D805">
        <v>2</v>
      </c>
      <c r="E805" t="s">
        <v>77</v>
      </c>
      <c r="F805" t="s">
        <v>388</v>
      </c>
      <c r="G805">
        <v>48.851454820000001</v>
      </c>
      <c r="H805">
        <v>0</v>
      </c>
      <c r="I805">
        <v>48.851454820000001</v>
      </c>
      <c r="J805">
        <v>51.148545179999999</v>
      </c>
      <c r="K805">
        <v>0.8</v>
      </c>
      <c r="L805">
        <v>0.2</v>
      </c>
      <c r="M805">
        <v>0.7</v>
      </c>
      <c r="N805">
        <v>334</v>
      </c>
      <c r="O805">
        <v>319</v>
      </c>
      <c r="P805">
        <v>0</v>
      </c>
      <c r="Q805">
        <v>48.85</v>
      </c>
      <c r="R805" t="s">
        <v>235</v>
      </c>
      <c r="S805">
        <v>1.1000000000000001</v>
      </c>
      <c r="T805">
        <v>1.2</v>
      </c>
    </row>
    <row r="806" spans="1:21" x14ac:dyDescent="0.25">
      <c r="A806" s="2">
        <v>45254.003472222219</v>
      </c>
      <c r="B806" t="s">
        <v>309</v>
      </c>
      <c r="C806" t="s">
        <v>217</v>
      </c>
      <c r="D806">
        <v>2</v>
      </c>
      <c r="E806" t="s">
        <v>77</v>
      </c>
      <c r="F806" t="s">
        <v>388</v>
      </c>
      <c r="G806">
        <v>56.466876970000001</v>
      </c>
      <c r="H806">
        <v>0</v>
      </c>
      <c r="I806">
        <v>56.466876970000001</v>
      </c>
      <c r="J806">
        <v>43.533123029999999</v>
      </c>
      <c r="K806">
        <v>0.8</v>
      </c>
      <c r="L806">
        <v>0.2</v>
      </c>
      <c r="M806">
        <v>0.7</v>
      </c>
      <c r="N806">
        <v>276</v>
      </c>
      <c r="O806">
        <v>358</v>
      </c>
      <c r="P806">
        <v>0</v>
      </c>
      <c r="Q806">
        <v>56.47</v>
      </c>
      <c r="R806" t="s">
        <v>239</v>
      </c>
      <c r="S806">
        <v>1.37</v>
      </c>
      <c r="T806">
        <v>1.46</v>
      </c>
    </row>
    <row r="807" spans="1:21" x14ac:dyDescent="0.25">
      <c r="A807" s="2">
        <v>45316.515277777777</v>
      </c>
      <c r="B807" t="s">
        <v>309</v>
      </c>
      <c r="C807" t="s">
        <v>219</v>
      </c>
      <c r="D807">
        <v>3</v>
      </c>
      <c r="E807" t="s">
        <v>77</v>
      </c>
      <c r="F807" t="s">
        <v>388</v>
      </c>
      <c r="G807">
        <v>10</v>
      </c>
      <c r="H807">
        <v>33.409090910000003</v>
      </c>
      <c r="I807">
        <v>43.409090910000003</v>
      </c>
      <c r="J807">
        <v>56.590909089999997</v>
      </c>
      <c r="K807">
        <v>0.8</v>
      </c>
      <c r="L807">
        <v>0.2</v>
      </c>
      <c r="M807">
        <v>0.7</v>
      </c>
      <c r="N807">
        <v>249</v>
      </c>
      <c r="O807">
        <v>44</v>
      </c>
      <c r="P807">
        <v>147</v>
      </c>
      <c r="Q807">
        <v>43.41</v>
      </c>
      <c r="R807" t="s">
        <v>218</v>
      </c>
      <c r="S807">
        <v>3.15</v>
      </c>
      <c r="T807">
        <v>4.28</v>
      </c>
    </row>
    <row r="808" spans="1:21" x14ac:dyDescent="0.25">
      <c r="A808" s="2">
        <v>45320.852083333331</v>
      </c>
      <c r="B808" t="s">
        <v>309</v>
      </c>
      <c r="C808" t="s">
        <v>221</v>
      </c>
      <c r="D808">
        <v>2</v>
      </c>
      <c r="E808" t="s">
        <v>77</v>
      </c>
      <c r="F808" t="s">
        <v>388</v>
      </c>
      <c r="G808">
        <v>53.008130080000001</v>
      </c>
      <c r="H808">
        <v>0</v>
      </c>
      <c r="I808">
        <v>53.008130080000001</v>
      </c>
      <c r="J808">
        <v>46.991869919999999</v>
      </c>
      <c r="K808">
        <v>0.8</v>
      </c>
      <c r="L808">
        <v>0.3</v>
      </c>
      <c r="M808">
        <v>0.7</v>
      </c>
      <c r="N808">
        <v>289</v>
      </c>
      <c r="O808">
        <v>326</v>
      </c>
      <c r="P808">
        <v>0</v>
      </c>
      <c r="Q808">
        <v>53.01</v>
      </c>
      <c r="R808" t="s">
        <v>276</v>
      </c>
      <c r="S808">
        <v>1.36</v>
      </c>
      <c r="T808">
        <v>1.47</v>
      </c>
    </row>
    <row r="809" spans="1:21" x14ac:dyDescent="0.25">
      <c r="A809" t="s">
        <v>19</v>
      </c>
      <c r="B809" t="s">
        <v>20</v>
      </c>
      <c r="C809" t="s">
        <v>306</v>
      </c>
      <c r="D809">
        <v>3</v>
      </c>
      <c r="E809" t="s">
        <v>77</v>
      </c>
      <c r="F809" t="s">
        <v>388</v>
      </c>
      <c r="G809">
        <v>40</v>
      </c>
      <c r="H809">
        <v>30</v>
      </c>
      <c r="I809">
        <v>70</v>
      </c>
      <c r="J809">
        <v>30</v>
      </c>
      <c r="K809" t="s">
        <v>19</v>
      </c>
      <c r="L809" t="s">
        <v>19</v>
      </c>
      <c r="M809" t="s">
        <v>19</v>
      </c>
      <c r="N809" t="s">
        <v>19</v>
      </c>
      <c r="O809" t="s">
        <v>19</v>
      </c>
      <c r="P809" t="s">
        <v>19</v>
      </c>
      <c r="Q809">
        <f>I809</f>
        <v>70</v>
      </c>
      <c r="R809" t="s">
        <v>19</v>
      </c>
      <c r="S809" t="s">
        <v>19</v>
      </c>
      <c r="T809" t="s">
        <v>19</v>
      </c>
    </row>
    <row r="810" spans="1:21" x14ac:dyDescent="0.25">
      <c r="A810" t="s">
        <v>19</v>
      </c>
      <c r="B810" t="s">
        <v>20</v>
      </c>
      <c r="C810" t="s">
        <v>320</v>
      </c>
      <c r="D810">
        <v>3</v>
      </c>
      <c r="E810" t="s">
        <v>77</v>
      </c>
      <c r="F810" t="s">
        <v>388</v>
      </c>
      <c r="G810">
        <v>15</v>
      </c>
      <c r="H810">
        <v>25</v>
      </c>
      <c r="I810">
        <f>100-J810</f>
        <v>40</v>
      </c>
      <c r="J810">
        <f>100-G810-H810</f>
        <v>60</v>
      </c>
      <c r="K810" t="s">
        <v>19</v>
      </c>
      <c r="L810" t="s">
        <v>19</v>
      </c>
      <c r="M810" t="s">
        <v>19</v>
      </c>
      <c r="N810" t="s">
        <v>19</v>
      </c>
      <c r="O810" t="s">
        <v>19</v>
      </c>
      <c r="P810" t="s">
        <v>19</v>
      </c>
      <c r="Q810">
        <f>I810</f>
        <v>40</v>
      </c>
      <c r="R810" t="s">
        <v>19</v>
      </c>
      <c r="S810" t="s">
        <v>19</v>
      </c>
      <c r="T810" t="s">
        <v>19</v>
      </c>
    </row>
    <row r="811" spans="1:21" x14ac:dyDescent="0.25">
      <c r="A811" s="2">
        <v>45323.551261574074</v>
      </c>
      <c r="B811" t="s">
        <v>309</v>
      </c>
      <c r="C811" t="s">
        <v>322</v>
      </c>
      <c r="D811">
        <v>3</v>
      </c>
      <c r="E811" t="s">
        <v>77</v>
      </c>
      <c r="F811" t="s">
        <v>388</v>
      </c>
      <c r="G811">
        <f>(O811/(N811+O811+P811))*100</f>
        <v>15.294117647058824</v>
      </c>
      <c r="H811">
        <f>(P811/(O811+P811+N811))*100</f>
        <v>25.042016806722689</v>
      </c>
      <c r="I811">
        <v>40.340000000000003</v>
      </c>
      <c r="J811">
        <f>(N811/(P811+O811+N811))*100</f>
        <v>59.663865546218489</v>
      </c>
      <c r="K811">
        <v>0.8</v>
      </c>
      <c r="L811">
        <v>0.3</v>
      </c>
      <c r="M811">
        <v>0.7</v>
      </c>
      <c r="N811">
        <v>355</v>
      </c>
      <c r="O811">
        <v>91</v>
      </c>
      <c r="P811">
        <v>149</v>
      </c>
      <c r="Q811">
        <v>40.340000000000003</v>
      </c>
      <c r="R811" t="s">
        <v>329</v>
      </c>
      <c r="S811">
        <v>2.54</v>
      </c>
      <c r="T811">
        <v>3.51</v>
      </c>
      <c r="U811">
        <v>99</v>
      </c>
    </row>
    <row r="812" spans="1:21" x14ac:dyDescent="0.25">
      <c r="A812" s="2">
        <v>45323.549756944441</v>
      </c>
      <c r="B812" t="s">
        <v>309</v>
      </c>
      <c r="C812" t="s">
        <v>322</v>
      </c>
      <c r="D812">
        <v>3</v>
      </c>
      <c r="E812" t="s">
        <v>77</v>
      </c>
      <c r="F812" t="s">
        <v>388</v>
      </c>
      <c r="G812">
        <f>(O812/(N812+O812+P812))*100</f>
        <v>17.781402936378466</v>
      </c>
      <c r="H812">
        <f>(P812/(O812+P812+N812))*100</f>
        <v>26.590538336052198</v>
      </c>
      <c r="I812">
        <v>44.37</v>
      </c>
      <c r="J812">
        <f>(N812/(P812+O812+N812))*100</f>
        <v>55.628058727569332</v>
      </c>
      <c r="K812">
        <v>0.7</v>
      </c>
      <c r="L812">
        <v>0.3</v>
      </c>
      <c r="M812">
        <v>0.7</v>
      </c>
      <c r="N812">
        <v>341</v>
      </c>
      <c r="O812">
        <v>109</v>
      </c>
      <c r="P812">
        <v>163</v>
      </c>
      <c r="Q812">
        <v>44.37</v>
      </c>
      <c r="R812" t="s">
        <v>296</v>
      </c>
      <c r="S812">
        <v>2.54</v>
      </c>
      <c r="T812">
        <v>3.51</v>
      </c>
      <c r="U812">
        <v>81</v>
      </c>
    </row>
    <row r="813" spans="1:21" x14ac:dyDescent="0.25">
      <c r="A813" s="2">
        <v>45324.974699074075</v>
      </c>
      <c r="B813" t="s">
        <v>309</v>
      </c>
      <c r="C813" t="s">
        <v>368</v>
      </c>
      <c r="D813">
        <v>2</v>
      </c>
      <c r="E813" t="s">
        <v>77</v>
      </c>
      <c r="F813" t="s">
        <v>388</v>
      </c>
      <c r="G813">
        <f>(O813/(N813+O813+P813))*100</f>
        <v>52.682926829268297</v>
      </c>
      <c r="H813">
        <f>(P813/(O813+P813+N813))*100</f>
        <v>0</v>
      </c>
      <c r="I813">
        <v>52.68</v>
      </c>
      <c r="J813">
        <f>(N813/(P813+O813+N813))*100</f>
        <v>47.317073170731703</v>
      </c>
      <c r="K813">
        <v>0.8</v>
      </c>
      <c r="L813">
        <v>0.3</v>
      </c>
      <c r="M813">
        <v>0.7</v>
      </c>
      <c r="N813">
        <v>291</v>
      </c>
      <c r="O813">
        <v>324</v>
      </c>
      <c r="P813">
        <v>0</v>
      </c>
      <c r="Q813">
        <v>52.68</v>
      </c>
      <c r="R813" t="s">
        <v>245</v>
      </c>
      <c r="S813">
        <v>1.27</v>
      </c>
      <c r="T813">
        <v>1.39</v>
      </c>
    </row>
    <row r="814" spans="1:21" x14ac:dyDescent="0.25">
      <c r="A814" t="s">
        <v>19</v>
      </c>
      <c r="B814" t="s">
        <v>20</v>
      </c>
      <c r="C814" t="s">
        <v>308</v>
      </c>
      <c r="D814">
        <v>3</v>
      </c>
      <c r="E814" t="s">
        <v>78</v>
      </c>
      <c r="F814" t="s">
        <v>388</v>
      </c>
      <c r="G814">
        <v>20</v>
      </c>
      <c r="H814">
        <v>40</v>
      </c>
      <c r="I814">
        <f>G814+H814</f>
        <v>60</v>
      </c>
      <c r="J814">
        <f>100-G814-H814</f>
        <v>40</v>
      </c>
      <c r="K814" t="s">
        <v>19</v>
      </c>
      <c r="L814" t="s">
        <v>19</v>
      </c>
      <c r="M814" t="s">
        <v>19</v>
      </c>
      <c r="N814" t="s">
        <v>19</v>
      </c>
      <c r="O814" t="s">
        <v>19</v>
      </c>
      <c r="P814" t="s">
        <v>19</v>
      </c>
      <c r="Q814">
        <f>I814</f>
        <v>60</v>
      </c>
      <c r="R814" t="s">
        <v>19</v>
      </c>
      <c r="S814" t="s">
        <v>19</v>
      </c>
      <c r="T814" t="s">
        <v>19</v>
      </c>
    </row>
    <row r="815" spans="1:21" x14ac:dyDescent="0.25">
      <c r="A815" t="s">
        <v>19</v>
      </c>
      <c r="B815" t="s">
        <v>20</v>
      </c>
      <c r="C815" t="s">
        <v>22</v>
      </c>
      <c r="D815">
        <v>3</v>
      </c>
      <c r="E815" t="s">
        <v>78</v>
      </c>
      <c r="F815" t="s">
        <v>388</v>
      </c>
      <c r="G815">
        <v>15</v>
      </c>
      <c r="H815">
        <v>25</v>
      </c>
      <c r="I815">
        <f>G815+H815</f>
        <v>40</v>
      </c>
      <c r="J815">
        <f>100-G815-H815</f>
        <v>60</v>
      </c>
      <c r="K815" t="s">
        <v>19</v>
      </c>
      <c r="L815" t="s">
        <v>19</v>
      </c>
      <c r="M815" t="s">
        <v>19</v>
      </c>
      <c r="N815" t="s">
        <v>19</v>
      </c>
      <c r="O815" t="s">
        <v>19</v>
      </c>
      <c r="P815" t="s">
        <v>19</v>
      </c>
      <c r="Q815">
        <f>I815</f>
        <v>40</v>
      </c>
      <c r="R815" t="s">
        <v>19</v>
      </c>
      <c r="S815" t="s">
        <v>19</v>
      </c>
      <c r="T815" t="s">
        <v>19</v>
      </c>
    </row>
    <row r="816" spans="1:21" x14ac:dyDescent="0.25">
      <c r="A816" t="s">
        <v>19</v>
      </c>
      <c r="B816" t="s">
        <v>20</v>
      </c>
      <c r="C816" t="s">
        <v>305</v>
      </c>
      <c r="D816">
        <v>3</v>
      </c>
      <c r="E816" t="s">
        <v>78</v>
      </c>
      <c r="F816" t="s">
        <v>388</v>
      </c>
      <c r="G816">
        <v>30</v>
      </c>
      <c r="H816">
        <v>30</v>
      </c>
      <c r="I816">
        <f>G816+H816</f>
        <v>60</v>
      </c>
      <c r="J816">
        <f>100-G816-H816</f>
        <v>40</v>
      </c>
      <c r="K816" t="s">
        <v>19</v>
      </c>
      <c r="L816" t="s">
        <v>19</v>
      </c>
      <c r="M816" t="s">
        <v>19</v>
      </c>
      <c r="N816" t="s">
        <v>19</v>
      </c>
      <c r="O816" t="s">
        <v>19</v>
      </c>
      <c r="P816" t="s">
        <v>19</v>
      </c>
      <c r="Q816">
        <f>I816</f>
        <v>60</v>
      </c>
      <c r="R816" t="s">
        <v>19</v>
      </c>
      <c r="S816" t="s">
        <v>19</v>
      </c>
      <c r="T816" t="s">
        <v>19</v>
      </c>
    </row>
    <row r="817" spans="1:21" x14ac:dyDescent="0.25">
      <c r="A817" t="s">
        <v>19</v>
      </c>
      <c r="B817" t="s">
        <v>20</v>
      </c>
      <c r="C817" t="s">
        <v>307</v>
      </c>
      <c r="D817">
        <v>3</v>
      </c>
      <c r="E817" t="s">
        <v>78</v>
      </c>
      <c r="F817" t="s">
        <v>388</v>
      </c>
      <c r="G817">
        <v>10</v>
      </c>
      <c r="H817">
        <v>10</v>
      </c>
      <c r="I817">
        <f>G817+H817</f>
        <v>20</v>
      </c>
      <c r="J817">
        <f>100-G817-H817</f>
        <v>80</v>
      </c>
      <c r="K817" t="s">
        <v>19</v>
      </c>
      <c r="L817" t="s">
        <v>19</v>
      </c>
      <c r="M817" t="s">
        <v>19</v>
      </c>
      <c r="N817" t="s">
        <v>19</v>
      </c>
      <c r="O817" t="s">
        <v>19</v>
      </c>
      <c r="P817" t="s">
        <v>19</v>
      </c>
      <c r="Q817">
        <f>I817</f>
        <v>20</v>
      </c>
      <c r="R817" t="s">
        <v>19</v>
      </c>
      <c r="S817" t="s">
        <v>19</v>
      </c>
      <c r="T817" t="s">
        <v>19</v>
      </c>
    </row>
    <row r="818" spans="1:21" x14ac:dyDescent="0.25">
      <c r="A818" s="2">
        <v>45253.546527777777</v>
      </c>
      <c r="B818" t="s">
        <v>309</v>
      </c>
      <c r="C818" t="s">
        <v>213</v>
      </c>
      <c r="D818">
        <v>3</v>
      </c>
      <c r="E818" t="s">
        <v>78</v>
      </c>
      <c r="F818" t="s">
        <v>388</v>
      </c>
      <c r="G818">
        <v>1.0989010990000001</v>
      </c>
      <c r="H818">
        <v>25.274725270000001</v>
      </c>
      <c r="I818">
        <v>26.37362637</v>
      </c>
      <c r="J818">
        <v>73.626373630000003</v>
      </c>
      <c r="K818">
        <v>0.8</v>
      </c>
      <c r="L818">
        <v>0.2</v>
      </c>
      <c r="M818">
        <v>0.7</v>
      </c>
      <c r="N818">
        <v>402</v>
      </c>
      <c r="O818">
        <v>6</v>
      </c>
      <c r="P818">
        <v>138</v>
      </c>
      <c r="Q818">
        <v>26.37</v>
      </c>
      <c r="R818" t="s">
        <v>223</v>
      </c>
      <c r="S818">
        <v>2.8</v>
      </c>
      <c r="T818">
        <v>3.61</v>
      </c>
    </row>
    <row r="819" spans="1:21" x14ac:dyDescent="0.25">
      <c r="A819" s="2">
        <v>45253.837500000001</v>
      </c>
      <c r="B819" t="s">
        <v>309</v>
      </c>
      <c r="C819" t="s">
        <v>215</v>
      </c>
      <c r="D819">
        <v>2</v>
      </c>
      <c r="E819" t="s">
        <v>78</v>
      </c>
      <c r="F819" t="s">
        <v>388</v>
      </c>
      <c r="G819">
        <v>12.93233083</v>
      </c>
      <c r="H819">
        <v>0</v>
      </c>
      <c r="I819">
        <v>12.93233083</v>
      </c>
      <c r="J819">
        <v>87.067669170000002</v>
      </c>
      <c r="K819">
        <v>0.8</v>
      </c>
      <c r="L819">
        <v>0.2</v>
      </c>
      <c r="M819">
        <v>0.7</v>
      </c>
      <c r="N819">
        <v>579</v>
      </c>
      <c r="O819">
        <v>86</v>
      </c>
      <c r="P819">
        <v>0</v>
      </c>
      <c r="Q819">
        <v>12.93</v>
      </c>
      <c r="R819" t="s">
        <v>227</v>
      </c>
      <c r="S819">
        <v>0.36</v>
      </c>
      <c r="T819">
        <v>0.38</v>
      </c>
    </row>
    <row r="820" spans="1:21" x14ac:dyDescent="0.25">
      <c r="A820" s="2">
        <v>45254.004166666666</v>
      </c>
      <c r="B820" t="s">
        <v>309</v>
      </c>
      <c r="C820" t="s">
        <v>217</v>
      </c>
      <c r="D820">
        <v>2</v>
      </c>
      <c r="E820" t="s">
        <v>78</v>
      </c>
      <c r="F820" t="s">
        <v>388</v>
      </c>
      <c r="G820">
        <v>20.95808383</v>
      </c>
      <c r="H820">
        <v>0</v>
      </c>
      <c r="I820">
        <v>20.95808383</v>
      </c>
      <c r="J820">
        <v>79.041916169999993</v>
      </c>
      <c r="K820">
        <v>0.8</v>
      </c>
      <c r="L820">
        <v>0.2</v>
      </c>
      <c r="M820">
        <v>0.7</v>
      </c>
      <c r="N820">
        <v>528</v>
      </c>
      <c r="O820">
        <v>140</v>
      </c>
      <c r="P820">
        <v>0</v>
      </c>
      <c r="Q820">
        <v>20.96</v>
      </c>
      <c r="R820" t="s">
        <v>235</v>
      </c>
      <c r="S820">
        <v>0.54</v>
      </c>
      <c r="T820">
        <v>0.56999999999999995</v>
      </c>
    </row>
    <row r="821" spans="1:21" x14ac:dyDescent="0.25">
      <c r="A821" s="2">
        <v>45316.515972222223</v>
      </c>
      <c r="B821" t="s">
        <v>309</v>
      </c>
      <c r="C821" t="s">
        <v>219</v>
      </c>
      <c r="D821">
        <v>3</v>
      </c>
      <c r="E821" t="s">
        <v>78</v>
      </c>
      <c r="F821" t="s">
        <v>388</v>
      </c>
      <c r="G821">
        <v>7.8947368420000004</v>
      </c>
      <c r="H821">
        <v>26.491228069999998</v>
      </c>
      <c r="I821">
        <v>34.385964909999998</v>
      </c>
      <c r="J821">
        <v>65.614035090000002</v>
      </c>
      <c r="K821">
        <v>0.8</v>
      </c>
      <c r="L821">
        <v>0.2</v>
      </c>
      <c r="M821">
        <v>0.7</v>
      </c>
      <c r="N821">
        <v>374</v>
      </c>
      <c r="O821">
        <v>45</v>
      </c>
      <c r="P821">
        <v>151</v>
      </c>
      <c r="Q821">
        <v>34.39</v>
      </c>
      <c r="R821" t="s">
        <v>225</v>
      </c>
      <c r="S821">
        <v>3.13</v>
      </c>
      <c r="T821">
        <v>4.58</v>
      </c>
    </row>
    <row r="822" spans="1:21" x14ac:dyDescent="0.25">
      <c r="A822" s="2">
        <v>45320.853472222225</v>
      </c>
      <c r="B822" t="s">
        <v>309</v>
      </c>
      <c r="C822" t="s">
        <v>221</v>
      </c>
      <c r="D822">
        <v>2</v>
      </c>
      <c r="E822" t="s">
        <v>78</v>
      </c>
      <c r="F822" t="s">
        <v>388</v>
      </c>
      <c r="G822">
        <v>49.215686269999999</v>
      </c>
      <c r="H822">
        <v>0</v>
      </c>
      <c r="I822">
        <v>49.215686269999999</v>
      </c>
      <c r="J822">
        <v>50.784313730000001</v>
      </c>
      <c r="K822">
        <v>0.8</v>
      </c>
      <c r="L822">
        <v>0.3</v>
      </c>
      <c r="M822">
        <v>0.7</v>
      </c>
      <c r="N822">
        <v>259</v>
      </c>
      <c r="O822">
        <v>251</v>
      </c>
      <c r="P822">
        <v>0</v>
      </c>
      <c r="Q822">
        <v>49.22</v>
      </c>
      <c r="R822" t="s">
        <v>277</v>
      </c>
      <c r="S822">
        <v>1.25</v>
      </c>
      <c r="T822">
        <v>1.35</v>
      </c>
    </row>
    <row r="823" spans="1:21" x14ac:dyDescent="0.25">
      <c r="A823" t="s">
        <v>19</v>
      </c>
      <c r="B823" t="s">
        <v>20</v>
      </c>
      <c r="C823" t="s">
        <v>306</v>
      </c>
      <c r="D823">
        <v>3</v>
      </c>
      <c r="E823" t="s">
        <v>78</v>
      </c>
      <c r="F823" t="s">
        <v>388</v>
      </c>
      <c r="G823">
        <v>50</v>
      </c>
      <c r="H823">
        <v>20</v>
      </c>
      <c r="I823">
        <f>G823+H823</f>
        <v>70</v>
      </c>
      <c r="J823">
        <f>100-G823-H823</f>
        <v>30</v>
      </c>
      <c r="K823" t="s">
        <v>19</v>
      </c>
      <c r="L823" t="s">
        <v>19</v>
      </c>
      <c r="M823" t="s">
        <v>19</v>
      </c>
      <c r="N823" t="s">
        <v>19</v>
      </c>
      <c r="O823" t="s">
        <v>19</v>
      </c>
      <c r="P823" t="s">
        <v>19</v>
      </c>
      <c r="Q823">
        <f>I823</f>
        <v>70</v>
      </c>
      <c r="R823" t="s">
        <v>19</v>
      </c>
      <c r="S823" t="s">
        <v>19</v>
      </c>
      <c r="T823" t="s">
        <v>19</v>
      </c>
    </row>
    <row r="824" spans="1:21" x14ac:dyDescent="0.25">
      <c r="A824" t="s">
        <v>19</v>
      </c>
      <c r="B824" t="s">
        <v>20</v>
      </c>
      <c r="C824" t="s">
        <v>320</v>
      </c>
      <c r="D824">
        <v>3</v>
      </c>
      <c r="E824" t="s">
        <v>78</v>
      </c>
      <c r="F824" t="s">
        <v>388</v>
      </c>
      <c r="G824">
        <v>10</v>
      </c>
      <c r="H824">
        <v>15</v>
      </c>
      <c r="I824">
        <f>100-J824</f>
        <v>25</v>
      </c>
      <c r="J824">
        <f>100-G824-H824</f>
        <v>75</v>
      </c>
      <c r="K824" t="s">
        <v>19</v>
      </c>
      <c r="L824" t="s">
        <v>19</v>
      </c>
      <c r="M824" t="s">
        <v>19</v>
      </c>
      <c r="N824" t="s">
        <v>19</v>
      </c>
      <c r="O824" t="s">
        <v>19</v>
      </c>
      <c r="P824" t="s">
        <v>19</v>
      </c>
      <c r="Q824">
        <f>I824</f>
        <v>25</v>
      </c>
      <c r="R824" t="s">
        <v>19</v>
      </c>
      <c r="S824" t="s">
        <v>19</v>
      </c>
      <c r="T824" t="s">
        <v>19</v>
      </c>
    </row>
    <row r="825" spans="1:21" x14ac:dyDescent="0.25">
      <c r="A825" s="2">
        <v>45323.553055555552</v>
      </c>
      <c r="B825" t="s">
        <v>309</v>
      </c>
      <c r="C825" t="s">
        <v>322</v>
      </c>
      <c r="D825">
        <v>3</v>
      </c>
      <c r="E825" t="s">
        <v>78</v>
      </c>
      <c r="F825" t="s">
        <v>388</v>
      </c>
      <c r="G825">
        <f>(O825/(N825+O825+P825))*100</f>
        <v>20.204081632653061</v>
      </c>
      <c r="H825">
        <f>(P825/(O825+P825+N825))*100</f>
        <v>24.081632653061224</v>
      </c>
      <c r="I825">
        <v>44.29</v>
      </c>
      <c r="J825">
        <f>(N825/(P825+O825+N825))*100</f>
        <v>55.714285714285715</v>
      </c>
      <c r="K825">
        <v>0.8</v>
      </c>
      <c r="L825">
        <v>0.3</v>
      </c>
      <c r="M825">
        <v>0.7</v>
      </c>
      <c r="N825">
        <v>273</v>
      </c>
      <c r="O825">
        <v>99</v>
      </c>
      <c r="P825">
        <v>118</v>
      </c>
      <c r="Q825">
        <v>44.29</v>
      </c>
      <c r="R825" t="s">
        <v>288</v>
      </c>
      <c r="S825">
        <v>2.4700000000000002</v>
      </c>
      <c r="T825">
        <v>4.1399999999999997</v>
      </c>
      <c r="U825">
        <v>60</v>
      </c>
    </row>
    <row r="826" spans="1:21" x14ac:dyDescent="0.25">
      <c r="A826" s="2">
        <v>45323.551377314812</v>
      </c>
      <c r="B826" t="s">
        <v>309</v>
      </c>
      <c r="C826" t="s">
        <v>322</v>
      </c>
      <c r="D826">
        <v>3</v>
      </c>
      <c r="E826" t="s">
        <v>78</v>
      </c>
      <c r="F826" t="s">
        <v>388</v>
      </c>
      <c r="G826">
        <f>(O826/(N826+O826+P826))*100</f>
        <v>22.420634920634921</v>
      </c>
      <c r="H826">
        <f>(P826/(O826+P826+N826))*100</f>
        <v>25.396825396825395</v>
      </c>
      <c r="I826">
        <v>47.82</v>
      </c>
      <c r="J826">
        <f>(N826/(P826+O826+N826))*100</f>
        <v>52.182539682539684</v>
      </c>
      <c r="K826">
        <v>0.7</v>
      </c>
      <c r="L826">
        <v>0.3</v>
      </c>
      <c r="M826">
        <v>0.7</v>
      </c>
      <c r="N826">
        <v>263</v>
      </c>
      <c r="O826">
        <v>113</v>
      </c>
      <c r="P826">
        <v>128</v>
      </c>
      <c r="Q826">
        <v>47.82</v>
      </c>
      <c r="R826" t="s">
        <v>214</v>
      </c>
      <c r="S826">
        <v>2.4700000000000002</v>
      </c>
      <c r="T826">
        <v>4.1399999999999997</v>
      </c>
      <c r="U826">
        <v>46</v>
      </c>
    </row>
    <row r="827" spans="1:21" x14ac:dyDescent="0.25">
      <c r="A827" s="2">
        <v>45324.976284722223</v>
      </c>
      <c r="B827" t="s">
        <v>309</v>
      </c>
      <c r="C827" t="s">
        <v>368</v>
      </c>
      <c r="D827">
        <v>2</v>
      </c>
      <c r="E827" t="s">
        <v>78</v>
      </c>
      <c r="F827" t="s">
        <v>388</v>
      </c>
      <c r="G827">
        <f>(O827/(N827+O827+P827))*100</f>
        <v>60.5543710021322</v>
      </c>
      <c r="H827">
        <f>(P827/(O827+P827+N827))*100</f>
        <v>0</v>
      </c>
      <c r="I827">
        <v>60.55</v>
      </c>
      <c r="J827">
        <f>(N827/(P827+O827+N827))*100</f>
        <v>39.445628997867807</v>
      </c>
      <c r="K827">
        <v>0.8</v>
      </c>
      <c r="L827">
        <v>0.3</v>
      </c>
      <c r="M827">
        <v>0.7</v>
      </c>
      <c r="N827">
        <v>185</v>
      </c>
      <c r="O827">
        <v>284</v>
      </c>
      <c r="P827">
        <v>0</v>
      </c>
      <c r="Q827">
        <v>60.55</v>
      </c>
      <c r="R827" t="s">
        <v>344</v>
      </c>
      <c r="S827">
        <v>1.38</v>
      </c>
      <c r="T827">
        <v>1.53</v>
      </c>
    </row>
    <row r="828" spans="1:21" x14ac:dyDescent="0.25">
      <c r="A828" t="s">
        <v>19</v>
      </c>
      <c r="B828" t="s">
        <v>20</v>
      </c>
      <c r="C828" t="s">
        <v>308</v>
      </c>
      <c r="D828">
        <v>3</v>
      </c>
      <c r="E828" t="s">
        <v>79</v>
      </c>
      <c r="F828" t="s">
        <v>388</v>
      </c>
      <c r="G828">
        <v>12</v>
      </c>
      <c r="H828">
        <v>15</v>
      </c>
      <c r="I828">
        <f>G828+H828</f>
        <v>27</v>
      </c>
      <c r="J828">
        <f>100-G828-H828</f>
        <v>73</v>
      </c>
      <c r="K828" t="s">
        <v>19</v>
      </c>
      <c r="L828" t="s">
        <v>19</v>
      </c>
      <c r="M828" t="s">
        <v>19</v>
      </c>
      <c r="N828" t="s">
        <v>19</v>
      </c>
      <c r="O828" t="s">
        <v>19</v>
      </c>
      <c r="P828" t="s">
        <v>19</v>
      </c>
      <c r="Q828">
        <f>I828</f>
        <v>27</v>
      </c>
      <c r="R828" t="s">
        <v>19</v>
      </c>
      <c r="S828" t="s">
        <v>19</v>
      </c>
      <c r="T828" t="s">
        <v>19</v>
      </c>
    </row>
    <row r="829" spans="1:21" x14ac:dyDescent="0.25">
      <c r="A829" t="s">
        <v>19</v>
      </c>
      <c r="B829" t="s">
        <v>20</v>
      </c>
      <c r="C829" t="s">
        <v>22</v>
      </c>
      <c r="D829">
        <v>3</v>
      </c>
      <c r="E829" t="s">
        <v>79</v>
      </c>
      <c r="F829" t="s">
        <v>388</v>
      </c>
      <c r="G829">
        <v>5</v>
      </c>
      <c r="H829">
        <v>10</v>
      </c>
      <c r="I829">
        <f>G829+H829</f>
        <v>15</v>
      </c>
      <c r="J829">
        <f>100-G829-H829</f>
        <v>85</v>
      </c>
      <c r="K829" t="s">
        <v>19</v>
      </c>
      <c r="L829" t="s">
        <v>19</v>
      </c>
      <c r="M829" t="s">
        <v>19</v>
      </c>
      <c r="N829" t="s">
        <v>19</v>
      </c>
      <c r="O829" t="s">
        <v>19</v>
      </c>
      <c r="P829" t="s">
        <v>19</v>
      </c>
      <c r="Q829">
        <f>I829</f>
        <v>15</v>
      </c>
      <c r="R829" t="s">
        <v>19</v>
      </c>
      <c r="S829" t="s">
        <v>19</v>
      </c>
      <c r="T829" t="s">
        <v>19</v>
      </c>
    </row>
    <row r="830" spans="1:21" x14ac:dyDescent="0.25">
      <c r="A830" t="s">
        <v>19</v>
      </c>
      <c r="B830" t="s">
        <v>20</v>
      </c>
      <c r="C830" t="s">
        <v>305</v>
      </c>
      <c r="D830">
        <v>3</v>
      </c>
      <c r="E830" t="s">
        <v>79</v>
      </c>
      <c r="F830" t="s">
        <v>388</v>
      </c>
      <c r="G830">
        <v>25</v>
      </c>
      <c r="H830">
        <v>15</v>
      </c>
      <c r="I830">
        <f>G830+H830</f>
        <v>40</v>
      </c>
      <c r="J830">
        <f>100-G830-H830</f>
        <v>60</v>
      </c>
      <c r="K830" t="s">
        <v>19</v>
      </c>
      <c r="L830" t="s">
        <v>19</v>
      </c>
      <c r="M830" t="s">
        <v>19</v>
      </c>
      <c r="N830" t="s">
        <v>19</v>
      </c>
      <c r="O830" t="s">
        <v>19</v>
      </c>
      <c r="P830" t="s">
        <v>19</v>
      </c>
      <c r="Q830">
        <f>I830</f>
        <v>40</v>
      </c>
      <c r="R830" t="s">
        <v>19</v>
      </c>
      <c r="S830" t="s">
        <v>19</v>
      </c>
      <c r="T830" t="s">
        <v>19</v>
      </c>
    </row>
    <row r="831" spans="1:21" x14ac:dyDescent="0.25">
      <c r="A831" t="s">
        <v>19</v>
      </c>
      <c r="B831" t="s">
        <v>20</v>
      </c>
      <c r="C831" t="s">
        <v>307</v>
      </c>
      <c r="D831">
        <v>3</v>
      </c>
      <c r="E831" t="s">
        <v>79</v>
      </c>
      <c r="F831" t="s">
        <v>388</v>
      </c>
      <c r="G831">
        <v>6</v>
      </c>
      <c r="H831">
        <v>9</v>
      </c>
      <c r="I831">
        <f>G831+H831</f>
        <v>15</v>
      </c>
      <c r="J831">
        <f>100-G831-H831</f>
        <v>85</v>
      </c>
      <c r="K831" t="s">
        <v>19</v>
      </c>
      <c r="L831" t="s">
        <v>19</v>
      </c>
      <c r="M831" t="s">
        <v>19</v>
      </c>
      <c r="N831" t="s">
        <v>19</v>
      </c>
      <c r="O831" t="s">
        <v>19</v>
      </c>
      <c r="P831" t="s">
        <v>19</v>
      </c>
      <c r="Q831">
        <f>I831</f>
        <v>15</v>
      </c>
      <c r="R831" t="s">
        <v>19</v>
      </c>
      <c r="S831" t="s">
        <v>19</v>
      </c>
      <c r="T831" t="s">
        <v>19</v>
      </c>
    </row>
    <row r="832" spans="1:21" x14ac:dyDescent="0.25">
      <c r="A832" s="2">
        <v>45253.54791666667</v>
      </c>
      <c r="B832" t="s">
        <v>309</v>
      </c>
      <c r="C832" t="s">
        <v>213</v>
      </c>
      <c r="D832">
        <v>3</v>
      </c>
      <c r="E832" t="s">
        <v>79</v>
      </c>
      <c r="F832" t="s">
        <v>388</v>
      </c>
      <c r="G832">
        <v>15.913555990000001</v>
      </c>
      <c r="H832">
        <v>13.16306483</v>
      </c>
      <c r="I832">
        <v>29.07662083</v>
      </c>
      <c r="J832">
        <v>70.923379170000004</v>
      </c>
      <c r="K832">
        <v>0.8</v>
      </c>
      <c r="L832">
        <v>0.2</v>
      </c>
      <c r="M832">
        <v>0.7</v>
      </c>
      <c r="N832">
        <v>361</v>
      </c>
      <c r="O832">
        <v>81</v>
      </c>
      <c r="P832">
        <v>67</v>
      </c>
      <c r="Q832">
        <v>29.08</v>
      </c>
      <c r="R832" t="s">
        <v>238</v>
      </c>
      <c r="S832">
        <v>2.7</v>
      </c>
      <c r="T832">
        <v>3.39</v>
      </c>
    </row>
    <row r="833" spans="1:21" x14ac:dyDescent="0.25">
      <c r="A833" s="2">
        <v>45253.838194444441</v>
      </c>
      <c r="B833" t="s">
        <v>309</v>
      </c>
      <c r="C833" t="s">
        <v>215</v>
      </c>
      <c r="D833">
        <v>2</v>
      </c>
      <c r="E833" t="s">
        <v>79</v>
      </c>
      <c r="F833" t="s">
        <v>388</v>
      </c>
      <c r="G833">
        <v>31.831831829999999</v>
      </c>
      <c r="H833">
        <v>0</v>
      </c>
      <c r="I833">
        <v>31.831831829999999</v>
      </c>
      <c r="J833">
        <v>68.168168170000001</v>
      </c>
      <c r="K833">
        <v>0.8</v>
      </c>
      <c r="L833">
        <v>0.2</v>
      </c>
      <c r="M833">
        <v>0.7</v>
      </c>
      <c r="N833">
        <v>454</v>
      </c>
      <c r="O833">
        <v>212</v>
      </c>
      <c r="P833">
        <v>0</v>
      </c>
      <c r="Q833">
        <v>31.83</v>
      </c>
      <c r="R833" t="s">
        <v>225</v>
      </c>
      <c r="S833">
        <v>0.74</v>
      </c>
      <c r="T833">
        <v>0.81</v>
      </c>
    </row>
    <row r="834" spans="1:21" x14ac:dyDescent="0.25">
      <c r="A834" s="2">
        <v>45254.004861111112</v>
      </c>
      <c r="B834" t="s">
        <v>309</v>
      </c>
      <c r="C834" t="s">
        <v>217</v>
      </c>
      <c r="D834">
        <v>2</v>
      </c>
      <c r="E834" t="s">
        <v>79</v>
      </c>
      <c r="F834" t="s">
        <v>388</v>
      </c>
      <c r="G834">
        <v>33.232628400000003</v>
      </c>
      <c r="H834">
        <v>0</v>
      </c>
      <c r="I834">
        <v>33.232628400000003</v>
      </c>
      <c r="J834">
        <v>66.767371600000004</v>
      </c>
      <c r="K834">
        <v>0.8</v>
      </c>
      <c r="L834">
        <v>0.2</v>
      </c>
      <c r="M834">
        <v>0.7</v>
      </c>
      <c r="N834">
        <v>442</v>
      </c>
      <c r="O834">
        <v>220</v>
      </c>
      <c r="P834">
        <v>0</v>
      </c>
      <c r="Q834">
        <v>33.229999999999997</v>
      </c>
      <c r="R834" t="s">
        <v>232</v>
      </c>
      <c r="S834">
        <v>0.84</v>
      </c>
      <c r="T834">
        <v>0.88</v>
      </c>
    </row>
    <row r="835" spans="1:21" x14ac:dyDescent="0.25">
      <c r="A835" s="2">
        <v>45316.517361111109</v>
      </c>
      <c r="B835" t="s">
        <v>309</v>
      </c>
      <c r="C835" t="s">
        <v>219</v>
      </c>
      <c r="D835">
        <v>3</v>
      </c>
      <c r="E835" t="s">
        <v>79</v>
      </c>
      <c r="F835" t="s">
        <v>388</v>
      </c>
      <c r="G835">
        <v>10.468319559999999</v>
      </c>
      <c r="H835">
        <v>20.11019284</v>
      </c>
      <c r="I835">
        <v>30.578512400000001</v>
      </c>
      <c r="J835">
        <v>69.421487600000006</v>
      </c>
      <c r="K835">
        <v>0.8</v>
      </c>
      <c r="L835">
        <v>0.2</v>
      </c>
      <c r="M835">
        <v>0.7</v>
      </c>
      <c r="N835">
        <v>252</v>
      </c>
      <c r="O835">
        <v>38</v>
      </c>
      <c r="P835">
        <v>73</v>
      </c>
      <c r="Q835">
        <v>30.58</v>
      </c>
      <c r="R835" t="s">
        <v>225</v>
      </c>
      <c r="S835">
        <v>3.16</v>
      </c>
      <c r="T835">
        <v>4.3</v>
      </c>
    </row>
    <row r="836" spans="1:21" x14ac:dyDescent="0.25">
      <c r="A836" s="2">
        <v>45320.854861111111</v>
      </c>
      <c r="B836" t="s">
        <v>309</v>
      </c>
      <c r="C836" t="s">
        <v>221</v>
      </c>
      <c r="D836">
        <v>2</v>
      </c>
      <c r="E836" t="s">
        <v>79</v>
      </c>
      <c r="F836" t="s">
        <v>388</v>
      </c>
      <c r="G836">
        <v>34.389857370000001</v>
      </c>
      <c r="H836">
        <v>0</v>
      </c>
      <c r="I836">
        <v>34.389857370000001</v>
      </c>
      <c r="J836">
        <v>65.610142629999999</v>
      </c>
      <c r="K836">
        <v>0.8</v>
      </c>
      <c r="L836">
        <v>0.3</v>
      </c>
      <c r="M836">
        <v>0.7</v>
      </c>
      <c r="N836">
        <v>414</v>
      </c>
      <c r="O836">
        <v>217</v>
      </c>
      <c r="P836">
        <v>0</v>
      </c>
      <c r="Q836">
        <v>34.39</v>
      </c>
      <c r="R836" t="s">
        <v>259</v>
      </c>
      <c r="S836">
        <v>0.93</v>
      </c>
      <c r="T836">
        <v>1</v>
      </c>
    </row>
    <row r="837" spans="1:21" x14ac:dyDescent="0.25">
      <c r="A837" t="s">
        <v>19</v>
      </c>
      <c r="B837" t="s">
        <v>20</v>
      </c>
      <c r="C837" t="s">
        <v>306</v>
      </c>
      <c r="D837">
        <v>3</v>
      </c>
      <c r="E837" t="s">
        <v>79</v>
      </c>
      <c r="F837" t="s">
        <v>388</v>
      </c>
      <c r="G837">
        <v>30</v>
      </c>
      <c r="H837">
        <v>15</v>
      </c>
      <c r="I837">
        <f>G837+H837</f>
        <v>45</v>
      </c>
      <c r="J837">
        <f>100-G837-H837</f>
        <v>55</v>
      </c>
      <c r="K837" t="s">
        <v>19</v>
      </c>
      <c r="L837" t="s">
        <v>19</v>
      </c>
      <c r="M837" t="s">
        <v>19</v>
      </c>
      <c r="N837" t="s">
        <v>19</v>
      </c>
      <c r="O837" t="s">
        <v>19</v>
      </c>
      <c r="P837" t="s">
        <v>19</v>
      </c>
      <c r="Q837">
        <f>I837</f>
        <v>45</v>
      </c>
      <c r="R837" t="s">
        <v>19</v>
      </c>
      <c r="S837" t="s">
        <v>19</v>
      </c>
      <c r="T837" t="s">
        <v>19</v>
      </c>
    </row>
    <row r="838" spans="1:21" x14ac:dyDescent="0.25">
      <c r="A838" t="s">
        <v>19</v>
      </c>
      <c r="B838" t="s">
        <v>20</v>
      </c>
      <c r="C838" t="s">
        <v>320</v>
      </c>
      <c r="D838">
        <v>3</v>
      </c>
      <c r="E838" t="s">
        <v>79</v>
      </c>
      <c r="F838" t="s">
        <v>388</v>
      </c>
      <c r="G838">
        <v>5</v>
      </c>
      <c r="H838">
        <v>15</v>
      </c>
      <c r="I838">
        <f>100-J838</f>
        <v>20</v>
      </c>
      <c r="J838">
        <f>100-G838-H838</f>
        <v>80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>
        <f>I838</f>
        <v>20</v>
      </c>
      <c r="R838" t="s">
        <v>19</v>
      </c>
      <c r="S838" t="s">
        <v>19</v>
      </c>
      <c r="T838" t="s">
        <v>19</v>
      </c>
    </row>
    <row r="839" spans="1:21" x14ac:dyDescent="0.25">
      <c r="A839" s="2">
        <v>45323.554664351854</v>
      </c>
      <c r="B839" t="s">
        <v>309</v>
      </c>
      <c r="C839" t="s">
        <v>322</v>
      </c>
      <c r="D839">
        <v>3</v>
      </c>
      <c r="E839" t="s">
        <v>79</v>
      </c>
      <c r="F839" t="s">
        <v>388</v>
      </c>
      <c r="G839">
        <f>(O839/(N839+O839+P839))*100</f>
        <v>21.382636655948552</v>
      </c>
      <c r="H839">
        <f>(P839/(O839+P839+N839))*100</f>
        <v>9.6463022508038581</v>
      </c>
      <c r="I839">
        <v>31.03</v>
      </c>
      <c r="J839">
        <f>(N839/(P839+O839+N839))*100</f>
        <v>68.971061093247584</v>
      </c>
      <c r="K839">
        <v>0.8</v>
      </c>
      <c r="L839">
        <v>0.3</v>
      </c>
      <c r="M839">
        <v>0.7</v>
      </c>
      <c r="N839">
        <v>429</v>
      </c>
      <c r="O839">
        <v>133</v>
      </c>
      <c r="P839">
        <v>60</v>
      </c>
      <c r="Q839">
        <v>31.03</v>
      </c>
      <c r="R839" t="s">
        <v>336</v>
      </c>
      <c r="S839">
        <v>2.4900000000000002</v>
      </c>
      <c r="T839">
        <v>4.28</v>
      </c>
      <c r="U839">
        <v>69</v>
      </c>
    </row>
    <row r="840" spans="1:21" x14ac:dyDescent="0.25">
      <c r="A840" s="2">
        <v>45323.552893518521</v>
      </c>
      <c r="B840" t="s">
        <v>309</v>
      </c>
      <c r="C840" t="s">
        <v>322</v>
      </c>
      <c r="D840">
        <v>3</v>
      </c>
      <c r="E840" t="s">
        <v>79</v>
      </c>
      <c r="F840" t="s">
        <v>388</v>
      </c>
      <c r="G840">
        <f>(O840/(N840+O840+P840))*100</f>
        <v>23.950233281493002</v>
      </c>
      <c r="H840">
        <f>(P840/(O840+P840+N840))*100</f>
        <v>9.6423017107309477</v>
      </c>
      <c r="I840">
        <v>33.590000000000003</v>
      </c>
      <c r="J840">
        <f>(N840/(P840+O840+N840))*100</f>
        <v>66.40746500777604</v>
      </c>
      <c r="K840">
        <v>0.7</v>
      </c>
      <c r="L840">
        <v>0.3</v>
      </c>
      <c r="M840">
        <v>0.7</v>
      </c>
      <c r="N840">
        <v>427</v>
      </c>
      <c r="O840">
        <v>154</v>
      </c>
      <c r="P840">
        <v>62</v>
      </c>
      <c r="Q840">
        <v>33.590000000000003</v>
      </c>
      <c r="R840" t="s">
        <v>338</v>
      </c>
      <c r="S840">
        <v>2.4900000000000002</v>
      </c>
      <c r="T840">
        <v>4.28</v>
      </c>
      <c r="U840">
        <v>48</v>
      </c>
    </row>
    <row r="841" spans="1:21" x14ac:dyDescent="0.25">
      <c r="A841" s="2">
        <v>45324.978090277778</v>
      </c>
      <c r="B841" t="s">
        <v>309</v>
      </c>
      <c r="C841" t="s">
        <v>368</v>
      </c>
      <c r="D841">
        <v>2</v>
      </c>
      <c r="E841" t="s">
        <v>79</v>
      </c>
      <c r="F841" t="s">
        <v>388</v>
      </c>
      <c r="G841">
        <f>(O841/(N841+O841+P841))*100</f>
        <v>42.158516020236085</v>
      </c>
      <c r="H841">
        <f>(P841/(O841+P841+N841))*100</f>
        <v>0</v>
      </c>
      <c r="I841">
        <v>42.16</v>
      </c>
      <c r="J841">
        <f>(N841/(P841+O841+N841))*100</f>
        <v>57.841483979763908</v>
      </c>
      <c r="K841">
        <v>0.8</v>
      </c>
      <c r="L841">
        <v>0.3</v>
      </c>
      <c r="M841">
        <v>0.7</v>
      </c>
      <c r="N841">
        <v>343</v>
      </c>
      <c r="O841">
        <v>250</v>
      </c>
      <c r="P841">
        <v>0</v>
      </c>
      <c r="Q841">
        <v>42.16</v>
      </c>
      <c r="R841" t="s">
        <v>253</v>
      </c>
      <c r="S841">
        <v>1.01</v>
      </c>
      <c r="T841">
        <v>1.1100000000000001</v>
      </c>
    </row>
    <row r="842" spans="1:21" x14ac:dyDescent="0.25">
      <c r="A842" t="s">
        <v>19</v>
      </c>
      <c r="B842" t="s">
        <v>20</v>
      </c>
      <c r="C842" t="s">
        <v>308</v>
      </c>
      <c r="D842">
        <v>3</v>
      </c>
      <c r="E842" t="s">
        <v>80</v>
      </c>
      <c r="F842" t="s">
        <v>388</v>
      </c>
      <c r="G842">
        <v>5</v>
      </c>
      <c r="H842">
        <v>10</v>
      </c>
      <c r="I842">
        <f>G842+H842</f>
        <v>15</v>
      </c>
      <c r="J842">
        <f>100-G842-H842</f>
        <v>85</v>
      </c>
      <c r="K842" t="s">
        <v>19</v>
      </c>
      <c r="L842" t="s">
        <v>19</v>
      </c>
      <c r="M842" t="s">
        <v>19</v>
      </c>
      <c r="N842" t="s">
        <v>19</v>
      </c>
      <c r="O842" t="s">
        <v>19</v>
      </c>
      <c r="P842" t="s">
        <v>19</v>
      </c>
      <c r="Q842">
        <f>I842</f>
        <v>15</v>
      </c>
      <c r="R842" t="s">
        <v>19</v>
      </c>
      <c r="S842" t="s">
        <v>19</v>
      </c>
      <c r="T842" t="s">
        <v>19</v>
      </c>
    </row>
    <row r="843" spans="1:21" x14ac:dyDescent="0.25">
      <c r="A843" t="s">
        <v>19</v>
      </c>
      <c r="B843" t="s">
        <v>20</v>
      </c>
      <c r="C843" t="s">
        <v>22</v>
      </c>
      <c r="D843">
        <v>3</v>
      </c>
      <c r="E843" t="s">
        <v>80</v>
      </c>
      <c r="F843" t="s">
        <v>388</v>
      </c>
      <c r="G843">
        <v>2</v>
      </c>
      <c r="H843">
        <v>5</v>
      </c>
      <c r="I843">
        <f>G843+H843</f>
        <v>7</v>
      </c>
      <c r="J843">
        <f>100-G843-H843</f>
        <v>93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>
        <f>I843</f>
        <v>7</v>
      </c>
      <c r="R843" t="s">
        <v>19</v>
      </c>
      <c r="S843" t="s">
        <v>19</v>
      </c>
      <c r="T843" t="s">
        <v>19</v>
      </c>
    </row>
    <row r="844" spans="1:21" x14ac:dyDescent="0.25">
      <c r="A844" t="s">
        <v>19</v>
      </c>
      <c r="B844" t="s">
        <v>20</v>
      </c>
      <c r="C844" t="s">
        <v>305</v>
      </c>
      <c r="D844">
        <v>3</v>
      </c>
      <c r="E844" t="s">
        <v>80</v>
      </c>
      <c r="F844" t="s">
        <v>388</v>
      </c>
      <c r="G844">
        <v>8</v>
      </c>
      <c r="H844">
        <v>10</v>
      </c>
      <c r="I844">
        <f>G844+H844</f>
        <v>18</v>
      </c>
      <c r="J844">
        <f>100-G844-H844</f>
        <v>82</v>
      </c>
      <c r="K844" t="s">
        <v>19</v>
      </c>
      <c r="L844" t="s">
        <v>19</v>
      </c>
      <c r="M844" t="s">
        <v>19</v>
      </c>
      <c r="N844" t="s">
        <v>19</v>
      </c>
      <c r="O844" t="s">
        <v>19</v>
      </c>
      <c r="P844" t="s">
        <v>19</v>
      </c>
      <c r="Q844">
        <f>I844</f>
        <v>18</v>
      </c>
      <c r="R844" t="s">
        <v>19</v>
      </c>
      <c r="S844" t="s">
        <v>19</v>
      </c>
      <c r="T844" t="s">
        <v>19</v>
      </c>
    </row>
    <row r="845" spans="1:21" x14ac:dyDescent="0.25">
      <c r="A845" t="s">
        <v>19</v>
      </c>
      <c r="B845" t="s">
        <v>20</v>
      </c>
      <c r="C845" t="s">
        <v>307</v>
      </c>
      <c r="D845">
        <v>3</v>
      </c>
      <c r="E845" t="s">
        <v>80</v>
      </c>
      <c r="F845" t="s">
        <v>388</v>
      </c>
      <c r="G845">
        <v>1</v>
      </c>
      <c r="H845">
        <v>3</v>
      </c>
      <c r="I845">
        <f>G845+H845</f>
        <v>4</v>
      </c>
      <c r="J845">
        <f>100-G845-H845</f>
        <v>96</v>
      </c>
      <c r="K845" t="s">
        <v>19</v>
      </c>
      <c r="L845" t="s">
        <v>19</v>
      </c>
      <c r="M845" t="s">
        <v>19</v>
      </c>
      <c r="N845" t="s">
        <v>19</v>
      </c>
      <c r="O845" t="s">
        <v>19</v>
      </c>
      <c r="P845" t="s">
        <v>19</v>
      </c>
      <c r="Q845">
        <f>I845</f>
        <v>4</v>
      </c>
      <c r="R845" t="s">
        <v>19</v>
      </c>
      <c r="S845" t="s">
        <v>19</v>
      </c>
      <c r="T845" t="s">
        <v>19</v>
      </c>
    </row>
    <row r="846" spans="1:21" x14ac:dyDescent="0.25">
      <c r="A846" s="2">
        <v>45253.549305555556</v>
      </c>
      <c r="B846" t="s">
        <v>309</v>
      </c>
      <c r="C846" t="s">
        <v>213</v>
      </c>
      <c r="D846">
        <v>3</v>
      </c>
      <c r="E846" t="s">
        <v>80</v>
      </c>
      <c r="F846" t="s">
        <v>388</v>
      </c>
      <c r="G846">
        <v>1.8895348839999999</v>
      </c>
      <c r="H846">
        <v>4.651162791</v>
      </c>
      <c r="I846">
        <v>6.5406976739999996</v>
      </c>
      <c r="J846">
        <v>93.45930233</v>
      </c>
      <c r="K846">
        <v>0.8</v>
      </c>
      <c r="L846">
        <v>0.2</v>
      </c>
      <c r="M846">
        <v>0.7</v>
      </c>
      <c r="N846">
        <v>643</v>
      </c>
      <c r="O846">
        <v>13</v>
      </c>
      <c r="P846">
        <v>32</v>
      </c>
      <c r="Q846">
        <v>6.54</v>
      </c>
      <c r="R846" t="s">
        <v>223</v>
      </c>
      <c r="S846">
        <v>2.85</v>
      </c>
      <c r="T846">
        <v>3.24</v>
      </c>
    </row>
    <row r="847" spans="1:21" x14ac:dyDescent="0.25">
      <c r="A847" s="2">
        <v>45253.838888888888</v>
      </c>
      <c r="B847" t="s">
        <v>309</v>
      </c>
      <c r="C847" t="s">
        <v>215</v>
      </c>
      <c r="D847">
        <v>2</v>
      </c>
      <c r="E847" t="s">
        <v>80</v>
      </c>
      <c r="F847" t="s">
        <v>388</v>
      </c>
      <c r="G847">
        <v>7.0323488049999998</v>
      </c>
      <c r="H847">
        <v>0</v>
      </c>
      <c r="I847">
        <v>7.0323488049999998</v>
      </c>
      <c r="J847">
        <v>92.967651200000006</v>
      </c>
      <c r="K847">
        <v>0.8</v>
      </c>
      <c r="L847">
        <v>0.2</v>
      </c>
      <c r="M847">
        <v>0.7</v>
      </c>
      <c r="N847">
        <v>661</v>
      </c>
      <c r="O847">
        <v>50</v>
      </c>
      <c r="P847">
        <v>0</v>
      </c>
      <c r="Q847">
        <v>7.03</v>
      </c>
      <c r="R847" t="s">
        <v>216</v>
      </c>
      <c r="S847">
        <v>0.2</v>
      </c>
      <c r="T847">
        <v>0.22</v>
      </c>
    </row>
    <row r="848" spans="1:21" x14ac:dyDescent="0.25">
      <c r="A848" s="2">
        <v>45254.006249999999</v>
      </c>
      <c r="B848" t="s">
        <v>309</v>
      </c>
      <c r="C848" t="s">
        <v>217</v>
      </c>
      <c r="D848">
        <v>2</v>
      </c>
      <c r="E848" t="s">
        <v>80</v>
      </c>
      <c r="F848" t="s">
        <v>388</v>
      </c>
      <c r="G848">
        <v>12.20238095</v>
      </c>
      <c r="H848">
        <v>0</v>
      </c>
      <c r="I848">
        <v>12.20238095</v>
      </c>
      <c r="J848">
        <v>87.797619049999994</v>
      </c>
      <c r="K848">
        <v>0.8</v>
      </c>
      <c r="L848">
        <v>0.2</v>
      </c>
      <c r="M848">
        <v>0.7</v>
      </c>
      <c r="N848">
        <v>590</v>
      </c>
      <c r="O848">
        <v>82</v>
      </c>
      <c r="P848">
        <v>0</v>
      </c>
      <c r="Q848">
        <v>12.2</v>
      </c>
      <c r="R848" t="s">
        <v>218</v>
      </c>
      <c r="S848">
        <v>0.33</v>
      </c>
      <c r="T848">
        <v>0.35</v>
      </c>
    </row>
    <row r="849" spans="1:21" x14ac:dyDescent="0.25">
      <c r="A849" s="2">
        <v>45316.518055555556</v>
      </c>
      <c r="B849" t="s">
        <v>309</v>
      </c>
      <c r="C849" t="s">
        <v>219</v>
      </c>
      <c r="D849">
        <v>3</v>
      </c>
      <c r="E849" t="s">
        <v>80</v>
      </c>
      <c r="F849" t="s">
        <v>388</v>
      </c>
      <c r="G849">
        <v>2.1207177810000002</v>
      </c>
      <c r="H849">
        <v>5.7096247959999999</v>
      </c>
      <c r="I849">
        <v>7.8303425769999997</v>
      </c>
      <c r="J849">
        <v>92.169657419999993</v>
      </c>
      <c r="K849">
        <v>0.8</v>
      </c>
      <c r="L849">
        <v>0.2</v>
      </c>
      <c r="M849">
        <v>0.7</v>
      </c>
      <c r="N849">
        <v>565</v>
      </c>
      <c r="O849">
        <v>13</v>
      </c>
      <c r="P849">
        <v>35</v>
      </c>
      <c r="Q849">
        <v>7.83</v>
      </c>
      <c r="R849" t="s">
        <v>225</v>
      </c>
      <c r="S849">
        <v>3.13</v>
      </c>
      <c r="T849">
        <v>4.42</v>
      </c>
    </row>
    <row r="850" spans="1:21" x14ac:dyDescent="0.25">
      <c r="A850" s="2">
        <v>45320.856249999997</v>
      </c>
      <c r="B850" t="s">
        <v>309</v>
      </c>
      <c r="C850" t="s">
        <v>221</v>
      </c>
      <c r="D850">
        <v>2</v>
      </c>
      <c r="E850" t="s">
        <v>80</v>
      </c>
      <c r="F850" t="s">
        <v>388</v>
      </c>
      <c r="G850">
        <v>9.4135802470000005</v>
      </c>
      <c r="H850">
        <v>0</v>
      </c>
      <c r="I850">
        <v>9.4135802470000005</v>
      </c>
      <c r="J850">
        <v>90.586419750000005</v>
      </c>
      <c r="K850">
        <v>0.8</v>
      </c>
      <c r="L850">
        <v>0.3</v>
      </c>
      <c r="M850">
        <v>0.7</v>
      </c>
      <c r="N850">
        <v>587</v>
      </c>
      <c r="O850">
        <v>61</v>
      </c>
      <c r="P850">
        <v>0</v>
      </c>
      <c r="Q850">
        <v>9.41</v>
      </c>
      <c r="R850" t="s">
        <v>278</v>
      </c>
      <c r="S850">
        <v>0.3</v>
      </c>
      <c r="T850">
        <v>0.32</v>
      </c>
    </row>
    <row r="851" spans="1:21" x14ac:dyDescent="0.25">
      <c r="A851" t="s">
        <v>19</v>
      </c>
      <c r="B851" t="s">
        <v>20</v>
      </c>
      <c r="C851" t="s">
        <v>306</v>
      </c>
      <c r="D851">
        <v>3</v>
      </c>
      <c r="E851" t="s">
        <v>80</v>
      </c>
      <c r="F851" t="s">
        <v>388</v>
      </c>
      <c r="G851">
        <v>14</v>
      </c>
      <c r="H851">
        <v>7</v>
      </c>
      <c r="I851">
        <f>G851+H851</f>
        <v>21</v>
      </c>
      <c r="J851">
        <f>100-G851-H851</f>
        <v>79</v>
      </c>
      <c r="K851" t="s">
        <v>19</v>
      </c>
      <c r="L851" t="s">
        <v>19</v>
      </c>
      <c r="M851" t="s">
        <v>19</v>
      </c>
      <c r="N851" t="s">
        <v>19</v>
      </c>
      <c r="O851" t="s">
        <v>19</v>
      </c>
      <c r="P851" t="s">
        <v>19</v>
      </c>
      <c r="Q851">
        <f>I851</f>
        <v>21</v>
      </c>
      <c r="R851" t="s">
        <v>19</v>
      </c>
      <c r="S851" t="s">
        <v>19</v>
      </c>
      <c r="T851" t="s">
        <v>19</v>
      </c>
    </row>
    <row r="852" spans="1:21" x14ac:dyDescent="0.25">
      <c r="A852" t="s">
        <v>19</v>
      </c>
      <c r="B852" t="s">
        <v>20</v>
      </c>
      <c r="C852" t="s">
        <v>320</v>
      </c>
      <c r="D852">
        <v>3</v>
      </c>
      <c r="E852" t="s">
        <v>80</v>
      </c>
      <c r="F852" t="s">
        <v>388</v>
      </c>
      <c r="G852">
        <v>0</v>
      </c>
      <c r="H852">
        <v>10</v>
      </c>
      <c r="I852">
        <f>100-J852</f>
        <v>10</v>
      </c>
      <c r="J852">
        <f>100-G852-H852</f>
        <v>90</v>
      </c>
      <c r="K852" t="s">
        <v>19</v>
      </c>
      <c r="L852" t="s">
        <v>19</v>
      </c>
      <c r="M852" t="s">
        <v>19</v>
      </c>
      <c r="N852" t="s">
        <v>19</v>
      </c>
      <c r="O852" t="s">
        <v>19</v>
      </c>
      <c r="P852" t="s">
        <v>19</v>
      </c>
      <c r="Q852">
        <f>I852</f>
        <v>10</v>
      </c>
      <c r="R852" t="s">
        <v>19</v>
      </c>
      <c r="S852" t="s">
        <v>19</v>
      </c>
      <c r="T852" t="s">
        <v>19</v>
      </c>
    </row>
    <row r="853" spans="1:21" x14ac:dyDescent="0.25">
      <c r="A853" s="2">
        <v>45323.556527777779</v>
      </c>
      <c r="B853" t="s">
        <v>309</v>
      </c>
      <c r="C853" t="s">
        <v>322</v>
      </c>
      <c r="D853">
        <v>3</v>
      </c>
      <c r="E853" t="s">
        <v>80</v>
      </c>
      <c r="F853" t="s">
        <v>388</v>
      </c>
      <c r="G853">
        <f>(O853/(N853+O853+P853))*100</f>
        <v>4.0662650602409638</v>
      </c>
      <c r="H853">
        <f>(P853/(O853+P853+N853))*100</f>
        <v>4.2168674698795181</v>
      </c>
      <c r="I853">
        <v>8.2799999999999994</v>
      </c>
      <c r="J853">
        <f>(N853/(P853+O853+N853))*100</f>
        <v>91.716867469879517</v>
      </c>
      <c r="K853">
        <v>0.8</v>
      </c>
      <c r="L853">
        <v>0.3</v>
      </c>
      <c r="M853">
        <v>0.7</v>
      </c>
      <c r="N853">
        <v>609</v>
      </c>
      <c r="O853">
        <v>27</v>
      </c>
      <c r="P853">
        <v>28</v>
      </c>
      <c r="Q853">
        <v>8.2799999999999994</v>
      </c>
      <c r="R853" t="s">
        <v>352</v>
      </c>
      <c r="S853">
        <v>2.6</v>
      </c>
      <c r="T853">
        <v>3.23</v>
      </c>
      <c r="U853">
        <v>24</v>
      </c>
    </row>
    <row r="854" spans="1:21" x14ac:dyDescent="0.25">
      <c r="A854" s="2">
        <v>45323.554629629631</v>
      </c>
      <c r="B854" t="s">
        <v>309</v>
      </c>
      <c r="C854" t="s">
        <v>322</v>
      </c>
      <c r="D854">
        <v>3</v>
      </c>
      <c r="E854" t="s">
        <v>80</v>
      </c>
      <c r="F854" t="s">
        <v>388</v>
      </c>
      <c r="G854">
        <f>(O854/(N854+O854+P854))*100</f>
        <v>4.497751124437781</v>
      </c>
      <c r="H854">
        <f>(P854/(O854+P854+N854))*100</f>
        <v>4.6476761619190405</v>
      </c>
      <c r="I854">
        <v>9.15</v>
      </c>
      <c r="J854">
        <f>(N854/(P854+O854+N854))*100</f>
        <v>90.854572713643179</v>
      </c>
      <c r="K854">
        <v>0.7</v>
      </c>
      <c r="L854">
        <v>0.3</v>
      </c>
      <c r="M854">
        <v>0.7</v>
      </c>
      <c r="N854">
        <v>606</v>
      </c>
      <c r="O854">
        <v>30</v>
      </c>
      <c r="P854">
        <v>31</v>
      </c>
      <c r="Q854">
        <v>9.15</v>
      </c>
      <c r="R854" t="s">
        <v>338</v>
      </c>
      <c r="S854">
        <v>2.6</v>
      </c>
      <c r="T854">
        <v>3.23</v>
      </c>
      <c r="U854">
        <v>21</v>
      </c>
    </row>
    <row r="855" spans="1:21" x14ac:dyDescent="0.25">
      <c r="A855" s="2">
        <v>45324.97965277778</v>
      </c>
      <c r="B855" t="s">
        <v>309</v>
      </c>
      <c r="C855" t="s">
        <v>368</v>
      </c>
      <c r="D855">
        <v>2</v>
      </c>
      <c r="E855" t="s">
        <v>80</v>
      </c>
      <c r="F855" t="s">
        <v>388</v>
      </c>
      <c r="G855">
        <f>(O855/(N855+O855+P855))*100</f>
        <v>10.856269113149846</v>
      </c>
      <c r="H855">
        <f>(P855/(O855+P855+N855))*100</f>
        <v>0</v>
      </c>
      <c r="I855">
        <v>10.86</v>
      </c>
      <c r="J855">
        <f>(N855/(P855+O855+N855))*100</f>
        <v>89.14373088685015</v>
      </c>
      <c r="K855">
        <v>0.8</v>
      </c>
      <c r="L855">
        <v>0.3</v>
      </c>
      <c r="M855">
        <v>0.7</v>
      </c>
      <c r="N855">
        <v>583</v>
      </c>
      <c r="O855">
        <v>71</v>
      </c>
      <c r="P855">
        <v>0</v>
      </c>
      <c r="Q855">
        <v>10.86</v>
      </c>
      <c r="R855" t="s">
        <v>359</v>
      </c>
      <c r="S855">
        <v>0.32</v>
      </c>
      <c r="T855">
        <v>0.35</v>
      </c>
    </row>
    <row r="856" spans="1:21" x14ac:dyDescent="0.25">
      <c r="A856" t="s">
        <v>19</v>
      </c>
      <c r="B856" t="s">
        <v>20</v>
      </c>
      <c r="C856" t="s">
        <v>306</v>
      </c>
      <c r="D856">
        <v>3</v>
      </c>
      <c r="E856" t="s">
        <v>81</v>
      </c>
      <c r="F856" t="s">
        <v>373</v>
      </c>
      <c r="G856" t="s">
        <v>321</v>
      </c>
      <c r="H856" t="s">
        <v>321</v>
      </c>
      <c r="I856">
        <v>60</v>
      </c>
      <c r="J856">
        <v>40</v>
      </c>
      <c r="K856" t="s">
        <v>19</v>
      </c>
      <c r="L856" t="s">
        <v>19</v>
      </c>
      <c r="M856" t="s">
        <v>19</v>
      </c>
      <c r="N856" t="s">
        <v>19</v>
      </c>
      <c r="O856" t="s">
        <v>19</v>
      </c>
      <c r="P856" t="s">
        <v>19</v>
      </c>
      <c r="Q856">
        <f>I856</f>
        <v>60</v>
      </c>
      <c r="R856" t="s">
        <v>19</v>
      </c>
      <c r="S856" t="s">
        <v>19</v>
      </c>
      <c r="T856" t="s">
        <v>19</v>
      </c>
    </row>
    <row r="857" spans="1:21" x14ac:dyDescent="0.25">
      <c r="A857" t="s">
        <v>19</v>
      </c>
      <c r="B857" t="s">
        <v>20</v>
      </c>
      <c r="C857" t="s">
        <v>308</v>
      </c>
      <c r="D857">
        <v>3</v>
      </c>
      <c r="E857" t="s">
        <v>81</v>
      </c>
      <c r="F857" t="s">
        <v>373</v>
      </c>
      <c r="G857">
        <v>63</v>
      </c>
      <c r="H857">
        <v>4</v>
      </c>
      <c r="I857">
        <f>G857+H857</f>
        <v>67</v>
      </c>
      <c r="J857">
        <f>100-G857-H857</f>
        <v>33</v>
      </c>
      <c r="K857" t="s">
        <v>19</v>
      </c>
      <c r="L857" t="s">
        <v>19</v>
      </c>
      <c r="M857" t="s">
        <v>19</v>
      </c>
      <c r="N857" t="s">
        <v>19</v>
      </c>
      <c r="O857" t="s">
        <v>19</v>
      </c>
      <c r="P857" t="s">
        <v>19</v>
      </c>
      <c r="Q857">
        <f>I857</f>
        <v>67</v>
      </c>
      <c r="R857" t="s">
        <v>19</v>
      </c>
      <c r="S857" t="s">
        <v>19</v>
      </c>
      <c r="T857" t="s">
        <v>19</v>
      </c>
    </row>
    <row r="858" spans="1:21" x14ac:dyDescent="0.25">
      <c r="A858" t="s">
        <v>19</v>
      </c>
      <c r="B858" t="s">
        <v>20</v>
      </c>
      <c r="C858" t="s">
        <v>22</v>
      </c>
      <c r="D858">
        <v>3</v>
      </c>
      <c r="E858" t="s">
        <v>81</v>
      </c>
      <c r="F858" t="s">
        <v>373</v>
      </c>
      <c r="G858">
        <v>85</v>
      </c>
      <c r="H858">
        <v>3</v>
      </c>
      <c r="I858">
        <f>G858+H858</f>
        <v>88</v>
      </c>
      <c r="J858">
        <f>100-G858-H858</f>
        <v>12</v>
      </c>
      <c r="K858" t="s">
        <v>19</v>
      </c>
      <c r="L858" t="s">
        <v>19</v>
      </c>
      <c r="M858" t="s">
        <v>19</v>
      </c>
      <c r="N858" t="s">
        <v>19</v>
      </c>
      <c r="O858" t="s">
        <v>19</v>
      </c>
      <c r="P858" t="s">
        <v>19</v>
      </c>
      <c r="Q858">
        <f>I858</f>
        <v>88</v>
      </c>
      <c r="R858" t="s">
        <v>19</v>
      </c>
      <c r="S858" t="s">
        <v>19</v>
      </c>
      <c r="T858" t="s">
        <v>19</v>
      </c>
    </row>
    <row r="859" spans="1:21" x14ac:dyDescent="0.25">
      <c r="A859" t="s">
        <v>19</v>
      </c>
      <c r="B859" t="s">
        <v>20</v>
      </c>
      <c r="C859" t="s">
        <v>305</v>
      </c>
      <c r="D859">
        <v>3</v>
      </c>
      <c r="E859" t="s">
        <v>81</v>
      </c>
      <c r="F859" t="s">
        <v>373</v>
      </c>
      <c r="G859">
        <v>47</v>
      </c>
      <c r="H859">
        <v>3</v>
      </c>
      <c r="I859">
        <f>G859+H859</f>
        <v>50</v>
      </c>
      <c r="J859">
        <f>100-G859-H859</f>
        <v>50</v>
      </c>
      <c r="K859" t="s">
        <v>19</v>
      </c>
      <c r="L859" t="s">
        <v>19</v>
      </c>
      <c r="M859" t="s">
        <v>19</v>
      </c>
      <c r="N859" t="s">
        <v>19</v>
      </c>
      <c r="O859" t="s">
        <v>19</v>
      </c>
      <c r="P859" t="s">
        <v>19</v>
      </c>
      <c r="Q859">
        <f>I859</f>
        <v>50</v>
      </c>
      <c r="R859" t="s">
        <v>19</v>
      </c>
      <c r="S859" t="s">
        <v>19</v>
      </c>
      <c r="T859" t="s">
        <v>19</v>
      </c>
    </row>
    <row r="860" spans="1:21" x14ac:dyDescent="0.25">
      <c r="A860" t="s">
        <v>19</v>
      </c>
      <c r="B860" t="s">
        <v>20</v>
      </c>
      <c r="C860" t="s">
        <v>307</v>
      </c>
      <c r="D860">
        <v>3</v>
      </c>
      <c r="E860" t="s">
        <v>81</v>
      </c>
      <c r="F860" t="s">
        <v>373</v>
      </c>
      <c r="G860">
        <v>17</v>
      </c>
      <c r="H860">
        <v>3</v>
      </c>
      <c r="I860">
        <f>G860+H860</f>
        <v>20</v>
      </c>
      <c r="J860">
        <f>100-G860-H860</f>
        <v>80</v>
      </c>
      <c r="K860" t="s">
        <v>19</v>
      </c>
      <c r="L860" t="s">
        <v>19</v>
      </c>
      <c r="M860" t="s">
        <v>19</v>
      </c>
      <c r="N860" t="s">
        <v>19</v>
      </c>
      <c r="O860" t="s">
        <v>19</v>
      </c>
      <c r="P860" t="s">
        <v>19</v>
      </c>
      <c r="Q860">
        <f>I860</f>
        <v>20</v>
      </c>
      <c r="R860" t="s">
        <v>19</v>
      </c>
      <c r="S860" t="s">
        <v>19</v>
      </c>
      <c r="T860" t="s">
        <v>19</v>
      </c>
    </row>
    <row r="861" spans="1:21" x14ac:dyDescent="0.25">
      <c r="A861" s="2">
        <v>45253.713888888888</v>
      </c>
      <c r="B861" t="s">
        <v>309</v>
      </c>
      <c r="C861" t="s">
        <v>213</v>
      </c>
      <c r="D861">
        <v>3</v>
      </c>
      <c r="E861" t="s">
        <v>81</v>
      </c>
      <c r="F861" t="s">
        <v>373</v>
      </c>
      <c r="G861">
        <v>21.748400849999999</v>
      </c>
      <c r="H861">
        <v>16.844349680000001</v>
      </c>
      <c r="I861">
        <v>38.592750530000004</v>
      </c>
      <c r="J861">
        <v>61.407249469999996</v>
      </c>
      <c r="K861">
        <v>0.8</v>
      </c>
      <c r="L861">
        <v>0.2</v>
      </c>
      <c r="M861">
        <v>0.7</v>
      </c>
      <c r="N861">
        <v>288</v>
      </c>
      <c r="O861">
        <v>102</v>
      </c>
      <c r="P861">
        <v>79</v>
      </c>
      <c r="Q861">
        <v>38.590000000000003</v>
      </c>
      <c r="R861" t="s">
        <v>279</v>
      </c>
      <c r="S861">
        <v>2.93</v>
      </c>
      <c r="T861">
        <v>3.61</v>
      </c>
    </row>
    <row r="862" spans="1:21" x14ac:dyDescent="0.25">
      <c r="A862" s="2">
        <v>45253.926388888889</v>
      </c>
      <c r="B862" t="s">
        <v>309</v>
      </c>
      <c r="C862" t="s">
        <v>215</v>
      </c>
      <c r="D862">
        <v>2</v>
      </c>
      <c r="E862" t="s">
        <v>81</v>
      </c>
      <c r="F862" t="s">
        <v>373</v>
      </c>
      <c r="G862">
        <v>21.023765999999998</v>
      </c>
      <c r="H862">
        <v>0</v>
      </c>
      <c r="I862">
        <v>21.023765999999998</v>
      </c>
      <c r="J862">
        <v>78.976234000000005</v>
      </c>
      <c r="K862">
        <v>0.8</v>
      </c>
      <c r="L862">
        <v>0.2</v>
      </c>
      <c r="M862">
        <v>0.7</v>
      </c>
      <c r="N862">
        <v>432</v>
      </c>
      <c r="O862">
        <v>115</v>
      </c>
      <c r="P862">
        <v>0</v>
      </c>
      <c r="Q862">
        <v>21.02</v>
      </c>
      <c r="R862" t="s">
        <v>224</v>
      </c>
      <c r="S862">
        <v>0.51</v>
      </c>
      <c r="T862">
        <v>0.54</v>
      </c>
    </row>
    <row r="863" spans="1:21" x14ac:dyDescent="0.25">
      <c r="A863" s="2">
        <v>45254.1</v>
      </c>
      <c r="B863" t="s">
        <v>309</v>
      </c>
      <c r="C863" t="s">
        <v>217</v>
      </c>
      <c r="D863">
        <v>2</v>
      </c>
      <c r="E863" t="s">
        <v>81</v>
      </c>
      <c r="F863" t="s">
        <v>373</v>
      </c>
      <c r="G863">
        <v>21.10912343</v>
      </c>
      <c r="H863">
        <v>0</v>
      </c>
      <c r="I863">
        <v>21.10912343</v>
      </c>
      <c r="J863">
        <v>78.890876570000003</v>
      </c>
      <c r="K863">
        <v>0.8</v>
      </c>
      <c r="L863">
        <v>0.2</v>
      </c>
      <c r="M863">
        <v>0.7</v>
      </c>
      <c r="N863">
        <v>441</v>
      </c>
      <c r="O863">
        <v>118</v>
      </c>
      <c r="P863">
        <v>0</v>
      </c>
      <c r="Q863">
        <v>21.11</v>
      </c>
      <c r="R863" t="s">
        <v>225</v>
      </c>
      <c r="S863">
        <v>0.55000000000000004</v>
      </c>
      <c r="T863">
        <v>0.57999999999999996</v>
      </c>
    </row>
    <row r="864" spans="1:21" x14ac:dyDescent="0.25">
      <c r="A864" s="2">
        <v>45316.436805555553</v>
      </c>
      <c r="B864" t="s">
        <v>309</v>
      </c>
      <c r="C864" t="s">
        <v>219</v>
      </c>
      <c r="D864">
        <v>3</v>
      </c>
      <c r="E864" t="s">
        <v>81</v>
      </c>
      <c r="F864" t="s">
        <v>373</v>
      </c>
      <c r="G864">
        <v>19.947506560000001</v>
      </c>
      <c r="H864">
        <v>0.26246719200000002</v>
      </c>
      <c r="I864">
        <v>20.20997375</v>
      </c>
      <c r="J864">
        <v>79.790026249999997</v>
      </c>
      <c r="K864">
        <v>0.8</v>
      </c>
      <c r="L864">
        <v>0.2</v>
      </c>
      <c r="M864">
        <v>0.7</v>
      </c>
      <c r="N864">
        <v>304</v>
      </c>
      <c r="O864">
        <v>76</v>
      </c>
      <c r="P864">
        <v>1</v>
      </c>
      <c r="Q864">
        <v>20.21</v>
      </c>
      <c r="R864" t="s">
        <v>280</v>
      </c>
      <c r="S864">
        <v>3.26</v>
      </c>
      <c r="T864">
        <v>4.68</v>
      </c>
    </row>
    <row r="865" spans="1:21" x14ac:dyDescent="0.25">
      <c r="A865" s="2">
        <v>45320.958333333336</v>
      </c>
      <c r="B865" t="s">
        <v>309</v>
      </c>
      <c r="C865" t="s">
        <v>221</v>
      </c>
      <c r="D865">
        <v>2</v>
      </c>
      <c r="E865" t="s">
        <v>81</v>
      </c>
      <c r="F865" t="s">
        <v>373</v>
      </c>
      <c r="G865">
        <v>39.867841409999997</v>
      </c>
      <c r="H865">
        <v>0</v>
      </c>
      <c r="I865">
        <v>39.867841409999997</v>
      </c>
      <c r="J865">
        <v>60.132158590000003</v>
      </c>
      <c r="K865">
        <v>0.8</v>
      </c>
      <c r="L865">
        <v>0.3</v>
      </c>
      <c r="M865">
        <v>0.7</v>
      </c>
      <c r="N865">
        <v>273</v>
      </c>
      <c r="O865">
        <v>181</v>
      </c>
      <c r="P865">
        <v>0</v>
      </c>
      <c r="Q865">
        <v>39.869999999999997</v>
      </c>
      <c r="R865" t="s">
        <v>232</v>
      </c>
      <c r="S865">
        <v>1.1000000000000001</v>
      </c>
      <c r="T865">
        <v>1.1599999999999999</v>
      </c>
    </row>
    <row r="866" spans="1:21" x14ac:dyDescent="0.25">
      <c r="A866" t="s">
        <v>19</v>
      </c>
      <c r="B866" t="s">
        <v>20</v>
      </c>
      <c r="C866" t="s">
        <v>320</v>
      </c>
      <c r="D866">
        <v>3</v>
      </c>
      <c r="E866" t="s">
        <v>81</v>
      </c>
      <c r="F866" t="s">
        <v>373</v>
      </c>
      <c r="G866">
        <v>75</v>
      </c>
      <c r="H866">
        <v>0</v>
      </c>
      <c r="I866">
        <f>100-J866</f>
        <v>75</v>
      </c>
      <c r="J866">
        <f>100-G866-H866</f>
        <v>25</v>
      </c>
      <c r="K866" t="s">
        <v>19</v>
      </c>
      <c r="L866" t="s">
        <v>19</v>
      </c>
      <c r="M866" t="s">
        <v>19</v>
      </c>
      <c r="N866" t="s">
        <v>19</v>
      </c>
      <c r="O866" t="s">
        <v>19</v>
      </c>
      <c r="P866" t="s">
        <v>19</v>
      </c>
      <c r="Q866">
        <f>I866</f>
        <v>75</v>
      </c>
      <c r="R866" t="s">
        <v>19</v>
      </c>
      <c r="S866" t="s">
        <v>19</v>
      </c>
      <c r="T866" t="s">
        <v>19</v>
      </c>
    </row>
    <row r="867" spans="1:21" x14ac:dyDescent="0.25">
      <c r="A867" s="2">
        <v>45323.557708333334</v>
      </c>
      <c r="B867" t="s">
        <v>309</v>
      </c>
      <c r="C867" t="s">
        <v>322</v>
      </c>
      <c r="D867">
        <v>3</v>
      </c>
      <c r="E867" t="s">
        <v>81</v>
      </c>
      <c r="F867" t="s">
        <v>373</v>
      </c>
      <c r="G867">
        <f>(O867/(N867+O867+P867))*100</f>
        <v>38.97550111358575</v>
      </c>
      <c r="H867">
        <f>(P867/(O867+P867+N867))*100</f>
        <v>0</v>
      </c>
      <c r="I867">
        <f>((O867+P867)/(P867+O867+N867))*100</f>
        <v>38.97550111358575</v>
      </c>
      <c r="J867">
        <f>(N867/(P867+O867+N867))*100</f>
        <v>61.024498886414257</v>
      </c>
      <c r="K867">
        <v>0.8</v>
      </c>
      <c r="L867">
        <v>0.3</v>
      </c>
      <c r="M867">
        <v>0.7</v>
      </c>
      <c r="N867">
        <v>274</v>
      </c>
      <c r="O867">
        <v>175</v>
      </c>
      <c r="P867">
        <v>0</v>
      </c>
      <c r="Q867">
        <v>38.979999999999997</v>
      </c>
      <c r="R867" t="s">
        <v>244</v>
      </c>
      <c r="S867">
        <v>2.5</v>
      </c>
      <c r="T867">
        <v>2.78</v>
      </c>
      <c r="U867">
        <v>65</v>
      </c>
    </row>
    <row r="868" spans="1:21" x14ac:dyDescent="0.25">
      <c r="A868" s="2">
        <v>45323.560104166667</v>
      </c>
      <c r="B868" t="s">
        <v>309</v>
      </c>
      <c r="C868" t="s">
        <v>322</v>
      </c>
      <c r="D868">
        <v>3</v>
      </c>
      <c r="E868" t="s">
        <v>81</v>
      </c>
      <c r="F868" t="s">
        <v>373</v>
      </c>
      <c r="G868">
        <f>(O868/(N868+O868+P868))*100</f>
        <v>40.305010893246184</v>
      </c>
      <c r="H868">
        <f>(P868/(O868+P868+N868))*100</f>
        <v>0</v>
      </c>
      <c r="I868">
        <f>((O868+P868)/(P868+O868+N868))*100</f>
        <v>40.305010893246184</v>
      </c>
      <c r="J868">
        <f>(N868/(P868+O868+N868))*100</f>
        <v>59.694989106753816</v>
      </c>
      <c r="K868">
        <v>0.7</v>
      </c>
      <c r="L868">
        <v>0.3</v>
      </c>
      <c r="M868">
        <v>0.7</v>
      </c>
      <c r="N868">
        <v>274</v>
      </c>
      <c r="O868">
        <v>185</v>
      </c>
      <c r="P868">
        <v>0</v>
      </c>
      <c r="Q868">
        <v>40.31</v>
      </c>
      <c r="R868" t="s">
        <v>256</v>
      </c>
      <c r="S868">
        <v>2.5</v>
      </c>
      <c r="T868">
        <v>2.78</v>
      </c>
      <c r="U868">
        <v>55</v>
      </c>
    </row>
    <row r="869" spans="1:21" x14ac:dyDescent="0.25">
      <c r="A869" s="2">
        <v>45325.131273148145</v>
      </c>
      <c r="B869" t="s">
        <v>309</v>
      </c>
      <c r="C869" t="s">
        <v>368</v>
      </c>
      <c r="D869">
        <v>2</v>
      </c>
      <c r="E869" t="s">
        <v>81</v>
      </c>
      <c r="F869" t="s">
        <v>373</v>
      </c>
      <c r="G869">
        <f>(O869/(N869+O869+P869))*100</f>
        <v>33.620689655172413</v>
      </c>
      <c r="H869">
        <f>(P869/(O869+P869+N869))*100</f>
        <v>0</v>
      </c>
      <c r="I869">
        <v>33.619999999999997</v>
      </c>
      <c r="J869">
        <f>(N869/(P869+O869+N869))*100</f>
        <v>66.379310344827587</v>
      </c>
      <c r="K869">
        <v>0.8</v>
      </c>
      <c r="L869">
        <v>0.3</v>
      </c>
      <c r="M869">
        <v>0.7</v>
      </c>
      <c r="N869">
        <v>308</v>
      </c>
      <c r="O869">
        <v>156</v>
      </c>
      <c r="P869">
        <v>0</v>
      </c>
      <c r="Q869">
        <v>33.619999999999997</v>
      </c>
      <c r="R869" t="s">
        <v>369</v>
      </c>
      <c r="S869">
        <v>0.87</v>
      </c>
      <c r="T869">
        <v>0.91</v>
      </c>
    </row>
    <row r="870" spans="1:21" x14ac:dyDescent="0.25">
      <c r="A870" t="s">
        <v>19</v>
      </c>
      <c r="B870" t="s">
        <v>20</v>
      </c>
      <c r="C870" t="s">
        <v>308</v>
      </c>
      <c r="D870">
        <v>3</v>
      </c>
      <c r="E870" t="s">
        <v>82</v>
      </c>
      <c r="F870" t="s">
        <v>388</v>
      </c>
      <c r="G870">
        <v>10</v>
      </c>
      <c r="H870">
        <v>35</v>
      </c>
      <c r="I870">
        <f>G870+H870</f>
        <v>45</v>
      </c>
      <c r="J870">
        <f>100-G870-H870</f>
        <v>55</v>
      </c>
      <c r="K870" t="s">
        <v>19</v>
      </c>
      <c r="L870" t="s">
        <v>19</v>
      </c>
      <c r="M870" t="s">
        <v>19</v>
      </c>
      <c r="N870" t="s">
        <v>19</v>
      </c>
      <c r="O870" t="s">
        <v>19</v>
      </c>
      <c r="P870" t="s">
        <v>19</v>
      </c>
      <c r="Q870">
        <f>I870</f>
        <v>45</v>
      </c>
      <c r="R870" t="s">
        <v>19</v>
      </c>
      <c r="S870" t="s">
        <v>19</v>
      </c>
      <c r="T870" t="s">
        <v>19</v>
      </c>
    </row>
    <row r="871" spans="1:21" x14ac:dyDescent="0.25">
      <c r="A871" t="s">
        <v>19</v>
      </c>
      <c r="B871" t="s">
        <v>20</v>
      </c>
      <c r="C871" t="s">
        <v>22</v>
      </c>
      <c r="D871">
        <v>3</v>
      </c>
      <c r="E871" t="s">
        <v>82</v>
      </c>
      <c r="F871" t="s">
        <v>388</v>
      </c>
      <c r="G871">
        <v>70</v>
      </c>
      <c r="H871">
        <v>5</v>
      </c>
      <c r="I871">
        <f>G871+H871</f>
        <v>75</v>
      </c>
      <c r="J871">
        <f>100-G871-H871</f>
        <v>25</v>
      </c>
      <c r="K871" t="s">
        <v>19</v>
      </c>
      <c r="L871" t="s">
        <v>19</v>
      </c>
      <c r="M871" t="s">
        <v>19</v>
      </c>
      <c r="N871" t="s">
        <v>19</v>
      </c>
      <c r="O871" t="s">
        <v>19</v>
      </c>
      <c r="P871" t="s">
        <v>19</v>
      </c>
      <c r="Q871">
        <f>I871</f>
        <v>75</v>
      </c>
      <c r="R871" t="s">
        <v>19</v>
      </c>
      <c r="S871" t="s">
        <v>19</v>
      </c>
      <c r="T871" t="s">
        <v>19</v>
      </c>
    </row>
    <row r="872" spans="1:21" x14ac:dyDescent="0.25">
      <c r="A872" t="s">
        <v>19</v>
      </c>
      <c r="B872" t="s">
        <v>20</v>
      </c>
      <c r="C872" t="s">
        <v>305</v>
      </c>
      <c r="D872">
        <v>3</v>
      </c>
      <c r="E872" t="s">
        <v>82</v>
      </c>
      <c r="F872" t="s">
        <v>388</v>
      </c>
      <c r="G872">
        <v>70</v>
      </c>
      <c r="H872">
        <v>10</v>
      </c>
      <c r="I872">
        <f>G872+H872</f>
        <v>80</v>
      </c>
      <c r="J872">
        <f>100-G872-H872</f>
        <v>20</v>
      </c>
      <c r="K872" t="s">
        <v>19</v>
      </c>
      <c r="L872" t="s">
        <v>19</v>
      </c>
      <c r="M872" t="s">
        <v>19</v>
      </c>
      <c r="N872" t="s">
        <v>19</v>
      </c>
      <c r="O872" t="s">
        <v>19</v>
      </c>
      <c r="P872" t="s">
        <v>19</v>
      </c>
      <c r="Q872">
        <f>I872</f>
        <v>80</v>
      </c>
      <c r="R872" t="s">
        <v>19</v>
      </c>
      <c r="S872" t="s">
        <v>19</v>
      </c>
      <c r="T872" t="s">
        <v>19</v>
      </c>
    </row>
    <row r="873" spans="1:21" x14ac:dyDescent="0.25">
      <c r="A873" t="s">
        <v>19</v>
      </c>
      <c r="B873" t="s">
        <v>20</v>
      </c>
      <c r="C873" t="s">
        <v>307</v>
      </c>
      <c r="D873">
        <v>3</v>
      </c>
      <c r="E873" t="s">
        <v>82</v>
      </c>
      <c r="F873" t="s">
        <v>388</v>
      </c>
      <c r="G873">
        <v>48</v>
      </c>
      <c r="H873">
        <v>12</v>
      </c>
      <c r="I873">
        <f>G873+H873</f>
        <v>60</v>
      </c>
      <c r="J873">
        <f>100-G873-H873</f>
        <v>40</v>
      </c>
      <c r="K873" t="s">
        <v>19</v>
      </c>
      <c r="L873" t="s">
        <v>19</v>
      </c>
      <c r="M873" t="s">
        <v>19</v>
      </c>
      <c r="N873" t="s">
        <v>19</v>
      </c>
      <c r="O873" t="s">
        <v>19</v>
      </c>
      <c r="P873" t="s">
        <v>19</v>
      </c>
      <c r="Q873">
        <f>I873</f>
        <v>60</v>
      </c>
      <c r="R873" t="s">
        <v>19</v>
      </c>
      <c r="S873" t="s">
        <v>19</v>
      </c>
      <c r="T873" t="s">
        <v>19</v>
      </c>
    </row>
    <row r="874" spans="1:21" x14ac:dyDescent="0.25">
      <c r="A874" s="2">
        <v>45253.551388888889</v>
      </c>
      <c r="B874" t="s">
        <v>309</v>
      </c>
      <c r="C874" t="s">
        <v>213</v>
      </c>
      <c r="D874">
        <v>3</v>
      </c>
      <c r="E874" t="s">
        <v>82</v>
      </c>
      <c r="F874" t="s">
        <v>388</v>
      </c>
      <c r="G874">
        <v>2.5179856119999999</v>
      </c>
      <c r="H874">
        <v>16.90647482</v>
      </c>
      <c r="I874">
        <v>19.42446043</v>
      </c>
      <c r="J874">
        <v>80.575539570000004</v>
      </c>
      <c r="K874">
        <v>0.8</v>
      </c>
      <c r="L874">
        <v>0.2</v>
      </c>
      <c r="M874">
        <v>0.7</v>
      </c>
      <c r="N874">
        <v>448</v>
      </c>
      <c r="O874">
        <v>14</v>
      </c>
      <c r="P874">
        <v>94</v>
      </c>
      <c r="Q874">
        <v>19.420000000000002</v>
      </c>
      <c r="R874" t="s">
        <v>240</v>
      </c>
      <c r="S874">
        <v>2.56</v>
      </c>
      <c r="T874">
        <v>2.94</v>
      </c>
    </row>
    <row r="875" spans="1:21" x14ac:dyDescent="0.25">
      <c r="A875" s="2">
        <v>45253.839583333334</v>
      </c>
      <c r="B875" t="s">
        <v>309</v>
      </c>
      <c r="C875" t="s">
        <v>215</v>
      </c>
      <c r="D875">
        <v>2</v>
      </c>
      <c r="E875" t="s">
        <v>82</v>
      </c>
      <c r="F875" t="s">
        <v>388</v>
      </c>
      <c r="G875">
        <v>70.58823529</v>
      </c>
      <c r="H875">
        <v>0</v>
      </c>
      <c r="I875">
        <v>70.58823529</v>
      </c>
      <c r="J875">
        <v>29.41176471</v>
      </c>
      <c r="K875">
        <v>0.8</v>
      </c>
      <c r="L875">
        <v>0.2</v>
      </c>
      <c r="M875">
        <v>0.7</v>
      </c>
      <c r="N875">
        <v>195</v>
      </c>
      <c r="O875">
        <v>468</v>
      </c>
      <c r="P875">
        <v>0</v>
      </c>
      <c r="Q875">
        <v>70.59</v>
      </c>
      <c r="R875" t="s">
        <v>232</v>
      </c>
      <c r="S875">
        <v>1.62</v>
      </c>
      <c r="T875">
        <v>1.79</v>
      </c>
    </row>
    <row r="876" spans="1:21" x14ac:dyDescent="0.25">
      <c r="A876" s="2">
        <v>45254.006944444445</v>
      </c>
      <c r="B876" t="s">
        <v>309</v>
      </c>
      <c r="C876" t="s">
        <v>217</v>
      </c>
      <c r="D876">
        <v>2</v>
      </c>
      <c r="E876" t="s">
        <v>82</v>
      </c>
      <c r="F876" t="s">
        <v>388</v>
      </c>
      <c r="G876">
        <v>67.599410899999995</v>
      </c>
      <c r="H876">
        <v>0</v>
      </c>
      <c r="I876">
        <v>67.599410899999995</v>
      </c>
      <c r="J876">
        <v>32.400589099999998</v>
      </c>
      <c r="K876">
        <v>0.8</v>
      </c>
      <c r="L876">
        <v>0.2</v>
      </c>
      <c r="M876">
        <v>0.7</v>
      </c>
      <c r="N876">
        <v>220</v>
      </c>
      <c r="O876">
        <v>459</v>
      </c>
      <c r="P876">
        <v>0</v>
      </c>
      <c r="Q876">
        <v>67.599999999999994</v>
      </c>
      <c r="R876" t="s">
        <v>281</v>
      </c>
      <c r="S876">
        <v>1.69</v>
      </c>
      <c r="T876">
        <v>1.82</v>
      </c>
    </row>
    <row r="877" spans="1:21" x14ac:dyDescent="0.25">
      <c r="A877" s="2">
        <v>45316.518750000003</v>
      </c>
      <c r="B877" t="s">
        <v>309</v>
      </c>
      <c r="C877" t="s">
        <v>219</v>
      </c>
      <c r="D877">
        <v>3</v>
      </c>
      <c r="E877" t="s">
        <v>82</v>
      </c>
      <c r="F877" t="s">
        <v>388</v>
      </c>
      <c r="G877">
        <v>3.9473684210000002</v>
      </c>
      <c r="H877">
        <v>13.42105263</v>
      </c>
      <c r="I877">
        <v>17.368421049999998</v>
      </c>
      <c r="J877">
        <v>82.631578950000005</v>
      </c>
      <c r="K877">
        <v>0.8</v>
      </c>
      <c r="L877">
        <v>0.2</v>
      </c>
      <c r="M877">
        <v>0.7</v>
      </c>
      <c r="N877">
        <v>314</v>
      </c>
      <c r="O877">
        <v>15</v>
      </c>
      <c r="P877">
        <v>51</v>
      </c>
      <c r="Q877">
        <v>17.37</v>
      </c>
      <c r="R877" t="s">
        <v>225</v>
      </c>
      <c r="S877">
        <v>3.05</v>
      </c>
      <c r="T877">
        <v>4.46</v>
      </c>
    </row>
    <row r="878" spans="1:21" x14ac:dyDescent="0.25">
      <c r="A878" s="2">
        <v>45320.857638888891</v>
      </c>
      <c r="B878" t="s">
        <v>309</v>
      </c>
      <c r="C878" t="s">
        <v>221</v>
      </c>
      <c r="D878">
        <v>2</v>
      </c>
      <c r="E878" t="s">
        <v>82</v>
      </c>
      <c r="F878" t="s">
        <v>388</v>
      </c>
      <c r="G878">
        <v>41.039426519999999</v>
      </c>
      <c r="H878">
        <v>0</v>
      </c>
      <c r="I878">
        <v>41.039426519999999</v>
      </c>
      <c r="J878">
        <v>58.960573480000001</v>
      </c>
      <c r="K878">
        <v>0.8</v>
      </c>
      <c r="L878">
        <v>0.3</v>
      </c>
      <c r="M878">
        <v>0.7</v>
      </c>
      <c r="N878">
        <v>329</v>
      </c>
      <c r="O878">
        <v>229</v>
      </c>
      <c r="P878">
        <v>0</v>
      </c>
      <c r="Q878">
        <v>41.04</v>
      </c>
      <c r="R878" t="s">
        <v>275</v>
      </c>
      <c r="S878">
        <v>1.1000000000000001</v>
      </c>
      <c r="T878">
        <v>1.21</v>
      </c>
    </row>
    <row r="879" spans="1:21" x14ac:dyDescent="0.25">
      <c r="A879" t="s">
        <v>19</v>
      </c>
      <c r="B879" t="s">
        <v>20</v>
      </c>
      <c r="C879" t="s">
        <v>306</v>
      </c>
      <c r="D879">
        <v>3</v>
      </c>
      <c r="E879" t="s">
        <v>82</v>
      </c>
      <c r="F879" t="s">
        <v>388</v>
      </c>
      <c r="G879">
        <v>45</v>
      </c>
      <c r="H879">
        <v>40</v>
      </c>
      <c r="I879">
        <v>85</v>
      </c>
      <c r="J879">
        <v>15</v>
      </c>
      <c r="K879" t="s">
        <v>19</v>
      </c>
      <c r="L879" t="s">
        <v>19</v>
      </c>
      <c r="M879" t="s">
        <v>19</v>
      </c>
      <c r="N879" t="s">
        <v>19</v>
      </c>
      <c r="O879" t="s">
        <v>19</v>
      </c>
      <c r="P879" t="s">
        <v>19</v>
      </c>
      <c r="Q879">
        <f>I879</f>
        <v>85</v>
      </c>
      <c r="R879" t="s">
        <v>19</v>
      </c>
      <c r="S879" t="s">
        <v>19</v>
      </c>
      <c r="T879" t="s">
        <v>19</v>
      </c>
    </row>
    <row r="880" spans="1:21" x14ac:dyDescent="0.25">
      <c r="A880" t="s">
        <v>19</v>
      </c>
      <c r="B880" t="s">
        <v>20</v>
      </c>
      <c r="C880" t="s">
        <v>320</v>
      </c>
      <c r="D880">
        <v>3</v>
      </c>
      <c r="E880" t="s">
        <v>82</v>
      </c>
      <c r="F880" t="s">
        <v>388</v>
      </c>
      <c r="G880">
        <v>35</v>
      </c>
      <c r="H880">
        <v>5</v>
      </c>
      <c r="I880">
        <f>100-J880</f>
        <v>40</v>
      </c>
      <c r="J880">
        <f>100-G880-H880</f>
        <v>60</v>
      </c>
      <c r="K880" t="s">
        <v>19</v>
      </c>
      <c r="L880" t="s">
        <v>19</v>
      </c>
      <c r="M880" t="s">
        <v>19</v>
      </c>
      <c r="N880" t="s">
        <v>19</v>
      </c>
      <c r="O880" t="s">
        <v>19</v>
      </c>
      <c r="P880" t="s">
        <v>19</v>
      </c>
      <c r="Q880">
        <f>I880</f>
        <v>40</v>
      </c>
      <c r="R880" t="s">
        <v>19</v>
      </c>
      <c r="S880" t="s">
        <v>19</v>
      </c>
      <c r="T880" t="s">
        <v>19</v>
      </c>
    </row>
    <row r="881" spans="1:21" x14ac:dyDescent="0.25">
      <c r="A881" s="2">
        <v>45323.558333333334</v>
      </c>
      <c r="B881" t="s">
        <v>309</v>
      </c>
      <c r="C881" t="s">
        <v>322</v>
      </c>
      <c r="D881">
        <v>3</v>
      </c>
      <c r="E881" t="s">
        <v>82</v>
      </c>
      <c r="F881" t="s">
        <v>388</v>
      </c>
      <c r="G881">
        <f>(O881/(N881+O881+P881))*100</f>
        <v>14.003590664272892</v>
      </c>
      <c r="H881">
        <f>(P881/(O881+P881+N881))*100</f>
        <v>4.3087971274685817</v>
      </c>
      <c r="I881">
        <v>18.309999999999999</v>
      </c>
      <c r="J881">
        <f>(N881/(P881+O881+N881))*100</f>
        <v>81.687612208258528</v>
      </c>
      <c r="K881">
        <v>0.8</v>
      </c>
      <c r="L881">
        <v>0.3</v>
      </c>
      <c r="M881">
        <v>0.7</v>
      </c>
      <c r="N881">
        <v>455</v>
      </c>
      <c r="O881">
        <v>78</v>
      </c>
      <c r="P881">
        <v>24</v>
      </c>
      <c r="Q881">
        <v>18.309999999999999</v>
      </c>
      <c r="R881" t="s">
        <v>344</v>
      </c>
      <c r="S881">
        <v>2.5299999999999998</v>
      </c>
      <c r="T881">
        <v>3.23</v>
      </c>
      <c r="U881">
        <v>174</v>
      </c>
    </row>
    <row r="882" spans="1:21" x14ac:dyDescent="0.25">
      <c r="A882" s="2">
        <v>45323.556377314817</v>
      </c>
      <c r="B882" t="s">
        <v>309</v>
      </c>
      <c r="C882" t="s">
        <v>322</v>
      </c>
      <c r="D882">
        <v>3</v>
      </c>
      <c r="E882" t="s">
        <v>82</v>
      </c>
      <c r="F882" t="s">
        <v>388</v>
      </c>
      <c r="G882">
        <f>(O882/(N882+O882+P882))*100</f>
        <v>19.495798319327733</v>
      </c>
      <c r="H882">
        <f>(P882/(O882+P882+N882))*100</f>
        <v>5.7142857142857144</v>
      </c>
      <c r="I882">
        <v>25.21</v>
      </c>
      <c r="J882">
        <f>(N882/(P882+O882+N882))*100</f>
        <v>74.789915966386559</v>
      </c>
      <c r="K882">
        <v>0.7</v>
      </c>
      <c r="L882">
        <v>0.3</v>
      </c>
      <c r="M882">
        <v>0.7</v>
      </c>
      <c r="N882">
        <v>445</v>
      </c>
      <c r="O882">
        <v>116</v>
      </c>
      <c r="P882">
        <v>34</v>
      </c>
      <c r="Q882">
        <v>25.21</v>
      </c>
      <c r="R882" t="s">
        <v>344</v>
      </c>
      <c r="S882">
        <v>2.5299999999999998</v>
      </c>
      <c r="T882">
        <v>3.23</v>
      </c>
      <c r="U882">
        <v>136</v>
      </c>
    </row>
    <row r="883" spans="1:21" x14ac:dyDescent="0.25">
      <c r="A883" s="2">
        <v>45324.980995370373</v>
      </c>
      <c r="B883" t="s">
        <v>309</v>
      </c>
      <c r="C883" t="s">
        <v>368</v>
      </c>
      <c r="D883">
        <v>2</v>
      </c>
      <c r="E883" t="s">
        <v>82</v>
      </c>
      <c r="F883" t="s">
        <v>388</v>
      </c>
      <c r="G883">
        <f>(O883/(N883+O883+P883))*100</f>
        <v>40.134907251264757</v>
      </c>
      <c r="H883">
        <f>(P883/(O883+P883+N883))*100</f>
        <v>0</v>
      </c>
      <c r="I883">
        <v>40.130000000000003</v>
      </c>
      <c r="J883">
        <f>(N883/(P883+O883+N883))*100</f>
        <v>59.86509274873525</v>
      </c>
      <c r="K883">
        <v>0.8</v>
      </c>
      <c r="L883">
        <v>0.3</v>
      </c>
      <c r="M883">
        <v>0.7</v>
      </c>
      <c r="N883">
        <v>355</v>
      </c>
      <c r="O883">
        <v>238</v>
      </c>
      <c r="P883">
        <v>0</v>
      </c>
      <c r="Q883">
        <v>40.130000000000003</v>
      </c>
      <c r="R883" t="s">
        <v>265</v>
      </c>
      <c r="S883">
        <v>1.1100000000000001</v>
      </c>
      <c r="T883">
        <v>1.22</v>
      </c>
    </row>
    <row r="884" spans="1:21" x14ac:dyDescent="0.25">
      <c r="A884" t="s">
        <v>19</v>
      </c>
      <c r="B884" t="s">
        <v>20</v>
      </c>
      <c r="C884" t="s">
        <v>306</v>
      </c>
      <c r="D884">
        <v>3</v>
      </c>
      <c r="E884" t="s">
        <v>83</v>
      </c>
      <c r="F884" t="s">
        <v>373</v>
      </c>
      <c r="G884" t="s">
        <v>321</v>
      </c>
      <c r="H884" t="s">
        <v>321</v>
      </c>
      <c r="I884">
        <v>70</v>
      </c>
      <c r="J884">
        <v>30</v>
      </c>
      <c r="K884" t="s">
        <v>19</v>
      </c>
      <c r="L884" t="s">
        <v>19</v>
      </c>
      <c r="M884" t="s">
        <v>19</v>
      </c>
      <c r="N884" t="s">
        <v>19</v>
      </c>
      <c r="O884" t="s">
        <v>19</v>
      </c>
      <c r="P884" t="s">
        <v>19</v>
      </c>
      <c r="Q884">
        <f>I884</f>
        <v>70</v>
      </c>
      <c r="R884" t="s">
        <v>19</v>
      </c>
      <c r="S884" t="s">
        <v>19</v>
      </c>
      <c r="T884" t="s">
        <v>19</v>
      </c>
    </row>
    <row r="885" spans="1:21" x14ac:dyDescent="0.25">
      <c r="A885" t="s">
        <v>19</v>
      </c>
      <c r="B885" t="s">
        <v>20</v>
      </c>
      <c r="C885" t="s">
        <v>308</v>
      </c>
      <c r="D885">
        <v>3</v>
      </c>
      <c r="E885" t="s">
        <v>83</v>
      </c>
      <c r="F885" t="s">
        <v>373</v>
      </c>
      <c r="G885">
        <v>70</v>
      </c>
      <c r="H885">
        <v>2</v>
      </c>
      <c r="I885">
        <f>G885+H885</f>
        <v>72</v>
      </c>
      <c r="J885">
        <f>100-G885-H885</f>
        <v>28</v>
      </c>
      <c r="K885" t="s">
        <v>19</v>
      </c>
      <c r="L885" t="s">
        <v>19</v>
      </c>
      <c r="M885" t="s">
        <v>19</v>
      </c>
      <c r="N885" t="s">
        <v>19</v>
      </c>
      <c r="O885" t="s">
        <v>19</v>
      </c>
      <c r="P885" t="s">
        <v>19</v>
      </c>
      <c r="Q885">
        <f>I885</f>
        <v>72</v>
      </c>
      <c r="R885" t="s">
        <v>19</v>
      </c>
      <c r="S885" t="s">
        <v>19</v>
      </c>
      <c r="T885" t="s">
        <v>19</v>
      </c>
    </row>
    <row r="886" spans="1:21" x14ac:dyDescent="0.25">
      <c r="A886" t="s">
        <v>19</v>
      </c>
      <c r="B886" t="s">
        <v>20</v>
      </c>
      <c r="C886" t="s">
        <v>22</v>
      </c>
      <c r="D886">
        <v>3</v>
      </c>
      <c r="E886" t="s">
        <v>83</v>
      </c>
      <c r="F886" t="s">
        <v>373</v>
      </c>
      <c r="G886">
        <v>70</v>
      </c>
      <c r="H886">
        <v>3</v>
      </c>
      <c r="I886">
        <f>G886+H886</f>
        <v>73</v>
      </c>
      <c r="J886">
        <f>100-G886-H886</f>
        <v>27</v>
      </c>
      <c r="K886" t="s">
        <v>19</v>
      </c>
      <c r="L886" t="s">
        <v>19</v>
      </c>
      <c r="M886" t="s">
        <v>19</v>
      </c>
      <c r="N886" t="s">
        <v>19</v>
      </c>
      <c r="O886" t="s">
        <v>19</v>
      </c>
      <c r="P886" t="s">
        <v>19</v>
      </c>
      <c r="Q886">
        <f>I886</f>
        <v>73</v>
      </c>
      <c r="R886" t="s">
        <v>19</v>
      </c>
      <c r="S886" t="s">
        <v>19</v>
      </c>
      <c r="T886" t="s">
        <v>19</v>
      </c>
    </row>
    <row r="887" spans="1:21" x14ac:dyDescent="0.25">
      <c r="A887" t="s">
        <v>19</v>
      </c>
      <c r="B887" t="s">
        <v>20</v>
      </c>
      <c r="C887" t="s">
        <v>305</v>
      </c>
      <c r="D887">
        <v>3</v>
      </c>
      <c r="E887" t="s">
        <v>83</v>
      </c>
      <c r="F887" t="s">
        <v>373</v>
      </c>
      <c r="G887">
        <v>58</v>
      </c>
      <c r="H887">
        <v>2</v>
      </c>
      <c r="I887">
        <f>G887+H887</f>
        <v>60</v>
      </c>
      <c r="J887">
        <f>100-G887-H887</f>
        <v>40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  <c r="P887" t="s">
        <v>19</v>
      </c>
      <c r="Q887">
        <f>I887</f>
        <v>60</v>
      </c>
      <c r="R887" t="s">
        <v>19</v>
      </c>
      <c r="S887" t="s">
        <v>19</v>
      </c>
      <c r="T887" t="s">
        <v>19</v>
      </c>
    </row>
    <row r="888" spans="1:21" x14ac:dyDescent="0.25">
      <c r="A888" t="s">
        <v>19</v>
      </c>
      <c r="B888" t="s">
        <v>20</v>
      </c>
      <c r="C888" t="s">
        <v>307</v>
      </c>
      <c r="D888">
        <v>3</v>
      </c>
      <c r="E888" t="s">
        <v>83</v>
      </c>
      <c r="F888" t="s">
        <v>373</v>
      </c>
      <c r="G888">
        <v>37</v>
      </c>
      <c r="H888">
        <v>3</v>
      </c>
      <c r="I888">
        <f>G888+H888</f>
        <v>40</v>
      </c>
      <c r="J888">
        <f>100-G888-H888</f>
        <v>60</v>
      </c>
      <c r="K888" t="s">
        <v>19</v>
      </c>
      <c r="L888" t="s">
        <v>19</v>
      </c>
      <c r="M888" t="s">
        <v>19</v>
      </c>
      <c r="N888" t="s">
        <v>19</v>
      </c>
      <c r="O888" t="s">
        <v>19</v>
      </c>
      <c r="P888" t="s">
        <v>19</v>
      </c>
      <c r="Q888">
        <f>I888</f>
        <v>40</v>
      </c>
      <c r="R888" t="s">
        <v>19</v>
      </c>
      <c r="S888" t="s">
        <v>19</v>
      </c>
      <c r="T888" t="s">
        <v>19</v>
      </c>
    </row>
    <row r="889" spans="1:21" x14ac:dyDescent="0.25">
      <c r="A889" s="2">
        <v>45253.715277777781</v>
      </c>
      <c r="B889" t="s">
        <v>309</v>
      </c>
      <c r="C889" t="s">
        <v>213</v>
      </c>
      <c r="D889">
        <v>3</v>
      </c>
      <c r="E889" t="s">
        <v>83</v>
      </c>
      <c r="F889" t="s">
        <v>373</v>
      </c>
      <c r="G889">
        <v>47.406082290000001</v>
      </c>
      <c r="H889">
        <v>1.6100178890000001</v>
      </c>
      <c r="I889">
        <v>49.016100180000002</v>
      </c>
      <c r="J889">
        <v>50.983899819999998</v>
      </c>
      <c r="K889">
        <v>0.8</v>
      </c>
      <c r="L889">
        <v>0.2</v>
      </c>
      <c r="M889">
        <v>0.7</v>
      </c>
      <c r="N889">
        <v>285</v>
      </c>
      <c r="O889">
        <v>265</v>
      </c>
      <c r="P889">
        <v>9</v>
      </c>
      <c r="Q889">
        <v>49.02</v>
      </c>
      <c r="R889" t="s">
        <v>240</v>
      </c>
      <c r="S889">
        <v>2.9</v>
      </c>
      <c r="T889">
        <v>3.23</v>
      </c>
    </row>
    <row r="890" spans="1:21" x14ac:dyDescent="0.25">
      <c r="A890" s="2">
        <v>45253.927083333336</v>
      </c>
      <c r="B890" t="s">
        <v>309</v>
      </c>
      <c r="C890" t="s">
        <v>215</v>
      </c>
      <c r="D890">
        <v>2</v>
      </c>
      <c r="E890" t="s">
        <v>83</v>
      </c>
      <c r="F890" t="s">
        <v>373</v>
      </c>
      <c r="G890">
        <v>13.776337120000001</v>
      </c>
      <c r="H890">
        <v>0</v>
      </c>
      <c r="I890">
        <v>13.776337120000001</v>
      </c>
      <c r="J890">
        <v>86.223662880000006</v>
      </c>
      <c r="K890">
        <v>0.8</v>
      </c>
      <c r="L890">
        <v>0.2</v>
      </c>
      <c r="M890">
        <v>0.7</v>
      </c>
      <c r="N890">
        <v>532</v>
      </c>
      <c r="O890">
        <v>85</v>
      </c>
      <c r="P890">
        <v>0</v>
      </c>
      <c r="Q890">
        <v>13.78</v>
      </c>
      <c r="R890" t="s">
        <v>231</v>
      </c>
      <c r="S890">
        <v>0.46</v>
      </c>
      <c r="T890">
        <v>0.5</v>
      </c>
    </row>
    <row r="891" spans="1:21" x14ac:dyDescent="0.25">
      <c r="A891" s="2">
        <v>45254.101388888892</v>
      </c>
      <c r="B891" t="s">
        <v>309</v>
      </c>
      <c r="C891" t="s">
        <v>217</v>
      </c>
      <c r="D891">
        <v>2</v>
      </c>
      <c r="E891" t="s">
        <v>83</v>
      </c>
      <c r="F891" t="s">
        <v>373</v>
      </c>
      <c r="G891">
        <v>37.080536909999999</v>
      </c>
      <c r="H891">
        <v>0</v>
      </c>
      <c r="I891">
        <v>37.080536909999999</v>
      </c>
      <c r="J891">
        <v>62.919463090000001</v>
      </c>
      <c r="K891">
        <v>0.8</v>
      </c>
      <c r="L891">
        <v>0.2</v>
      </c>
      <c r="M891">
        <v>0.7</v>
      </c>
      <c r="N891">
        <v>375</v>
      </c>
      <c r="O891">
        <v>221</v>
      </c>
      <c r="P891">
        <v>0</v>
      </c>
      <c r="Q891">
        <v>37.08</v>
      </c>
      <c r="R891" t="s">
        <v>254</v>
      </c>
      <c r="S891">
        <v>0.89</v>
      </c>
      <c r="T891">
        <v>0.93</v>
      </c>
    </row>
    <row r="892" spans="1:21" x14ac:dyDescent="0.25">
      <c r="A892" s="2">
        <v>45316.4375</v>
      </c>
      <c r="B892" t="s">
        <v>309</v>
      </c>
      <c r="C892" t="s">
        <v>219</v>
      </c>
      <c r="D892">
        <v>3</v>
      </c>
      <c r="E892" t="s">
        <v>83</v>
      </c>
      <c r="F892" t="s">
        <v>373</v>
      </c>
      <c r="G892">
        <v>44.175824179999999</v>
      </c>
      <c r="H892">
        <v>3.076923077</v>
      </c>
      <c r="I892">
        <v>47.252747249999999</v>
      </c>
      <c r="J892">
        <v>52.747252750000001</v>
      </c>
      <c r="K892">
        <v>0.8</v>
      </c>
      <c r="L892">
        <v>0.2</v>
      </c>
      <c r="M892">
        <v>0.7</v>
      </c>
      <c r="N892">
        <v>240</v>
      </c>
      <c r="O892">
        <v>201</v>
      </c>
      <c r="P892">
        <v>14</v>
      </c>
      <c r="Q892">
        <v>47.25</v>
      </c>
      <c r="R892" t="s">
        <v>225</v>
      </c>
      <c r="S892">
        <v>3.22</v>
      </c>
      <c r="T892">
        <v>4.42</v>
      </c>
    </row>
    <row r="893" spans="1:21" x14ac:dyDescent="0.25">
      <c r="A893" s="2">
        <v>45320.959722222222</v>
      </c>
      <c r="B893" t="s">
        <v>309</v>
      </c>
      <c r="C893" t="s">
        <v>221</v>
      </c>
      <c r="D893">
        <v>2</v>
      </c>
      <c r="E893" t="s">
        <v>83</v>
      </c>
      <c r="F893" t="s">
        <v>373</v>
      </c>
      <c r="G893">
        <v>55.952380949999998</v>
      </c>
      <c r="H893">
        <v>0</v>
      </c>
      <c r="I893">
        <v>55.952380949999998</v>
      </c>
      <c r="J893">
        <v>44.047619050000002</v>
      </c>
      <c r="K893">
        <v>0.8</v>
      </c>
      <c r="L893">
        <v>0.3</v>
      </c>
      <c r="M893">
        <v>0.7</v>
      </c>
      <c r="N893">
        <v>259</v>
      </c>
      <c r="O893">
        <v>329</v>
      </c>
      <c r="P893">
        <v>0</v>
      </c>
      <c r="Q893">
        <v>55.95</v>
      </c>
      <c r="R893" t="s">
        <v>273</v>
      </c>
      <c r="S893">
        <v>1.49</v>
      </c>
      <c r="T893">
        <v>1.57</v>
      </c>
    </row>
    <row r="894" spans="1:21" x14ac:dyDescent="0.25">
      <c r="A894" t="s">
        <v>19</v>
      </c>
      <c r="B894" t="s">
        <v>20</v>
      </c>
      <c r="C894" t="s">
        <v>320</v>
      </c>
      <c r="D894">
        <v>3</v>
      </c>
      <c r="E894" t="s">
        <v>83</v>
      </c>
      <c r="F894" t="s">
        <v>373</v>
      </c>
      <c r="G894">
        <v>60</v>
      </c>
      <c r="H894">
        <v>0.05</v>
      </c>
      <c r="I894">
        <f>100-J894</f>
        <v>60.05</v>
      </c>
      <c r="J894">
        <f>100-G894-H894</f>
        <v>39.950000000000003</v>
      </c>
      <c r="K894" t="s">
        <v>19</v>
      </c>
      <c r="L894" t="s">
        <v>19</v>
      </c>
      <c r="M894" t="s">
        <v>19</v>
      </c>
      <c r="N894" t="s">
        <v>19</v>
      </c>
      <c r="O894" t="s">
        <v>19</v>
      </c>
      <c r="P894" t="s">
        <v>19</v>
      </c>
      <c r="Q894">
        <f>I894</f>
        <v>60.05</v>
      </c>
      <c r="R894" t="s">
        <v>19</v>
      </c>
      <c r="S894" t="s">
        <v>19</v>
      </c>
      <c r="T894" t="s">
        <v>19</v>
      </c>
    </row>
    <row r="895" spans="1:21" x14ac:dyDescent="0.25">
      <c r="A895" s="2">
        <v>45323.558831018519</v>
      </c>
      <c r="B895" t="s">
        <v>309</v>
      </c>
      <c r="C895" t="s">
        <v>322</v>
      </c>
      <c r="D895">
        <v>3</v>
      </c>
      <c r="E895" t="s">
        <v>83</v>
      </c>
      <c r="F895" t="s">
        <v>373</v>
      </c>
      <c r="G895">
        <f>(O895/(N895+O895+P895))*100</f>
        <v>60.846560846560848</v>
      </c>
      <c r="H895">
        <f>(P895/(O895+P895+N895))*100</f>
        <v>0</v>
      </c>
      <c r="I895">
        <f>((O895+P895)/(P895+O895+N895))*100</f>
        <v>60.846560846560848</v>
      </c>
      <c r="J895">
        <f>(N895/(P895+O895+N895))*100</f>
        <v>39.153439153439152</v>
      </c>
      <c r="K895">
        <v>0.8</v>
      </c>
      <c r="L895">
        <v>0.3</v>
      </c>
      <c r="M895">
        <v>0.7</v>
      </c>
      <c r="N895">
        <v>222</v>
      </c>
      <c r="O895">
        <v>345</v>
      </c>
      <c r="P895">
        <v>0</v>
      </c>
      <c r="Q895">
        <v>60.85</v>
      </c>
      <c r="R895" t="s">
        <v>240</v>
      </c>
      <c r="S895">
        <v>2.68</v>
      </c>
      <c r="T895">
        <v>3.28</v>
      </c>
      <c r="U895">
        <v>82</v>
      </c>
    </row>
    <row r="896" spans="1:21" x14ac:dyDescent="0.25">
      <c r="A896" s="2">
        <v>45323.56150462963</v>
      </c>
      <c r="B896" t="s">
        <v>309</v>
      </c>
      <c r="C896" t="s">
        <v>322</v>
      </c>
      <c r="D896">
        <v>3</v>
      </c>
      <c r="E896" t="s">
        <v>83</v>
      </c>
      <c r="F896" t="s">
        <v>373</v>
      </c>
      <c r="G896">
        <f>(O896/(N896+O896+P896))*100</f>
        <v>62.180579216354346</v>
      </c>
      <c r="H896">
        <f>(P896/(O896+P896+N896))*100</f>
        <v>0.17035775127768313</v>
      </c>
      <c r="I896">
        <f>((O896+P896)/(P896+O896+N896))*100</f>
        <v>62.35093696763203</v>
      </c>
      <c r="J896">
        <f>(N896/(P896+O896+N896))*100</f>
        <v>37.649063032367977</v>
      </c>
      <c r="K896">
        <v>0.7</v>
      </c>
      <c r="L896">
        <v>0.3</v>
      </c>
      <c r="M896">
        <v>0.7</v>
      </c>
      <c r="N896">
        <v>221</v>
      </c>
      <c r="O896">
        <v>365</v>
      </c>
      <c r="P896">
        <v>1</v>
      </c>
      <c r="Q896">
        <v>62.35</v>
      </c>
      <c r="R896" t="s">
        <v>296</v>
      </c>
      <c r="S896">
        <v>2.68</v>
      </c>
      <c r="T896">
        <v>3.28</v>
      </c>
      <c r="U896">
        <v>62</v>
      </c>
    </row>
    <row r="897" spans="1:21" x14ac:dyDescent="0.25">
      <c r="A897" s="2">
        <v>45325.132604166669</v>
      </c>
      <c r="B897" t="s">
        <v>309</v>
      </c>
      <c r="C897" t="s">
        <v>368</v>
      </c>
      <c r="D897">
        <v>2</v>
      </c>
      <c r="E897" t="s">
        <v>83</v>
      </c>
      <c r="F897" t="s">
        <v>373</v>
      </c>
      <c r="G897">
        <f>(O897/(N897+O897+P897))*100</f>
        <v>62.897526501766791</v>
      </c>
      <c r="H897">
        <f>(P897/(O897+P897+N897))*100</f>
        <v>0</v>
      </c>
      <c r="I897">
        <v>62.9</v>
      </c>
      <c r="J897">
        <f>(N897/(P897+O897+N897))*100</f>
        <v>37.102473498233216</v>
      </c>
      <c r="K897">
        <v>0.8</v>
      </c>
      <c r="L897">
        <v>0.3</v>
      </c>
      <c r="M897">
        <v>0.7</v>
      </c>
      <c r="N897">
        <v>210</v>
      </c>
      <c r="O897">
        <v>356</v>
      </c>
      <c r="P897">
        <v>0</v>
      </c>
      <c r="Q897">
        <v>62.9</v>
      </c>
      <c r="R897" t="s">
        <v>341</v>
      </c>
      <c r="S897">
        <v>1.55</v>
      </c>
      <c r="T897">
        <v>1.67</v>
      </c>
    </row>
    <row r="898" spans="1:21" x14ac:dyDescent="0.25">
      <c r="A898" t="s">
        <v>19</v>
      </c>
      <c r="B898" t="s">
        <v>20</v>
      </c>
      <c r="C898" t="s">
        <v>306</v>
      </c>
      <c r="D898">
        <v>3</v>
      </c>
      <c r="E898" t="s">
        <v>84</v>
      </c>
      <c r="F898" t="s">
        <v>373</v>
      </c>
      <c r="G898">
        <v>1</v>
      </c>
      <c r="H898">
        <v>0</v>
      </c>
      <c r="I898">
        <f>G898+H898</f>
        <v>1</v>
      </c>
      <c r="J898">
        <f>100-G898-H898</f>
        <v>99</v>
      </c>
      <c r="K898" t="s">
        <v>19</v>
      </c>
      <c r="L898" t="s">
        <v>19</v>
      </c>
      <c r="M898" t="s">
        <v>19</v>
      </c>
      <c r="N898" t="s">
        <v>19</v>
      </c>
      <c r="O898" t="s">
        <v>19</v>
      </c>
      <c r="P898" t="s">
        <v>19</v>
      </c>
      <c r="Q898">
        <f>I898</f>
        <v>1</v>
      </c>
      <c r="R898" t="s">
        <v>19</v>
      </c>
      <c r="S898" t="s">
        <v>19</v>
      </c>
      <c r="T898" t="s">
        <v>19</v>
      </c>
    </row>
    <row r="899" spans="1:21" x14ac:dyDescent="0.25">
      <c r="A899" t="s">
        <v>19</v>
      </c>
      <c r="B899" t="s">
        <v>20</v>
      </c>
      <c r="C899" t="s">
        <v>308</v>
      </c>
      <c r="D899">
        <v>3</v>
      </c>
      <c r="E899" t="s">
        <v>84</v>
      </c>
      <c r="F899" t="s">
        <v>373</v>
      </c>
      <c r="G899">
        <v>0</v>
      </c>
      <c r="H899">
        <v>0</v>
      </c>
      <c r="I899">
        <f>G899+H899</f>
        <v>0</v>
      </c>
      <c r="J899">
        <f>100-G899-H899</f>
        <v>100</v>
      </c>
      <c r="K899" t="s">
        <v>19</v>
      </c>
      <c r="L899" t="s">
        <v>19</v>
      </c>
      <c r="M899" t="s">
        <v>19</v>
      </c>
      <c r="N899" t="s">
        <v>19</v>
      </c>
      <c r="O899" t="s">
        <v>19</v>
      </c>
      <c r="P899" t="s">
        <v>19</v>
      </c>
      <c r="Q899">
        <f>I899</f>
        <v>0</v>
      </c>
      <c r="R899" t="s">
        <v>19</v>
      </c>
      <c r="S899" t="s">
        <v>19</v>
      </c>
      <c r="T899" t="s">
        <v>19</v>
      </c>
    </row>
    <row r="900" spans="1:21" x14ac:dyDescent="0.25">
      <c r="A900" t="s">
        <v>19</v>
      </c>
      <c r="B900" t="s">
        <v>20</v>
      </c>
      <c r="C900" t="s">
        <v>22</v>
      </c>
      <c r="D900">
        <v>3</v>
      </c>
      <c r="E900" t="s">
        <v>84</v>
      </c>
      <c r="F900" t="s">
        <v>373</v>
      </c>
      <c r="G900">
        <v>0</v>
      </c>
      <c r="H900">
        <v>0</v>
      </c>
      <c r="I900">
        <f>G900+H900</f>
        <v>0</v>
      </c>
      <c r="J900">
        <f>100-G900-H900</f>
        <v>100</v>
      </c>
      <c r="K900" t="s">
        <v>19</v>
      </c>
      <c r="L900" t="s">
        <v>19</v>
      </c>
      <c r="M900" t="s">
        <v>19</v>
      </c>
      <c r="N900" t="s">
        <v>19</v>
      </c>
      <c r="O900" t="s">
        <v>19</v>
      </c>
      <c r="P900" t="s">
        <v>19</v>
      </c>
      <c r="Q900">
        <f>I900</f>
        <v>0</v>
      </c>
      <c r="R900" t="s">
        <v>19</v>
      </c>
      <c r="S900" t="s">
        <v>19</v>
      </c>
      <c r="T900" t="s">
        <v>19</v>
      </c>
    </row>
    <row r="901" spans="1:21" x14ac:dyDescent="0.25">
      <c r="A901" t="s">
        <v>19</v>
      </c>
      <c r="B901" t="s">
        <v>20</v>
      </c>
      <c r="C901" t="s">
        <v>305</v>
      </c>
      <c r="D901">
        <v>3</v>
      </c>
      <c r="E901" t="s">
        <v>84</v>
      </c>
      <c r="F901" t="s">
        <v>373</v>
      </c>
      <c r="G901">
        <v>0</v>
      </c>
      <c r="H901">
        <v>0</v>
      </c>
      <c r="I901">
        <f>G901+H901</f>
        <v>0</v>
      </c>
      <c r="J901">
        <f>100-G901-H901</f>
        <v>100</v>
      </c>
      <c r="K901" t="s">
        <v>19</v>
      </c>
      <c r="L901" t="s">
        <v>19</v>
      </c>
      <c r="M901" t="s">
        <v>19</v>
      </c>
      <c r="N901" t="s">
        <v>19</v>
      </c>
      <c r="O901" t="s">
        <v>19</v>
      </c>
      <c r="P901" t="s">
        <v>19</v>
      </c>
      <c r="Q901">
        <f>I901</f>
        <v>0</v>
      </c>
      <c r="R901" t="s">
        <v>19</v>
      </c>
      <c r="S901" t="s">
        <v>19</v>
      </c>
      <c r="T901" t="s">
        <v>19</v>
      </c>
    </row>
    <row r="902" spans="1:21" x14ac:dyDescent="0.25">
      <c r="A902" t="s">
        <v>19</v>
      </c>
      <c r="B902" t="s">
        <v>20</v>
      </c>
      <c r="C902" t="s">
        <v>307</v>
      </c>
      <c r="D902">
        <v>3</v>
      </c>
      <c r="E902" t="s">
        <v>84</v>
      </c>
      <c r="F902" t="s">
        <v>373</v>
      </c>
      <c r="G902">
        <v>0</v>
      </c>
      <c r="H902">
        <v>0</v>
      </c>
      <c r="I902">
        <f>G902+H902</f>
        <v>0</v>
      </c>
      <c r="J902">
        <f>100-G902-H902</f>
        <v>100</v>
      </c>
      <c r="K902" t="s">
        <v>19</v>
      </c>
      <c r="L902" t="s">
        <v>19</v>
      </c>
      <c r="M902" t="s">
        <v>19</v>
      </c>
      <c r="N902" t="s">
        <v>19</v>
      </c>
      <c r="O902" t="s">
        <v>19</v>
      </c>
      <c r="P902" t="s">
        <v>19</v>
      </c>
      <c r="Q902">
        <f>I902</f>
        <v>0</v>
      </c>
      <c r="R902" t="s">
        <v>19</v>
      </c>
      <c r="S902" t="s">
        <v>19</v>
      </c>
      <c r="T902" t="s">
        <v>19</v>
      </c>
    </row>
    <row r="903" spans="1:21" x14ac:dyDescent="0.25">
      <c r="A903" s="2">
        <v>45253.716666666667</v>
      </c>
      <c r="B903" t="s">
        <v>309</v>
      </c>
      <c r="C903" t="s">
        <v>213</v>
      </c>
      <c r="D903">
        <v>3</v>
      </c>
      <c r="E903" t="s">
        <v>84</v>
      </c>
      <c r="F903" t="s">
        <v>373</v>
      </c>
      <c r="G903">
        <v>77.272727270000004</v>
      </c>
      <c r="H903">
        <v>0</v>
      </c>
      <c r="I903">
        <v>77.272727270000004</v>
      </c>
      <c r="J903">
        <v>22.727272729999999</v>
      </c>
      <c r="K903">
        <v>0.8</v>
      </c>
      <c r="L903">
        <v>0.2</v>
      </c>
      <c r="M903">
        <v>0.7</v>
      </c>
      <c r="N903">
        <v>95</v>
      </c>
      <c r="O903">
        <v>323</v>
      </c>
      <c r="P903">
        <v>0</v>
      </c>
      <c r="Q903">
        <v>77.27</v>
      </c>
      <c r="R903" t="s">
        <v>260</v>
      </c>
      <c r="S903">
        <v>3.27</v>
      </c>
      <c r="T903">
        <v>3.69</v>
      </c>
    </row>
    <row r="904" spans="1:21" x14ac:dyDescent="0.25">
      <c r="A904" s="2">
        <v>45253.927777777775</v>
      </c>
      <c r="B904" t="s">
        <v>309</v>
      </c>
      <c r="C904" t="s">
        <v>215</v>
      </c>
      <c r="D904">
        <v>2</v>
      </c>
      <c r="E904" t="s">
        <v>84</v>
      </c>
      <c r="F904" t="s">
        <v>373</v>
      </c>
      <c r="G904">
        <v>0</v>
      </c>
      <c r="H904">
        <v>0</v>
      </c>
      <c r="I904">
        <v>0</v>
      </c>
      <c r="J904">
        <v>100</v>
      </c>
      <c r="K904">
        <v>0.8</v>
      </c>
      <c r="L904">
        <v>0.2</v>
      </c>
      <c r="M904">
        <v>0.7</v>
      </c>
      <c r="N904">
        <v>688</v>
      </c>
      <c r="O904">
        <v>0</v>
      </c>
      <c r="P904">
        <v>0</v>
      </c>
      <c r="Q904">
        <v>0</v>
      </c>
      <c r="R904" t="s">
        <v>257</v>
      </c>
      <c r="S904">
        <v>0</v>
      </c>
      <c r="T904">
        <v>0</v>
      </c>
    </row>
    <row r="905" spans="1:21" x14ac:dyDescent="0.25">
      <c r="A905" s="2">
        <v>45254.102083333331</v>
      </c>
      <c r="B905" t="s">
        <v>309</v>
      </c>
      <c r="C905" t="s">
        <v>217</v>
      </c>
      <c r="D905">
        <v>2</v>
      </c>
      <c r="E905" t="s">
        <v>84</v>
      </c>
      <c r="F905" t="s">
        <v>373</v>
      </c>
      <c r="G905">
        <v>0.14471780000000001</v>
      </c>
      <c r="H905">
        <v>0</v>
      </c>
      <c r="I905">
        <v>0.14471780000000001</v>
      </c>
      <c r="J905">
        <v>99.855282200000005</v>
      </c>
      <c r="K905">
        <v>0.8</v>
      </c>
      <c r="L905">
        <v>0.2</v>
      </c>
      <c r="M905">
        <v>0.7</v>
      </c>
      <c r="N905">
        <v>690</v>
      </c>
      <c r="O905">
        <v>1</v>
      </c>
      <c r="P905">
        <v>0</v>
      </c>
      <c r="Q905">
        <v>0.14000000000000001</v>
      </c>
      <c r="R905" t="s">
        <v>224</v>
      </c>
      <c r="S905">
        <v>0.01</v>
      </c>
      <c r="T905">
        <v>0.01</v>
      </c>
    </row>
    <row r="906" spans="1:21" x14ac:dyDescent="0.25">
      <c r="A906" s="2">
        <v>45316.438194444447</v>
      </c>
      <c r="B906" t="s">
        <v>309</v>
      </c>
      <c r="C906" t="s">
        <v>219</v>
      </c>
      <c r="D906">
        <v>3</v>
      </c>
      <c r="E906" t="s">
        <v>84</v>
      </c>
      <c r="F906" t="s">
        <v>373</v>
      </c>
      <c r="G906">
        <v>56.63716814</v>
      </c>
      <c r="H906">
        <v>0</v>
      </c>
      <c r="I906">
        <v>56.63716814</v>
      </c>
      <c r="J906">
        <v>43.36283186</v>
      </c>
      <c r="K906">
        <v>0.8</v>
      </c>
      <c r="L906">
        <v>0.2</v>
      </c>
      <c r="M906">
        <v>0.7</v>
      </c>
      <c r="N906">
        <v>98</v>
      </c>
      <c r="O906">
        <v>128</v>
      </c>
      <c r="P906">
        <v>0</v>
      </c>
      <c r="Q906">
        <v>56.64</v>
      </c>
      <c r="R906" t="s">
        <v>243</v>
      </c>
      <c r="S906">
        <v>3.27</v>
      </c>
      <c r="T906">
        <v>4.42</v>
      </c>
    </row>
    <row r="907" spans="1:21" x14ac:dyDescent="0.25">
      <c r="A907" s="2">
        <v>45320.960416666669</v>
      </c>
      <c r="B907" t="s">
        <v>309</v>
      </c>
      <c r="C907" t="s">
        <v>221</v>
      </c>
      <c r="D907">
        <v>2</v>
      </c>
      <c r="E907" t="s">
        <v>84</v>
      </c>
      <c r="F907" t="s">
        <v>373</v>
      </c>
      <c r="G907">
        <v>19.321148829999998</v>
      </c>
      <c r="H907">
        <v>0</v>
      </c>
      <c r="I907">
        <v>19.321148829999998</v>
      </c>
      <c r="J907">
        <v>80.678851170000002</v>
      </c>
      <c r="K907">
        <v>0.8</v>
      </c>
      <c r="L907">
        <v>0.3</v>
      </c>
      <c r="M907">
        <v>0.7</v>
      </c>
      <c r="N907">
        <v>309</v>
      </c>
      <c r="O907">
        <v>74</v>
      </c>
      <c r="P907">
        <v>0</v>
      </c>
      <c r="Q907">
        <v>19.32</v>
      </c>
      <c r="R907" t="s">
        <v>267</v>
      </c>
      <c r="S907">
        <v>1.05</v>
      </c>
      <c r="T907">
        <v>1.07</v>
      </c>
    </row>
    <row r="908" spans="1:21" x14ac:dyDescent="0.25">
      <c r="A908" t="s">
        <v>19</v>
      </c>
      <c r="B908" t="s">
        <v>20</v>
      </c>
      <c r="C908" t="s">
        <v>320</v>
      </c>
      <c r="D908">
        <v>3</v>
      </c>
      <c r="E908" t="s">
        <v>84</v>
      </c>
      <c r="F908" t="s">
        <v>373</v>
      </c>
      <c r="G908">
        <v>0</v>
      </c>
      <c r="H908">
        <v>0</v>
      </c>
      <c r="I908">
        <f>100-J908</f>
        <v>0</v>
      </c>
      <c r="J908">
        <f>100-G908-H908</f>
        <v>100</v>
      </c>
      <c r="K908" t="s">
        <v>19</v>
      </c>
      <c r="L908" t="s">
        <v>19</v>
      </c>
      <c r="M908" t="s">
        <v>19</v>
      </c>
      <c r="N908" t="s">
        <v>19</v>
      </c>
      <c r="O908" t="s">
        <v>19</v>
      </c>
      <c r="P908" t="s">
        <v>19</v>
      </c>
      <c r="Q908">
        <f>I908</f>
        <v>0</v>
      </c>
      <c r="R908" t="s">
        <v>19</v>
      </c>
      <c r="S908" t="s">
        <v>19</v>
      </c>
      <c r="T908" t="s">
        <v>19</v>
      </c>
    </row>
    <row r="909" spans="1:21" x14ac:dyDescent="0.25">
      <c r="A909" s="2">
        <v>45323.560335648152</v>
      </c>
      <c r="B909" t="s">
        <v>309</v>
      </c>
      <c r="C909" t="s">
        <v>322</v>
      </c>
      <c r="D909">
        <v>3</v>
      </c>
      <c r="E909" t="s">
        <v>84</v>
      </c>
      <c r="F909" t="s">
        <v>373</v>
      </c>
      <c r="G909">
        <f>(O909/(N909+O909+P909))*100</f>
        <v>63.771712158808938</v>
      </c>
      <c r="H909">
        <f>(P909/(O909+P909+N909))*100</f>
        <v>0</v>
      </c>
      <c r="I909">
        <f>((O909+P909)/(P909+O909+N909))*100</f>
        <v>63.771712158808938</v>
      </c>
      <c r="J909">
        <f>(N909/(P909+O909+N909))*100</f>
        <v>36.228287841191062</v>
      </c>
      <c r="K909">
        <v>0.8</v>
      </c>
      <c r="L909">
        <v>0.3</v>
      </c>
      <c r="M909">
        <v>0.7</v>
      </c>
      <c r="N909">
        <v>146</v>
      </c>
      <c r="O909">
        <v>257</v>
      </c>
      <c r="P909">
        <v>0</v>
      </c>
      <c r="Q909">
        <v>63.77</v>
      </c>
      <c r="R909" t="s">
        <v>330</v>
      </c>
      <c r="S909">
        <v>3.17</v>
      </c>
      <c r="T909">
        <v>3.52</v>
      </c>
      <c r="U909">
        <v>260</v>
      </c>
    </row>
    <row r="910" spans="1:21" x14ac:dyDescent="0.25">
      <c r="A910" s="2">
        <v>45323.563125000001</v>
      </c>
      <c r="B910" t="s">
        <v>309</v>
      </c>
      <c r="C910" t="s">
        <v>322</v>
      </c>
      <c r="D910">
        <v>3</v>
      </c>
      <c r="E910" t="s">
        <v>84</v>
      </c>
      <c r="F910" t="s">
        <v>373</v>
      </c>
      <c r="G910">
        <f>(O910/(N910+O910+P910))*100</f>
        <v>69.327731092436977</v>
      </c>
      <c r="H910">
        <f>(P910/(O910+P910+N910))*100</f>
        <v>0</v>
      </c>
      <c r="I910">
        <f>((O910+P910)/(P910+O910+N910))*100</f>
        <v>69.327731092436977</v>
      </c>
      <c r="J910">
        <f>(N910/(P910+O910+N910))*100</f>
        <v>30.672268907563026</v>
      </c>
      <c r="K910">
        <v>0.7</v>
      </c>
      <c r="L910">
        <v>0.3</v>
      </c>
      <c r="M910">
        <v>0.7</v>
      </c>
      <c r="N910">
        <v>146</v>
      </c>
      <c r="O910">
        <v>330</v>
      </c>
      <c r="P910">
        <v>0</v>
      </c>
      <c r="Q910">
        <v>69.33</v>
      </c>
      <c r="R910" t="s">
        <v>345</v>
      </c>
      <c r="S910">
        <v>3.17</v>
      </c>
      <c r="T910">
        <v>3.52</v>
      </c>
      <c r="U910">
        <v>187</v>
      </c>
    </row>
    <row r="911" spans="1:21" x14ac:dyDescent="0.25">
      <c r="A911" s="2">
        <v>45325.134293981479</v>
      </c>
      <c r="B911" t="s">
        <v>309</v>
      </c>
      <c r="C911" t="s">
        <v>368</v>
      </c>
      <c r="D911">
        <v>2</v>
      </c>
      <c r="E911" t="s">
        <v>84</v>
      </c>
      <c r="F911" t="s">
        <v>373</v>
      </c>
      <c r="G911">
        <f>(O911/(N911+O911+P911))*100</f>
        <v>0.15600624024960999</v>
      </c>
      <c r="H911">
        <f>(P911/(O911+P911+N911))*100</f>
        <v>0</v>
      </c>
      <c r="I911">
        <v>0.16</v>
      </c>
      <c r="J911">
        <f>(N911/(P911+O911+N911))*100</f>
        <v>99.84399375975039</v>
      </c>
      <c r="K911">
        <v>0.8</v>
      </c>
      <c r="L911">
        <v>0.3</v>
      </c>
      <c r="M911">
        <v>0.7</v>
      </c>
      <c r="N911">
        <v>640</v>
      </c>
      <c r="O911">
        <v>1</v>
      </c>
      <c r="P911">
        <v>0</v>
      </c>
      <c r="Q911">
        <v>0.16</v>
      </c>
      <c r="R911" t="s">
        <v>276</v>
      </c>
      <c r="S911">
        <v>0.03</v>
      </c>
      <c r="T911">
        <v>0.03</v>
      </c>
    </row>
    <row r="912" spans="1:21" x14ac:dyDescent="0.25">
      <c r="A912" t="s">
        <v>19</v>
      </c>
      <c r="B912" t="s">
        <v>20</v>
      </c>
      <c r="C912" t="s">
        <v>308</v>
      </c>
      <c r="D912">
        <v>3</v>
      </c>
      <c r="E912" t="s">
        <v>85</v>
      </c>
      <c r="F912" t="s">
        <v>388</v>
      </c>
      <c r="G912">
        <v>10</v>
      </c>
      <c r="H912">
        <v>75</v>
      </c>
      <c r="I912">
        <f>G912+H912</f>
        <v>85</v>
      </c>
      <c r="J912">
        <f>100-G912-H912</f>
        <v>15</v>
      </c>
      <c r="K912" t="s">
        <v>19</v>
      </c>
      <c r="L912" t="s">
        <v>19</v>
      </c>
      <c r="M912" t="s">
        <v>19</v>
      </c>
      <c r="N912" t="s">
        <v>19</v>
      </c>
      <c r="O912" t="s">
        <v>19</v>
      </c>
      <c r="P912" t="s">
        <v>19</v>
      </c>
      <c r="Q912">
        <f>I912</f>
        <v>85</v>
      </c>
      <c r="R912" t="s">
        <v>19</v>
      </c>
      <c r="S912" t="s">
        <v>19</v>
      </c>
      <c r="T912" t="s">
        <v>19</v>
      </c>
    </row>
    <row r="913" spans="1:21" x14ac:dyDescent="0.25">
      <c r="A913" t="s">
        <v>19</v>
      </c>
      <c r="B913" t="s">
        <v>20</v>
      </c>
      <c r="C913" t="s">
        <v>22</v>
      </c>
      <c r="D913">
        <v>3</v>
      </c>
      <c r="E913" t="s">
        <v>85</v>
      </c>
      <c r="F913" t="s">
        <v>388</v>
      </c>
      <c r="G913">
        <v>0</v>
      </c>
      <c r="H913">
        <v>85</v>
      </c>
      <c r="I913">
        <f>G913+H913</f>
        <v>85</v>
      </c>
      <c r="J913">
        <f>100-G913-H913</f>
        <v>15</v>
      </c>
      <c r="K913" t="s">
        <v>19</v>
      </c>
      <c r="L913" t="s">
        <v>19</v>
      </c>
      <c r="M913" t="s">
        <v>19</v>
      </c>
      <c r="N913" t="s">
        <v>19</v>
      </c>
      <c r="O913" t="s">
        <v>19</v>
      </c>
      <c r="P913" t="s">
        <v>19</v>
      </c>
      <c r="Q913">
        <f>I913</f>
        <v>85</v>
      </c>
      <c r="R913" t="s">
        <v>19</v>
      </c>
      <c r="S913" t="s">
        <v>19</v>
      </c>
      <c r="T913" t="s">
        <v>19</v>
      </c>
    </row>
    <row r="914" spans="1:21" x14ac:dyDescent="0.25">
      <c r="A914" t="s">
        <v>19</v>
      </c>
      <c r="B914" t="s">
        <v>20</v>
      </c>
      <c r="C914" t="s">
        <v>305</v>
      </c>
      <c r="D914">
        <v>3</v>
      </c>
      <c r="E914" t="s">
        <v>85</v>
      </c>
      <c r="F914" t="s">
        <v>388</v>
      </c>
      <c r="G914">
        <v>20</v>
      </c>
      <c r="H914">
        <v>70</v>
      </c>
      <c r="I914">
        <f>G914+H914</f>
        <v>90</v>
      </c>
      <c r="J914">
        <f>100-G914-H914</f>
        <v>10</v>
      </c>
      <c r="K914" t="s">
        <v>19</v>
      </c>
      <c r="L914" t="s">
        <v>19</v>
      </c>
      <c r="M914" t="s">
        <v>19</v>
      </c>
      <c r="N914" t="s">
        <v>19</v>
      </c>
      <c r="O914" t="s">
        <v>19</v>
      </c>
      <c r="P914" t="s">
        <v>19</v>
      </c>
      <c r="Q914">
        <f>I914</f>
        <v>90</v>
      </c>
      <c r="R914" t="s">
        <v>19</v>
      </c>
      <c r="S914" t="s">
        <v>19</v>
      </c>
      <c r="T914" t="s">
        <v>19</v>
      </c>
    </row>
    <row r="915" spans="1:21" x14ac:dyDescent="0.25">
      <c r="A915" t="s">
        <v>19</v>
      </c>
      <c r="B915" t="s">
        <v>20</v>
      </c>
      <c r="C915" t="s">
        <v>307</v>
      </c>
      <c r="D915">
        <v>3</v>
      </c>
      <c r="E915" t="s">
        <v>85</v>
      </c>
      <c r="F915" t="s">
        <v>388</v>
      </c>
      <c r="G915">
        <v>5</v>
      </c>
      <c r="H915">
        <v>80</v>
      </c>
      <c r="I915">
        <f>G915+H915</f>
        <v>85</v>
      </c>
      <c r="J915">
        <f>100-G915-H915</f>
        <v>15</v>
      </c>
      <c r="K915" t="s">
        <v>19</v>
      </c>
      <c r="L915" t="s">
        <v>19</v>
      </c>
      <c r="M915" t="s">
        <v>19</v>
      </c>
      <c r="N915" t="s">
        <v>19</v>
      </c>
      <c r="O915" t="s">
        <v>19</v>
      </c>
      <c r="P915" t="s">
        <v>19</v>
      </c>
      <c r="Q915">
        <f>I915</f>
        <v>85</v>
      </c>
      <c r="R915" t="s">
        <v>19</v>
      </c>
      <c r="S915" t="s">
        <v>19</v>
      </c>
      <c r="T915" t="s">
        <v>19</v>
      </c>
    </row>
    <row r="916" spans="1:21" x14ac:dyDescent="0.25">
      <c r="A916" s="2">
        <v>45253.552777777775</v>
      </c>
      <c r="B916" t="s">
        <v>309</v>
      </c>
      <c r="C916" t="s">
        <v>213</v>
      </c>
      <c r="D916">
        <v>3</v>
      </c>
      <c r="E916" t="s">
        <v>85</v>
      </c>
      <c r="F916" t="s">
        <v>388</v>
      </c>
      <c r="G916">
        <v>1.4367816090000001</v>
      </c>
      <c r="H916">
        <v>86.206896549999996</v>
      </c>
      <c r="I916">
        <v>87.643678159999993</v>
      </c>
      <c r="J916">
        <v>12.35632184</v>
      </c>
      <c r="K916">
        <v>0.8</v>
      </c>
      <c r="L916">
        <v>0.2</v>
      </c>
      <c r="M916">
        <v>0.7</v>
      </c>
      <c r="N916">
        <v>86</v>
      </c>
      <c r="O916">
        <v>10</v>
      </c>
      <c r="P916">
        <v>600</v>
      </c>
      <c r="Q916">
        <v>87.64</v>
      </c>
      <c r="R916" t="s">
        <v>253</v>
      </c>
      <c r="S916">
        <v>2.94</v>
      </c>
      <c r="T916">
        <v>3.99</v>
      </c>
    </row>
    <row r="917" spans="1:21" x14ac:dyDescent="0.25">
      <c r="A917" s="2">
        <v>45253.84097222222</v>
      </c>
      <c r="B917" t="s">
        <v>309</v>
      </c>
      <c r="C917" t="s">
        <v>215</v>
      </c>
      <c r="D917">
        <v>2</v>
      </c>
      <c r="E917" t="s">
        <v>85</v>
      </c>
      <c r="F917" t="s">
        <v>388</v>
      </c>
      <c r="G917">
        <v>7.5034106410000003</v>
      </c>
      <c r="H917">
        <v>0</v>
      </c>
      <c r="I917">
        <v>7.5034106410000003</v>
      </c>
      <c r="J917">
        <v>92.496589360000002</v>
      </c>
      <c r="K917">
        <v>0.8</v>
      </c>
      <c r="L917">
        <v>0.2</v>
      </c>
      <c r="M917">
        <v>0.7</v>
      </c>
      <c r="N917">
        <v>678</v>
      </c>
      <c r="O917">
        <v>55</v>
      </c>
      <c r="P917">
        <v>0</v>
      </c>
      <c r="Q917">
        <v>7.5</v>
      </c>
      <c r="R917" t="s">
        <v>224</v>
      </c>
      <c r="S917">
        <v>0.24</v>
      </c>
      <c r="T917">
        <v>0.26</v>
      </c>
    </row>
    <row r="918" spans="1:21" x14ac:dyDescent="0.25">
      <c r="A918" s="2">
        <v>45254.007638888892</v>
      </c>
      <c r="B918" t="s">
        <v>309</v>
      </c>
      <c r="C918" t="s">
        <v>217</v>
      </c>
      <c r="D918">
        <v>2</v>
      </c>
      <c r="E918" t="s">
        <v>85</v>
      </c>
      <c r="F918" t="s">
        <v>388</v>
      </c>
      <c r="G918">
        <v>13.001383130000001</v>
      </c>
      <c r="H918">
        <v>0</v>
      </c>
      <c r="I918">
        <v>13.001383130000001</v>
      </c>
      <c r="J918">
        <v>86.998616870000006</v>
      </c>
      <c r="K918">
        <v>0.8</v>
      </c>
      <c r="L918">
        <v>0.2</v>
      </c>
      <c r="M918">
        <v>0.7</v>
      </c>
      <c r="N918">
        <v>629</v>
      </c>
      <c r="O918">
        <v>94</v>
      </c>
      <c r="P918">
        <v>0</v>
      </c>
      <c r="Q918">
        <v>13</v>
      </c>
      <c r="R918" t="s">
        <v>220</v>
      </c>
      <c r="S918">
        <v>0.42</v>
      </c>
      <c r="T918">
        <v>0.46</v>
      </c>
    </row>
    <row r="919" spans="1:21" x14ac:dyDescent="0.25">
      <c r="A919" s="2">
        <v>45316.519444444442</v>
      </c>
      <c r="B919" t="s">
        <v>309</v>
      </c>
      <c r="C919" t="s">
        <v>219</v>
      </c>
      <c r="D919">
        <v>3</v>
      </c>
      <c r="E919" t="s">
        <v>85</v>
      </c>
      <c r="F919" t="s">
        <v>388</v>
      </c>
      <c r="G919">
        <v>0.758725341</v>
      </c>
      <c r="H919">
        <v>89.984825490000006</v>
      </c>
      <c r="I919">
        <v>90.743550830000004</v>
      </c>
      <c r="J919">
        <v>9.2564491649999994</v>
      </c>
      <c r="K919">
        <v>0.8</v>
      </c>
      <c r="L919">
        <v>0.2</v>
      </c>
      <c r="M919">
        <v>0.7</v>
      </c>
      <c r="N919">
        <v>61</v>
      </c>
      <c r="O919">
        <v>5</v>
      </c>
      <c r="P919">
        <v>593</v>
      </c>
      <c r="Q919">
        <v>90.74</v>
      </c>
      <c r="R919" t="s">
        <v>235</v>
      </c>
      <c r="S919">
        <v>3.12</v>
      </c>
      <c r="T919">
        <v>4.5599999999999996</v>
      </c>
    </row>
    <row r="920" spans="1:21" x14ac:dyDescent="0.25">
      <c r="A920" s="2">
        <v>45320.85833333333</v>
      </c>
      <c r="B920" t="s">
        <v>309</v>
      </c>
      <c r="C920" t="s">
        <v>221</v>
      </c>
      <c r="D920">
        <v>2</v>
      </c>
      <c r="E920" t="s">
        <v>85</v>
      </c>
      <c r="F920" t="s">
        <v>388</v>
      </c>
      <c r="G920">
        <v>91.364902509999993</v>
      </c>
      <c r="H920">
        <v>0</v>
      </c>
      <c r="I920">
        <v>91.364902509999993</v>
      </c>
      <c r="J920">
        <v>8.635097493</v>
      </c>
      <c r="K920">
        <v>0.8</v>
      </c>
      <c r="L920">
        <v>0.3</v>
      </c>
      <c r="M920">
        <v>0.7</v>
      </c>
      <c r="N920">
        <v>62</v>
      </c>
      <c r="O920">
        <v>656</v>
      </c>
      <c r="P920">
        <v>0</v>
      </c>
      <c r="Q920">
        <v>91.36</v>
      </c>
      <c r="R920" t="s">
        <v>282</v>
      </c>
      <c r="S920">
        <v>2.4</v>
      </c>
      <c r="T920">
        <v>2.5099999999999998</v>
      </c>
    </row>
    <row r="921" spans="1:21" x14ac:dyDescent="0.25">
      <c r="A921" t="s">
        <v>19</v>
      </c>
      <c r="B921" t="s">
        <v>20</v>
      </c>
      <c r="C921" t="s">
        <v>306</v>
      </c>
      <c r="D921">
        <v>3</v>
      </c>
      <c r="E921" t="s">
        <v>85</v>
      </c>
      <c r="F921" t="s">
        <v>388</v>
      </c>
      <c r="G921">
        <v>8</v>
      </c>
      <c r="H921">
        <v>90</v>
      </c>
      <c r="I921">
        <f>G921+H921</f>
        <v>98</v>
      </c>
      <c r="J921">
        <f>100-G921-H921</f>
        <v>2</v>
      </c>
      <c r="K921" t="s">
        <v>19</v>
      </c>
      <c r="L921" t="s">
        <v>19</v>
      </c>
      <c r="M921" t="s">
        <v>19</v>
      </c>
      <c r="N921" t="s">
        <v>19</v>
      </c>
      <c r="O921" t="s">
        <v>19</v>
      </c>
      <c r="P921" t="s">
        <v>19</v>
      </c>
      <c r="Q921">
        <f>I921</f>
        <v>98</v>
      </c>
      <c r="R921" t="s">
        <v>19</v>
      </c>
      <c r="S921" t="s">
        <v>19</v>
      </c>
      <c r="T921" t="s">
        <v>19</v>
      </c>
    </row>
    <row r="922" spans="1:21" x14ac:dyDescent="0.25">
      <c r="A922" t="s">
        <v>19</v>
      </c>
      <c r="B922" t="s">
        <v>20</v>
      </c>
      <c r="C922" t="s">
        <v>320</v>
      </c>
      <c r="D922">
        <v>3</v>
      </c>
      <c r="E922" t="s">
        <v>85</v>
      </c>
      <c r="F922" t="s">
        <v>388</v>
      </c>
      <c r="G922">
        <v>5</v>
      </c>
      <c r="H922">
        <v>80</v>
      </c>
      <c r="I922">
        <f>100-J922</f>
        <v>85</v>
      </c>
      <c r="J922">
        <f>100-G922-H922</f>
        <v>15</v>
      </c>
      <c r="K922" t="s">
        <v>19</v>
      </c>
      <c r="L922" t="s">
        <v>19</v>
      </c>
      <c r="M922" t="s">
        <v>19</v>
      </c>
      <c r="N922" t="s">
        <v>19</v>
      </c>
      <c r="O922" t="s">
        <v>19</v>
      </c>
      <c r="P922" t="s">
        <v>19</v>
      </c>
      <c r="Q922">
        <f>I922</f>
        <v>85</v>
      </c>
      <c r="R922" t="s">
        <v>19</v>
      </c>
      <c r="S922" t="s">
        <v>19</v>
      </c>
      <c r="T922" t="s">
        <v>19</v>
      </c>
    </row>
    <row r="923" spans="1:21" x14ac:dyDescent="0.25">
      <c r="A923" s="2">
        <v>45323.56013888889</v>
      </c>
      <c r="B923" t="s">
        <v>309</v>
      </c>
      <c r="C923" t="s">
        <v>322</v>
      </c>
      <c r="D923">
        <v>3</v>
      </c>
      <c r="E923" t="s">
        <v>85</v>
      </c>
      <c r="F923" t="s">
        <v>388</v>
      </c>
      <c r="G923">
        <f>(O923/(N923+O923+P923))*100</f>
        <v>7.3573573573573565</v>
      </c>
      <c r="H923">
        <f>(P923/(O923+P923+N923))*100</f>
        <v>77.777777777777786</v>
      </c>
      <c r="I923">
        <v>85.14</v>
      </c>
      <c r="J923">
        <f>(N923/(P923+O923+N923))*100</f>
        <v>14.864864864864865</v>
      </c>
      <c r="K923">
        <v>0.8</v>
      </c>
      <c r="L923">
        <v>0.3</v>
      </c>
      <c r="M923">
        <v>0.7</v>
      </c>
      <c r="N923">
        <v>99</v>
      </c>
      <c r="O923">
        <v>49</v>
      </c>
      <c r="P923">
        <v>518</v>
      </c>
      <c r="Q923">
        <v>85.14</v>
      </c>
      <c r="R923" t="s">
        <v>350</v>
      </c>
      <c r="S923">
        <v>2.83</v>
      </c>
      <c r="T923">
        <v>4.43</v>
      </c>
      <c r="U923">
        <v>97</v>
      </c>
    </row>
    <row r="924" spans="1:21" x14ac:dyDescent="0.25">
      <c r="A924" s="2">
        <v>45323.558182870373</v>
      </c>
      <c r="B924" t="s">
        <v>309</v>
      </c>
      <c r="C924" t="s">
        <v>322</v>
      </c>
      <c r="D924">
        <v>3</v>
      </c>
      <c r="E924" t="s">
        <v>85</v>
      </c>
      <c r="F924" t="s">
        <v>388</v>
      </c>
      <c r="G924">
        <f>(O924/(N924+O924+P924))*100</f>
        <v>10.189228529839884</v>
      </c>
      <c r="H924">
        <f>(P924/(O924+P924+N924))*100</f>
        <v>79.621542940320239</v>
      </c>
      <c r="I924">
        <v>89.81</v>
      </c>
      <c r="J924">
        <f>(N924/(P924+O924+N924))*100</f>
        <v>10.189228529839884</v>
      </c>
      <c r="K924">
        <v>0.7</v>
      </c>
      <c r="L924">
        <v>0.3</v>
      </c>
      <c r="M924">
        <v>0.7</v>
      </c>
      <c r="N924">
        <v>70</v>
      </c>
      <c r="O924">
        <v>70</v>
      </c>
      <c r="P924">
        <v>547</v>
      </c>
      <c r="Q924">
        <v>89.81</v>
      </c>
      <c r="R924" t="s">
        <v>353</v>
      </c>
      <c r="S924">
        <v>2.83</v>
      </c>
      <c r="T924">
        <v>4.43</v>
      </c>
      <c r="U924">
        <v>76</v>
      </c>
    </row>
    <row r="925" spans="1:21" x14ac:dyDescent="0.25">
      <c r="A925" s="2">
        <v>45324.982465277775</v>
      </c>
      <c r="B925" t="s">
        <v>309</v>
      </c>
      <c r="C925" t="s">
        <v>368</v>
      </c>
      <c r="D925">
        <v>2</v>
      </c>
      <c r="E925" t="s">
        <v>85</v>
      </c>
      <c r="F925" t="s">
        <v>388</v>
      </c>
      <c r="G925">
        <f>(O925/(N925+O925+P925))*100</f>
        <v>95.918367346938766</v>
      </c>
      <c r="H925">
        <f>(P925/(O925+P925+N925))*100</f>
        <v>0</v>
      </c>
      <c r="I925">
        <v>95.92</v>
      </c>
      <c r="J925">
        <f>(N925/(P925+O925+N925))*100</f>
        <v>4.0816326530612246</v>
      </c>
      <c r="K925">
        <v>0.8</v>
      </c>
      <c r="L925">
        <v>0.3</v>
      </c>
      <c r="M925">
        <v>0.7</v>
      </c>
      <c r="N925">
        <v>30</v>
      </c>
      <c r="O925">
        <v>705</v>
      </c>
      <c r="P925">
        <v>0</v>
      </c>
      <c r="Q925">
        <v>95.92</v>
      </c>
      <c r="R925" t="s">
        <v>355</v>
      </c>
      <c r="S925">
        <v>2.31</v>
      </c>
      <c r="T925">
        <v>2.5099999999999998</v>
      </c>
    </row>
    <row r="926" spans="1:21" x14ac:dyDescent="0.25">
      <c r="A926" t="s">
        <v>19</v>
      </c>
      <c r="B926" t="s">
        <v>20</v>
      </c>
      <c r="C926" t="s">
        <v>306</v>
      </c>
      <c r="D926">
        <v>3</v>
      </c>
      <c r="E926" t="s">
        <v>86</v>
      </c>
      <c r="F926" t="s">
        <v>373</v>
      </c>
      <c r="G926">
        <v>0</v>
      </c>
      <c r="H926">
        <v>0</v>
      </c>
      <c r="I926">
        <f>G926+H926</f>
        <v>0</v>
      </c>
      <c r="J926">
        <f>100-G926-H926</f>
        <v>100</v>
      </c>
      <c r="K926" t="s">
        <v>19</v>
      </c>
      <c r="L926" t="s">
        <v>19</v>
      </c>
      <c r="M926" t="s">
        <v>19</v>
      </c>
      <c r="N926" t="s">
        <v>19</v>
      </c>
      <c r="O926" t="s">
        <v>19</v>
      </c>
      <c r="P926" t="s">
        <v>19</v>
      </c>
      <c r="Q926">
        <f>I926</f>
        <v>0</v>
      </c>
      <c r="R926" t="s">
        <v>19</v>
      </c>
      <c r="S926" t="s">
        <v>19</v>
      </c>
      <c r="T926" t="s">
        <v>19</v>
      </c>
    </row>
    <row r="927" spans="1:21" x14ac:dyDescent="0.25">
      <c r="A927" t="s">
        <v>19</v>
      </c>
      <c r="B927" t="s">
        <v>20</v>
      </c>
      <c r="C927" t="s">
        <v>308</v>
      </c>
      <c r="D927">
        <v>3</v>
      </c>
      <c r="E927" t="s">
        <v>86</v>
      </c>
      <c r="F927" t="s">
        <v>373</v>
      </c>
      <c r="G927">
        <v>0</v>
      </c>
      <c r="H927">
        <v>0</v>
      </c>
      <c r="I927">
        <f>G927+H927</f>
        <v>0</v>
      </c>
      <c r="J927">
        <f>100-G927-H927</f>
        <v>100</v>
      </c>
      <c r="K927" t="s">
        <v>19</v>
      </c>
      <c r="L927" t="s">
        <v>19</v>
      </c>
      <c r="M927" t="s">
        <v>19</v>
      </c>
      <c r="N927" t="s">
        <v>19</v>
      </c>
      <c r="O927" t="s">
        <v>19</v>
      </c>
      <c r="P927" t="s">
        <v>19</v>
      </c>
      <c r="Q927">
        <f>I927</f>
        <v>0</v>
      </c>
      <c r="R927" t="s">
        <v>19</v>
      </c>
      <c r="S927" t="s">
        <v>19</v>
      </c>
      <c r="T927" t="s">
        <v>19</v>
      </c>
    </row>
    <row r="928" spans="1:21" x14ac:dyDescent="0.25">
      <c r="A928" t="s">
        <v>19</v>
      </c>
      <c r="B928" t="s">
        <v>20</v>
      </c>
      <c r="C928" t="s">
        <v>22</v>
      </c>
      <c r="D928">
        <v>3</v>
      </c>
      <c r="E928" t="s">
        <v>86</v>
      </c>
      <c r="F928" t="s">
        <v>373</v>
      </c>
      <c r="G928">
        <v>0</v>
      </c>
      <c r="H928">
        <v>0</v>
      </c>
      <c r="I928">
        <f>G928+H928</f>
        <v>0</v>
      </c>
      <c r="J928">
        <f>100-G928-H928</f>
        <v>100</v>
      </c>
      <c r="K928" t="s">
        <v>19</v>
      </c>
      <c r="L928" t="s">
        <v>19</v>
      </c>
      <c r="M928" t="s">
        <v>19</v>
      </c>
      <c r="N928" t="s">
        <v>19</v>
      </c>
      <c r="O928" t="s">
        <v>19</v>
      </c>
      <c r="P928" t="s">
        <v>19</v>
      </c>
      <c r="Q928">
        <f>I928</f>
        <v>0</v>
      </c>
      <c r="R928" t="s">
        <v>19</v>
      </c>
      <c r="S928" t="s">
        <v>19</v>
      </c>
      <c r="T928" t="s">
        <v>19</v>
      </c>
    </row>
    <row r="929" spans="1:21" x14ac:dyDescent="0.25">
      <c r="A929" t="s">
        <v>19</v>
      </c>
      <c r="B929" t="s">
        <v>20</v>
      </c>
      <c r="C929" t="s">
        <v>305</v>
      </c>
      <c r="D929">
        <v>3</v>
      </c>
      <c r="E929" t="s">
        <v>86</v>
      </c>
      <c r="F929" t="s">
        <v>373</v>
      </c>
      <c r="G929">
        <v>0</v>
      </c>
      <c r="H929">
        <v>0</v>
      </c>
      <c r="I929">
        <f>G929+H929</f>
        <v>0</v>
      </c>
      <c r="J929">
        <f>100-G929-H929</f>
        <v>100</v>
      </c>
      <c r="K929" t="s">
        <v>19</v>
      </c>
      <c r="L929" t="s">
        <v>19</v>
      </c>
      <c r="M929" t="s">
        <v>19</v>
      </c>
      <c r="N929" t="s">
        <v>19</v>
      </c>
      <c r="O929" t="s">
        <v>19</v>
      </c>
      <c r="P929" t="s">
        <v>19</v>
      </c>
      <c r="Q929">
        <f>I929</f>
        <v>0</v>
      </c>
      <c r="R929" t="s">
        <v>19</v>
      </c>
      <c r="S929" t="s">
        <v>19</v>
      </c>
      <c r="T929" t="s">
        <v>19</v>
      </c>
    </row>
    <row r="930" spans="1:21" x14ac:dyDescent="0.25">
      <c r="A930" t="s">
        <v>19</v>
      </c>
      <c r="B930" t="s">
        <v>20</v>
      </c>
      <c r="C930" t="s">
        <v>307</v>
      </c>
      <c r="D930">
        <v>3</v>
      </c>
      <c r="E930" t="s">
        <v>86</v>
      </c>
      <c r="F930" t="s">
        <v>373</v>
      </c>
      <c r="G930">
        <v>0</v>
      </c>
      <c r="H930">
        <v>0</v>
      </c>
      <c r="I930">
        <f>G930+H930</f>
        <v>0</v>
      </c>
      <c r="J930">
        <f>100-G930-H930</f>
        <v>100</v>
      </c>
      <c r="K930" t="s">
        <v>19</v>
      </c>
      <c r="L930" t="s">
        <v>19</v>
      </c>
      <c r="M930" t="s">
        <v>19</v>
      </c>
      <c r="N930" t="s">
        <v>19</v>
      </c>
      <c r="O930" t="s">
        <v>19</v>
      </c>
      <c r="P930" t="s">
        <v>19</v>
      </c>
      <c r="Q930">
        <f>I930</f>
        <v>0</v>
      </c>
      <c r="R930" t="s">
        <v>19</v>
      </c>
      <c r="S930" t="s">
        <v>19</v>
      </c>
      <c r="T930" t="s">
        <v>19</v>
      </c>
    </row>
    <row r="931" spans="1:21" x14ac:dyDescent="0.25">
      <c r="A931" s="2">
        <v>45253.71875</v>
      </c>
      <c r="B931" t="s">
        <v>309</v>
      </c>
      <c r="C931" t="s">
        <v>213</v>
      </c>
      <c r="D931">
        <v>3</v>
      </c>
      <c r="E931" t="s">
        <v>86</v>
      </c>
      <c r="F931" t="s">
        <v>373</v>
      </c>
      <c r="G931">
        <v>0</v>
      </c>
      <c r="H931">
        <v>0</v>
      </c>
      <c r="I931">
        <v>0</v>
      </c>
      <c r="J931">
        <v>100</v>
      </c>
      <c r="K931">
        <v>0.8</v>
      </c>
      <c r="L931">
        <v>0.2</v>
      </c>
      <c r="M931">
        <v>0.7</v>
      </c>
      <c r="N931">
        <v>633</v>
      </c>
      <c r="O931">
        <v>0</v>
      </c>
      <c r="P931">
        <v>0</v>
      </c>
      <c r="Q931">
        <v>0</v>
      </c>
      <c r="R931" t="s">
        <v>265</v>
      </c>
      <c r="S931">
        <v>2.7</v>
      </c>
      <c r="T931">
        <v>3.25</v>
      </c>
    </row>
    <row r="932" spans="1:21" x14ac:dyDescent="0.25">
      <c r="A932" s="2">
        <v>45253.928472222222</v>
      </c>
      <c r="B932" t="s">
        <v>309</v>
      </c>
      <c r="C932" t="s">
        <v>215</v>
      </c>
      <c r="D932">
        <v>2</v>
      </c>
      <c r="E932" t="s">
        <v>86</v>
      </c>
      <c r="F932" t="s">
        <v>373</v>
      </c>
      <c r="G932">
        <v>11.594202900000001</v>
      </c>
      <c r="H932">
        <v>0</v>
      </c>
      <c r="I932">
        <v>11.594202900000001</v>
      </c>
      <c r="J932">
        <v>88.405797100000001</v>
      </c>
      <c r="K932">
        <v>0.8</v>
      </c>
      <c r="L932">
        <v>0.2</v>
      </c>
      <c r="M932">
        <v>0.7</v>
      </c>
      <c r="N932">
        <v>488</v>
      </c>
      <c r="O932">
        <v>64</v>
      </c>
      <c r="P932">
        <v>0</v>
      </c>
      <c r="Q932">
        <v>11.59</v>
      </c>
      <c r="R932" t="s">
        <v>227</v>
      </c>
      <c r="S932">
        <v>0.45</v>
      </c>
      <c r="T932">
        <v>0.49</v>
      </c>
    </row>
    <row r="933" spans="1:21" x14ac:dyDescent="0.25">
      <c r="A933" s="2">
        <v>45254.102777777778</v>
      </c>
      <c r="B933" t="s">
        <v>309</v>
      </c>
      <c r="C933" t="s">
        <v>217</v>
      </c>
      <c r="D933">
        <v>2</v>
      </c>
      <c r="E933" t="s">
        <v>86</v>
      </c>
      <c r="F933" t="s">
        <v>373</v>
      </c>
      <c r="G933">
        <v>9.5238095240000007</v>
      </c>
      <c r="H933">
        <v>0</v>
      </c>
      <c r="I933">
        <v>9.5238095240000007</v>
      </c>
      <c r="J933">
        <v>90.47619048</v>
      </c>
      <c r="K933">
        <v>0.8</v>
      </c>
      <c r="L933">
        <v>0.2</v>
      </c>
      <c r="M933">
        <v>0.7</v>
      </c>
      <c r="N933">
        <v>551</v>
      </c>
      <c r="O933">
        <v>58</v>
      </c>
      <c r="P933">
        <v>0</v>
      </c>
      <c r="Q933">
        <v>9.52</v>
      </c>
      <c r="R933" t="s">
        <v>225</v>
      </c>
      <c r="S933">
        <v>0.28999999999999998</v>
      </c>
      <c r="T933">
        <v>0.3</v>
      </c>
    </row>
    <row r="934" spans="1:21" x14ac:dyDescent="0.25">
      <c r="A934" s="2">
        <v>45316.438888888886</v>
      </c>
      <c r="B934" t="s">
        <v>309</v>
      </c>
      <c r="C934" t="s">
        <v>219</v>
      </c>
      <c r="D934">
        <v>3</v>
      </c>
      <c r="E934" t="s">
        <v>86</v>
      </c>
      <c r="F934" t="s">
        <v>373</v>
      </c>
      <c r="G934">
        <v>0.20040080199999999</v>
      </c>
      <c r="H934">
        <v>0</v>
      </c>
      <c r="I934">
        <v>0.20040080199999999</v>
      </c>
      <c r="J934">
        <v>99.799599200000003</v>
      </c>
      <c r="K934">
        <v>0.8</v>
      </c>
      <c r="L934">
        <v>0.2</v>
      </c>
      <c r="M934">
        <v>0.7</v>
      </c>
      <c r="N934">
        <v>498</v>
      </c>
      <c r="O934">
        <v>1</v>
      </c>
      <c r="P934">
        <v>0</v>
      </c>
      <c r="Q934">
        <v>0.2</v>
      </c>
      <c r="R934" t="s">
        <v>243</v>
      </c>
      <c r="S934">
        <v>3.27</v>
      </c>
      <c r="T934">
        <v>4.71</v>
      </c>
    </row>
    <row r="935" spans="1:21" x14ac:dyDescent="0.25">
      <c r="A935" s="2">
        <v>45320.961111111108</v>
      </c>
      <c r="B935" t="s">
        <v>309</v>
      </c>
      <c r="C935" t="s">
        <v>221</v>
      </c>
      <c r="D935">
        <v>2</v>
      </c>
      <c r="E935" t="s">
        <v>86</v>
      </c>
      <c r="F935" t="s">
        <v>373</v>
      </c>
      <c r="G935">
        <v>2.2222222220000001</v>
      </c>
      <c r="H935">
        <v>0</v>
      </c>
      <c r="I935">
        <v>2.2222222220000001</v>
      </c>
      <c r="J935">
        <v>97.777777779999994</v>
      </c>
      <c r="K935">
        <v>0.8</v>
      </c>
      <c r="L935">
        <v>0.3</v>
      </c>
      <c r="M935">
        <v>0.7</v>
      </c>
      <c r="N935">
        <v>572</v>
      </c>
      <c r="O935">
        <v>13</v>
      </c>
      <c r="P935">
        <v>0</v>
      </c>
      <c r="Q935">
        <v>2.2200000000000002</v>
      </c>
      <c r="R935" t="s">
        <v>220</v>
      </c>
      <c r="S935">
        <v>0.17</v>
      </c>
      <c r="T935">
        <v>0.19</v>
      </c>
    </row>
    <row r="936" spans="1:21" x14ac:dyDescent="0.25">
      <c r="A936" t="s">
        <v>19</v>
      </c>
      <c r="B936" t="s">
        <v>20</v>
      </c>
      <c r="C936" t="s">
        <v>320</v>
      </c>
      <c r="D936">
        <v>3</v>
      </c>
      <c r="E936" t="s">
        <v>86</v>
      </c>
      <c r="F936" t="s">
        <v>373</v>
      </c>
      <c r="G936">
        <v>0</v>
      </c>
      <c r="H936">
        <v>0</v>
      </c>
      <c r="I936">
        <f>100-J936</f>
        <v>0</v>
      </c>
      <c r="J936">
        <f>100-G936-H936</f>
        <v>100</v>
      </c>
      <c r="K936" t="s">
        <v>19</v>
      </c>
      <c r="L936" t="s">
        <v>19</v>
      </c>
      <c r="M936" t="s">
        <v>19</v>
      </c>
      <c r="N936" t="s">
        <v>19</v>
      </c>
      <c r="O936" t="s">
        <v>19</v>
      </c>
      <c r="P936" t="s">
        <v>19</v>
      </c>
      <c r="Q936">
        <f>I936</f>
        <v>0</v>
      </c>
      <c r="R936" t="s">
        <v>19</v>
      </c>
      <c r="S936" t="s">
        <v>19</v>
      </c>
      <c r="T936" t="s">
        <v>19</v>
      </c>
    </row>
    <row r="937" spans="1:21" x14ac:dyDescent="0.25">
      <c r="A937" s="2">
        <v>45323.561967592592</v>
      </c>
      <c r="B937" t="s">
        <v>309</v>
      </c>
      <c r="C937" t="s">
        <v>322</v>
      </c>
      <c r="D937">
        <v>3</v>
      </c>
      <c r="E937" t="s">
        <v>86</v>
      </c>
      <c r="F937" t="s">
        <v>373</v>
      </c>
      <c r="G937">
        <f>(O937/(N937+O937+P937))*100</f>
        <v>0.49423393739703458</v>
      </c>
      <c r="H937">
        <f>(P937/(O937+P937+N937))*100</f>
        <v>0</v>
      </c>
      <c r="I937">
        <f>((O937+P937)/(P937+O937+N937))*100</f>
        <v>0.49423393739703458</v>
      </c>
      <c r="J937">
        <f>(N937/(P937+O937+N937))*100</f>
        <v>99.505766062602959</v>
      </c>
      <c r="K937">
        <v>0.8</v>
      </c>
      <c r="L937">
        <v>0.3</v>
      </c>
      <c r="M937">
        <v>0.7</v>
      </c>
      <c r="N937">
        <v>604</v>
      </c>
      <c r="O937">
        <v>3</v>
      </c>
      <c r="P937">
        <v>0</v>
      </c>
      <c r="Q937">
        <v>0.49</v>
      </c>
      <c r="R937" t="s">
        <v>296</v>
      </c>
      <c r="S937">
        <v>2.4500000000000002</v>
      </c>
      <c r="T937">
        <v>3.38</v>
      </c>
      <c r="U937">
        <v>50</v>
      </c>
    </row>
    <row r="938" spans="1:21" x14ac:dyDescent="0.25">
      <c r="A938" s="2">
        <v>45323.564756944441</v>
      </c>
      <c r="B938" t="s">
        <v>309</v>
      </c>
      <c r="C938" t="s">
        <v>322</v>
      </c>
      <c r="D938">
        <v>3</v>
      </c>
      <c r="E938" t="s">
        <v>86</v>
      </c>
      <c r="F938" t="s">
        <v>373</v>
      </c>
      <c r="G938">
        <f>(O938/(N938+O938+P938))*100</f>
        <v>1.6286644951140066</v>
      </c>
      <c r="H938">
        <f>(P938/(O938+P938+N938))*100</f>
        <v>0</v>
      </c>
      <c r="I938">
        <f>((O938+P938)/(P938+O938+N938))*100</f>
        <v>1.6286644951140066</v>
      </c>
      <c r="J938">
        <f>(N938/(P938+O938+N938))*100</f>
        <v>98.371335504885991</v>
      </c>
      <c r="K938">
        <v>0.7</v>
      </c>
      <c r="L938">
        <v>0.3</v>
      </c>
      <c r="M938">
        <v>0.7</v>
      </c>
      <c r="N938">
        <v>604</v>
      </c>
      <c r="O938">
        <v>10</v>
      </c>
      <c r="P938">
        <v>0</v>
      </c>
      <c r="Q938">
        <v>1.63</v>
      </c>
      <c r="R938" t="s">
        <v>345</v>
      </c>
      <c r="S938">
        <v>2.4500000000000002</v>
      </c>
      <c r="T938">
        <v>3.38</v>
      </c>
      <c r="U938">
        <v>43</v>
      </c>
    </row>
    <row r="939" spans="1:21" x14ac:dyDescent="0.25">
      <c r="A939" s="2">
        <v>45325.135578703703</v>
      </c>
      <c r="B939" t="s">
        <v>309</v>
      </c>
      <c r="C939" t="s">
        <v>368</v>
      </c>
      <c r="D939">
        <v>2</v>
      </c>
      <c r="E939" t="s">
        <v>86</v>
      </c>
      <c r="F939" t="s">
        <v>373</v>
      </c>
      <c r="G939">
        <f>(O939/(N939+O939+P939))*100</f>
        <v>2.8571428571428572</v>
      </c>
      <c r="H939">
        <f>(P939/(O939+P939+N939))*100</f>
        <v>0</v>
      </c>
      <c r="I939">
        <v>2.86</v>
      </c>
      <c r="J939">
        <f>(N939/(P939+O939+N939))*100</f>
        <v>97.142857142857139</v>
      </c>
      <c r="K939">
        <v>0.8</v>
      </c>
      <c r="L939">
        <v>0.3</v>
      </c>
      <c r="M939">
        <v>0.7</v>
      </c>
      <c r="N939">
        <v>476</v>
      </c>
      <c r="O939">
        <v>14</v>
      </c>
      <c r="P939">
        <v>0</v>
      </c>
      <c r="Q939">
        <v>2.86</v>
      </c>
      <c r="R939" t="s">
        <v>276</v>
      </c>
      <c r="S939">
        <v>0.35</v>
      </c>
      <c r="T939">
        <v>0.37</v>
      </c>
    </row>
    <row r="940" spans="1:21" x14ac:dyDescent="0.25">
      <c r="A940" t="s">
        <v>19</v>
      </c>
      <c r="B940" t="s">
        <v>20</v>
      </c>
      <c r="C940" t="s">
        <v>306</v>
      </c>
      <c r="D940">
        <v>3</v>
      </c>
      <c r="E940" t="s">
        <v>87</v>
      </c>
      <c r="F940" t="s">
        <v>373</v>
      </c>
      <c r="G940">
        <v>0</v>
      </c>
      <c r="H940">
        <v>0</v>
      </c>
      <c r="I940">
        <f>G940+H940</f>
        <v>0</v>
      </c>
      <c r="J940">
        <f>100-G940-H940</f>
        <v>100</v>
      </c>
      <c r="K940" t="s">
        <v>19</v>
      </c>
      <c r="L940" t="s">
        <v>19</v>
      </c>
      <c r="M940" t="s">
        <v>19</v>
      </c>
      <c r="N940" t="s">
        <v>19</v>
      </c>
      <c r="O940" t="s">
        <v>19</v>
      </c>
      <c r="P940" t="s">
        <v>19</v>
      </c>
      <c r="Q940">
        <f>I940</f>
        <v>0</v>
      </c>
      <c r="R940" t="s">
        <v>19</v>
      </c>
      <c r="S940" t="s">
        <v>19</v>
      </c>
      <c r="T940" t="s">
        <v>19</v>
      </c>
    </row>
    <row r="941" spans="1:21" x14ac:dyDescent="0.25">
      <c r="A941" t="s">
        <v>19</v>
      </c>
      <c r="B941" t="s">
        <v>20</v>
      </c>
      <c r="C941" t="s">
        <v>308</v>
      </c>
      <c r="D941">
        <v>3</v>
      </c>
      <c r="E941" t="s">
        <v>87</v>
      </c>
      <c r="F941" t="s">
        <v>373</v>
      </c>
      <c r="G941">
        <v>0</v>
      </c>
      <c r="H941">
        <v>0</v>
      </c>
      <c r="I941">
        <f>G941+H941</f>
        <v>0</v>
      </c>
      <c r="J941">
        <f>100-G941-H941</f>
        <v>100</v>
      </c>
      <c r="K941" t="s">
        <v>19</v>
      </c>
      <c r="L941" t="s">
        <v>19</v>
      </c>
      <c r="M941" t="s">
        <v>19</v>
      </c>
      <c r="N941" t="s">
        <v>19</v>
      </c>
      <c r="O941" t="s">
        <v>19</v>
      </c>
      <c r="P941" t="s">
        <v>19</v>
      </c>
      <c r="Q941">
        <f>I941</f>
        <v>0</v>
      </c>
      <c r="R941" t="s">
        <v>19</v>
      </c>
      <c r="S941" t="s">
        <v>19</v>
      </c>
      <c r="T941" t="s">
        <v>19</v>
      </c>
    </row>
    <row r="942" spans="1:21" x14ac:dyDescent="0.25">
      <c r="A942" t="s">
        <v>19</v>
      </c>
      <c r="B942" t="s">
        <v>20</v>
      </c>
      <c r="C942" t="s">
        <v>22</v>
      </c>
      <c r="D942">
        <v>3</v>
      </c>
      <c r="E942" t="s">
        <v>87</v>
      </c>
      <c r="F942" t="s">
        <v>373</v>
      </c>
      <c r="G942">
        <v>0</v>
      </c>
      <c r="H942">
        <v>0</v>
      </c>
      <c r="I942">
        <f>G942+H942</f>
        <v>0</v>
      </c>
      <c r="J942">
        <f>100-G942-H942</f>
        <v>100</v>
      </c>
      <c r="K942" t="s">
        <v>19</v>
      </c>
      <c r="L942" t="s">
        <v>19</v>
      </c>
      <c r="M942" t="s">
        <v>19</v>
      </c>
      <c r="N942" t="s">
        <v>19</v>
      </c>
      <c r="O942" t="s">
        <v>19</v>
      </c>
      <c r="P942" t="s">
        <v>19</v>
      </c>
      <c r="Q942">
        <f>I942</f>
        <v>0</v>
      </c>
      <c r="R942" t="s">
        <v>19</v>
      </c>
      <c r="S942" t="s">
        <v>19</v>
      </c>
      <c r="T942" t="s">
        <v>19</v>
      </c>
    </row>
    <row r="943" spans="1:21" x14ac:dyDescent="0.25">
      <c r="A943" t="s">
        <v>19</v>
      </c>
      <c r="B943" t="s">
        <v>20</v>
      </c>
      <c r="C943" t="s">
        <v>305</v>
      </c>
      <c r="D943">
        <v>3</v>
      </c>
      <c r="E943" t="s">
        <v>87</v>
      </c>
      <c r="F943" t="s">
        <v>373</v>
      </c>
      <c r="G943">
        <v>0</v>
      </c>
      <c r="H943">
        <v>0</v>
      </c>
      <c r="I943">
        <f>G943+H943</f>
        <v>0</v>
      </c>
      <c r="J943">
        <f>100-G943-H943</f>
        <v>100</v>
      </c>
      <c r="K943" t="s">
        <v>19</v>
      </c>
      <c r="L943" t="s">
        <v>19</v>
      </c>
      <c r="M943" t="s">
        <v>19</v>
      </c>
      <c r="N943" t="s">
        <v>19</v>
      </c>
      <c r="O943" t="s">
        <v>19</v>
      </c>
      <c r="P943" t="s">
        <v>19</v>
      </c>
      <c r="Q943">
        <f>I943</f>
        <v>0</v>
      </c>
      <c r="R943" t="s">
        <v>19</v>
      </c>
      <c r="S943" t="s">
        <v>19</v>
      </c>
      <c r="T943" t="s">
        <v>19</v>
      </c>
    </row>
    <row r="944" spans="1:21" x14ac:dyDescent="0.25">
      <c r="A944" t="s">
        <v>19</v>
      </c>
      <c r="B944" t="s">
        <v>20</v>
      </c>
      <c r="C944" t="s">
        <v>307</v>
      </c>
      <c r="D944">
        <v>3</v>
      </c>
      <c r="E944" t="s">
        <v>87</v>
      </c>
      <c r="F944" t="s">
        <v>373</v>
      </c>
      <c r="G944">
        <v>0</v>
      </c>
      <c r="H944">
        <v>0</v>
      </c>
      <c r="I944">
        <f>G944+H944</f>
        <v>0</v>
      </c>
      <c r="J944">
        <f>100-G944-H944</f>
        <v>100</v>
      </c>
      <c r="K944" t="s">
        <v>19</v>
      </c>
      <c r="L944" t="s">
        <v>19</v>
      </c>
      <c r="M944" t="s">
        <v>19</v>
      </c>
      <c r="N944" t="s">
        <v>19</v>
      </c>
      <c r="O944" t="s">
        <v>19</v>
      </c>
      <c r="P944" t="s">
        <v>19</v>
      </c>
      <c r="Q944">
        <f>I944</f>
        <v>0</v>
      </c>
      <c r="R944" t="s">
        <v>19</v>
      </c>
      <c r="S944" t="s">
        <v>19</v>
      </c>
      <c r="T944" t="s">
        <v>19</v>
      </c>
    </row>
    <row r="945" spans="1:21" x14ac:dyDescent="0.25">
      <c r="A945" s="2">
        <v>45253.720138888886</v>
      </c>
      <c r="B945" t="s">
        <v>309</v>
      </c>
      <c r="C945" t="s">
        <v>213</v>
      </c>
      <c r="D945">
        <v>3</v>
      </c>
      <c r="E945" t="s">
        <v>87</v>
      </c>
      <c r="F945" t="s">
        <v>373</v>
      </c>
      <c r="G945">
        <v>0.46367851599999999</v>
      </c>
      <c r="H945">
        <v>0</v>
      </c>
      <c r="I945">
        <v>0.46367851599999999</v>
      </c>
      <c r="J945">
        <v>99.536321479999998</v>
      </c>
      <c r="K945">
        <v>0.8</v>
      </c>
      <c r="L945">
        <v>0.2</v>
      </c>
      <c r="M945">
        <v>0.7</v>
      </c>
      <c r="N945">
        <v>644</v>
      </c>
      <c r="O945">
        <v>3</v>
      </c>
      <c r="P945">
        <v>0</v>
      </c>
      <c r="Q945">
        <v>0.46</v>
      </c>
      <c r="R945" t="s">
        <v>248</v>
      </c>
      <c r="S945">
        <v>2.99</v>
      </c>
      <c r="T945">
        <v>3.34</v>
      </c>
    </row>
    <row r="946" spans="1:21" x14ac:dyDescent="0.25">
      <c r="A946" s="2">
        <v>45253.929166666669</v>
      </c>
      <c r="B946" t="s">
        <v>309</v>
      </c>
      <c r="C946" t="s">
        <v>215</v>
      </c>
      <c r="D946">
        <v>2</v>
      </c>
      <c r="E946" t="s">
        <v>87</v>
      </c>
      <c r="F946" t="s">
        <v>373</v>
      </c>
      <c r="G946">
        <v>0.140252454</v>
      </c>
      <c r="H946">
        <v>0</v>
      </c>
      <c r="I946">
        <v>0.140252454</v>
      </c>
      <c r="J946">
        <v>99.859747549999994</v>
      </c>
      <c r="K946">
        <v>0.8</v>
      </c>
      <c r="L946">
        <v>0.2</v>
      </c>
      <c r="M946">
        <v>0.7</v>
      </c>
      <c r="N946">
        <v>712</v>
      </c>
      <c r="O946">
        <v>1</v>
      </c>
      <c r="P946">
        <v>0</v>
      </c>
      <c r="Q946">
        <v>0.14000000000000001</v>
      </c>
      <c r="R946" t="s">
        <v>257</v>
      </c>
      <c r="S946">
        <v>0.01</v>
      </c>
      <c r="T946">
        <v>0.02</v>
      </c>
    </row>
    <row r="947" spans="1:21" x14ac:dyDescent="0.25">
      <c r="A947" s="2">
        <v>45254.103472222225</v>
      </c>
      <c r="B947" t="s">
        <v>309</v>
      </c>
      <c r="C947" t="s">
        <v>217</v>
      </c>
      <c r="D947">
        <v>2</v>
      </c>
      <c r="E947" t="s">
        <v>87</v>
      </c>
      <c r="F947" t="s">
        <v>373</v>
      </c>
      <c r="G947">
        <v>0.141442716</v>
      </c>
      <c r="H947">
        <v>0</v>
      </c>
      <c r="I947">
        <v>0.141442716</v>
      </c>
      <c r="J947">
        <v>99.858557279999999</v>
      </c>
      <c r="K947">
        <v>0.8</v>
      </c>
      <c r="L947">
        <v>0.2</v>
      </c>
      <c r="M947">
        <v>0.7</v>
      </c>
      <c r="N947">
        <v>706</v>
      </c>
      <c r="O947">
        <v>1</v>
      </c>
      <c r="P947">
        <v>0</v>
      </c>
      <c r="Q947">
        <v>0.14000000000000001</v>
      </c>
      <c r="R947" t="s">
        <v>227</v>
      </c>
      <c r="S947">
        <v>0.02</v>
      </c>
      <c r="T947">
        <v>0.02</v>
      </c>
    </row>
    <row r="948" spans="1:21" x14ac:dyDescent="0.25">
      <c r="A948" s="2">
        <v>45316.44027777778</v>
      </c>
      <c r="B948" t="s">
        <v>309</v>
      </c>
      <c r="C948" t="s">
        <v>219</v>
      </c>
      <c r="D948">
        <v>3</v>
      </c>
      <c r="E948" t="s">
        <v>87</v>
      </c>
      <c r="F948" t="s">
        <v>373</v>
      </c>
      <c r="G948">
        <v>0.16129032300000001</v>
      </c>
      <c r="H948">
        <v>0</v>
      </c>
      <c r="I948">
        <v>0.16129032300000001</v>
      </c>
      <c r="J948">
        <v>99.838709679999994</v>
      </c>
      <c r="K948">
        <v>0.8</v>
      </c>
      <c r="L948">
        <v>0.2</v>
      </c>
      <c r="M948">
        <v>0.7</v>
      </c>
      <c r="N948">
        <v>619</v>
      </c>
      <c r="O948">
        <v>1</v>
      </c>
      <c r="P948">
        <v>0</v>
      </c>
      <c r="Q948">
        <v>0.16</v>
      </c>
      <c r="R948" t="s">
        <v>227</v>
      </c>
      <c r="S948">
        <v>3.18</v>
      </c>
      <c r="T948">
        <v>4.4000000000000004</v>
      </c>
    </row>
    <row r="949" spans="1:21" x14ac:dyDescent="0.25">
      <c r="A949" s="2">
        <v>45320.962500000001</v>
      </c>
      <c r="B949" t="s">
        <v>309</v>
      </c>
      <c r="C949" t="s">
        <v>221</v>
      </c>
      <c r="D949">
        <v>2</v>
      </c>
      <c r="E949" t="s">
        <v>87</v>
      </c>
      <c r="F949" t="s">
        <v>373</v>
      </c>
      <c r="G949">
        <v>0.931677019</v>
      </c>
      <c r="H949">
        <v>0</v>
      </c>
      <c r="I949">
        <v>0.931677019</v>
      </c>
      <c r="J949">
        <v>99.068322980000005</v>
      </c>
      <c r="K949">
        <v>0.8</v>
      </c>
      <c r="L949">
        <v>0.3</v>
      </c>
      <c r="M949">
        <v>0.7</v>
      </c>
      <c r="N949">
        <v>638</v>
      </c>
      <c r="O949">
        <v>6</v>
      </c>
      <c r="P949">
        <v>0</v>
      </c>
      <c r="Q949">
        <v>0.93</v>
      </c>
      <c r="R949" t="s">
        <v>235</v>
      </c>
      <c r="S949">
        <v>0.08</v>
      </c>
      <c r="T949">
        <v>0.08</v>
      </c>
    </row>
    <row r="950" spans="1:21" x14ac:dyDescent="0.25">
      <c r="A950" t="s">
        <v>19</v>
      </c>
      <c r="B950" t="s">
        <v>20</v>
      </c>
      <c r="C950" t="s">
        <v>320</v>
      </c>
      <c r="D950">
        <v>3</v>
      </c>
      <c r="E950" t="s">
        <v>87</v>
      </c>
      <c r="F950" t="s">
        <v>373</v>
      </c>
      <c r="G950">
        <v>0</v>
      </c>
      <c r="H950">
        <v>0</v>
      </c>
      <c r="I950">
        <f>100-J950</f>
        <v>0</v>
      </c>
      <c r="J950">
        <f>100-G950-H950</f>
        <v>100</v>
      </c>
      <c r="K950" t="s">
        <v>19</v>
      </c>
      <c r="L950" t="s">
        <v>19</v>
      </c>
      <c r="M950" t="s">
        <v>19</v>
      </c>
      <c r="N950" t="s">
        <v>19</v>
      </c>
      <c r="O950" t="s">
        <v>19</v>
      </c>
      <c r="P950" t="s">
        <v>19</v>
      </c>
      <c r="Q950">
        <f>I950</f>
        <v>0</v>
      </c>
      <c r="R950" t="s">
        <v>19</v>
      </c>
      <c r="S950" t="s">
        <v>19</v>
      </c>
      <c r="T950" t="s">
        <v>19</v>
      </c>
    </row>
    <row r="951" spans="1:21" x14ac:dyDescent="0.25">
      <c r="A951" s="2">
        <v>45323.563611111109</v>
      </c>
      <c r="B951" t="s">
        <v>309</v>
      </c>
      <c r="C951" t="s">
        <v>322</v>
      </c>
      <c r="D951">
        <v>3</v>
      </c>
      <c r="E951" t="s">
        <v>87</v>
      </c>
      <c r="F951" t="s">
        <v>373</v>
      </c>
      <c r="G951">
        <f>(O951/(N951+O951+P951))*100</f>
        <v>0.15128593040847202</v>
      </c>
      <c r="H951">
        <f>(P951/(O951+P951+N951))*100</f>
        <v>0</v>
      </c>
      <c r="I951">
        <f>((O951+P951)/(P951+O951+N951))*100</f>
        <v>0.15128593040847202</v>
      </c>
      <c r="J951">
        <f>(N951/(P951+O951+N951))*100</f>
        <v>99.848714069591523</v>
      </c>
      <c r="K951">
        <v>0.8</v>
      </c>
      <c r="L951">
        <v>0.3</v>
      </c>
      <c r="M951">
        <v>0.7</v>
      </c>
      <c r="N951">
        <v>660</v>
      </c>
      <c r="O951">
        <v>1</v>
      </c>
      <c r="P951">
        <v>0</v>
      </c>
      <c r="Q951">
        <v>0.15</v>
      </c>
      <c r="R951" t="s">
        <v>339</v>
      </c>
      <c r="S951">
        <v>2.79</v>
      </c>
      <c r="T951">
        <v>3.03</v>
      </c>
      <c r="U951">
        <v>19</v>
      </c>
    </row>
    <row r="952" spans="1:21" x14ac:dyDescent="0.25">
      <c r="A952" s="2">
        <v>45323.566388888888</v>
      </c>
      <c r="B952" t="s">
        <v>309</v>
      </c>
      <c r="C952" t="s">
        <v>322</v>
      </c>
      <c r="D952">
        <v>3</v>
      </c>
      <c r="E952" t="s">
        <v>87</v>
      </c>
      <c r="F952" t="s">
        <v>373</v>
      </c>
      <c r="G952">
        <f>(O952/(N952+O952+P952))*100</f>
        <v>0.30211480362537763</v>
      </c>
      <c r="H952">
        <f>(P952/(O952+P952+N952))*100</f>
        <v>0</v>
      </c>
      <c r="I952">
        <f>((O952+P952)/(P952+O952+N952))*100</f>
        <v>0.30211480362537763</v>
      </c>
      <c r="J952">
        <f>(N952/(P952+O952+N952))*100</f>
        <v>99.697885196374628</v>
      </c>
      <c r="K952">
        <v>0.7</v>
      </c>
      <c r="L952">
        <v>0.3</v>
      </c>
      <c r="M952">
        <v>0.7</v>
      </c>
      <c r="N952">
        <v>660</v>
      </c>
      <c r="O952">
        <v>2</v>
      </c>
      <c r="P952">
        <v>0</v>
      </c>
      <c r="Q952">
        <v>0.3</v>
      </c>
      <c r="R952" t="s">
        <v>339</v>
      </c>
      <c r="S952">
        <v>2.79</v>
      </c>
      <c r="T952">
        <v>3.03</v>
      </c>
      <c r="U952">
        <v>18</v>
      </c>
    </row>
    <row r="953" spans="1:21" x14ac:dyDescent="0.25">
      <c r="A953" s="2">
        <v>45325.136886574073</v>
      </c>
      <c r="B953" t="s">
        <v>309</v>
      </c>
      <c r="C953" t="s">
        <v>368</v>
      </c>
      <c r="D953">
        <v>2</v>
      </c>
      <c r="E953" t="s">
        <v>87</v>
      </c>
      <c r="F953" t="s">
        <v>373</v>
      </c>
      <c r="G953">
        <f>(O953/(N953+O953+P953))*100</f>
        <v>0</v>
      </c>
      <c r="H953">
        <f>(P953/(O953+P953+N953))*100</f>
        <v>0</v>
      </c>
      <c r="I953">
        <v>0</v>
      </c>
      <c r="J953">
        <f>(N953/(P953+O953+N953))*100</f>
        <v>100</v>
      </c>
      <c r="K953">
        <v>0.8</v>
      </c>
      <c r="L953">
        <v>0.3</v>
      </c>
      <c r="M953">
        <v>0.7</v>
      </c>
      <c r="N953">
        <v>669</v>
      </c>
      <c r="O953">
        <v>0</v>
      </c>
      <c r="P953">
        <v>0</v>
      </c>
      <c r="Q953">
        <v>0</v>
      </c>
      <c r="R953" t="s">
        <v>252</v>
      </c>
      <c r="S953">
        <v>0.01</v>
      </c>
      <c r="T953">
        <v>0.01</v>
      </c>
    </row>
    <row r="954" spans="1:21" x14ac:dyDescent="0.25">
      <c r="A954" t="s">
        <v>19</v>
      </c>
      <c r="B954" t="s">
        <v>20</v>
      </c>
      <c r="C954" t="s">
        <v>308</v>
      </c>
      <c r="D954">
        <v>3</v>
      </c>
      <c r="E954" t="s">
        <v>88</v>
      </c>
      <c r="F954" t="s">
        <v>388</v>
      </c>
      <c r="G954">
        <v>7</v>
      </c>
      <c r="H954">
        <v>88</v>
      </c>
      <c r="I954">
        <f>G954+H954</f>
        <v>95</v>
      </c>
      <c r="J954">
        <f>100-G954-H954</f>
        <v>5</v>
      </c>
      <c r="K954" t="s">
        <v>19</v>
      </c>
      <c r="L954" t="s">
        <v>19</v>
      </c>
      <c r="M954" t="s">
        <v>19</v>
      </c>
      <c r="N954" t="s">
        <v>19</v>
      </c>
      <c r="O954" t="s">
        <v>19</v>
      </c>
      <c r="P954" t="s">
        <v>19</v>
      </c>
      <c r="Q954">
        <f>I954</f>
        <v>95</v>
      </c>
      <c r="R954" t="s">
        <v>19</v>
      </c>
      <c r="S954" t="s">
        <v>19</v>
      </c>
      <c r="T954" t="s">
        <v>19</v>
      </c>
    </row>
    <row r="955" spans="1:21" x14ac:dyDescent="0.25">
      <c r="A955" t="s">
        <v>19</v>
      </c>
      <c r="B955" t="s">
        <v>20</v>
      </c>
      <c r="C955" t="s">
        <v>22</v>
      </c>
      <c r="D955">
        <v>3</v>
      </c>
      <c r="E955" t="s">
        <v>88</v>
      </c>
      <c r="F955" t="s">
        <v>388</v>
      </c>
      <c r="G955">
        <v>0</v>
      </c>
      <c r="H955">
        <v>90</v>
      </c>
      <c r="I955">
        <f>G955+H955</f>
        <v>90</v>
      </c>
      <c r="J955">
        <f>100-G955-H955</f>
        <v>10</v>
      </c>
      <c r="K955" t="s">
        <v>19</v>
      </c>
      <c r="L955" t="s">
        <v>19</v>
      </c>
      <c r="M955" t="s">
        <v>19</v>
      </c>
      <c r="N955" t="s">
        <v>19</v>
      </c>
      <c r="O955" t="s">
        <v>19</v>
      </c>
      <c r="P955" t="s">
        <v>19</v>
      </c>
      <c r="Q955">
        <f>I955</f>
        <v>90</v>
      </c>
      <c r="R955" t="s">
        <v>19</v>
      </c>
      <c r="S955" t="s">
        <v>19</v>
      </c>
      <c r="T955" t="s">
        <v>19</v>
      </c>
    </row>
    <row r="956" spans="1:21" x14ac:dyDescent="0.25">
      <c r="A956" t="s">
        <v>19</v>
      </c>
      <c r="B956" t="s">
        <v>20</v>
      </c>
      <c r="C956" t="s">
        <v>305</v>
      </c>
      <c r="D956">
        <v>3</v>
      </c>
      <c r="E956" t="s">
        <v>88</v>
      </c>
      <c r="F956" t="s">
        <v>388</v>
      </c>
      <c r="G956">
        <v>20</v>
      </c>
      <c r="H956">
        <v>70</v>
      </c>
      <c r="I956">
        <f>G956+H956</f>
        <v>90</v>
      </c>
      <c r="J956">
        <f>100-G956-H956</f>
        <v>10</v>
      </c>
      <c r="K956" t="s">
        <v>19</v>
      </c>
      <c r="L956" t="s">
        <v>19</v>
      </c>
      <c r="M956" t="s">
        <v>19</v>
      </c>
      <c r="N956" t="s">
        <v>19</v>
      </c>
      <c r="O956" t="s">
        <v>19</v>
      </c>
      <c r="P956" t="s">
        <v>19</v>
      </c>
      <c r="Q956">
        <f>I956</f>
        <v>90</v>
      </c>
      <c r="R956" t="s">
        <v>19</v>
      </c>
      <c r="S956" t="s">
        <v>19</v>
      </c>
      <c r="T956" t="s">
        <v>19</v>
      </c>
    </row>
    <row r="957" spans="1:21" x14ac:dyDescent="0.25">
      <c r="A957" t="s">
        <v>19</v>
      </c>
      <c r="B957" t="s">
        <v>20</v>
      </c>
      <c r="C957" t="s">
        <v>307</v>
      </c>
      <c r="D957">
        <v>3</v>
      </c>
      <c r="E957" t="s">
        <v>88</v>
      </c>
      <c r="F957" t="s">
        <v>388</v>
      </c>
      <c r="G957">
        <v>10</v>
      </c>
      <c r="H957">
        <v>80</v>
      </c>
      <c r="I957">
        <f>G957+H957</f>
        <v>90</v>
      </c>
      <c r="J957">
        <f>100-G957-H957</f>
        <v>10</v>
      </c>
      <c r="K957" t="s">
        <v>19</v>
      </c>
      <c r="L957" t="s">
        <v>19</v>
      </c>
      <c r="M957" t="s">
        <v>19</v>
      </c>
      <c r="N957" t="s">
        <v>19</v>
      </c>
      <c r="O957" t="s">
        <v>19</v>
      </c>
      <c r="P957" t="s">
        <v>19</v>
      </c>
      <c r="Q957">
        <f>I957</f>
        <v>90</v>
      </c>
      <c r="R957" t="s">
        <v>19</v>
      </c>
      <c r="S957" t="s">
        <v>19</v>
      </c>
      <c r="T957" t="s">
        <v>19</v>
      </c>
    </row>
    <row r="958" spans="1:21" x14ac:dyDescent="0.25">
      <c r="A958" s="2">
        <v>45253.554166666669</v>
      </c>
      <c r="B958" t="s">
        <v>309</v>
      </c>
      <c r="C958" t="s">
        <v>213</v>
      </c>
      <c r="D958">
        <v>3</v>
      </c>
      <c r="E958" t="s">
        <v>88</v>
      </c>
      <c r="F958" t="s">
        <v>388</v>
      </c>
      <c r="G958">
        <v>2.4013722130000001</v>
      </c>
      <c r="H958">
        <v>80.445969129999995</v>
      </c>
      <c r="I958">
        <v>82.84734134</v>
      </c>
      <c r="J958">
        <v>17.15265866</v>
      </c>
      <c r="K958">
        <v>0.8</v>
      </c>
      <c r="L958">
        <v>0.2</v>
      </c>
      <c r="M958">
        <v>0.7</v>
      </c>
      <c r="N958">
        <v>100</v>
      </c>
      <c r="O958">
        <v>14</v>
      </c>
      <c r="P958">
        <v>469</v>
      </c>
      <c r="Q958">
        <v>82.85</v>
      </c>
      <c r="R958" t="s">
        <v>214</v>
      </c>
      <c r="S958">
        <v>3.01</v>
      </c>
      <c r="T958">
        <v>3.91</v>
      </c>
    </row>
    <row r="959" spans="1:21" x14ac:dyDescent="0.25">
      <c r="A959" s="2">
        <v>45253.841666666667</v>
      </c>
      <c r="B959" t="s">
        <v>309</v>
      </c>
      <c r="C959" t="s">
        <v>215</v>
      </c>
      <c r="D959">
        <v>2</v>
      </c>
      <c r="E959" t="s">
        <v>88</v>
      </c>
      <c r="F959" t="s">
        <v>388</v>
      </c>
      <c r="G959">
        <v>15.23809524</v>
      </c>
      <c r="H959">
        <v>0</v>
      </c>
      <c r="I959">
        <v>15.23809524</v>
      </c>
      <c r="J959">
        <v>84.761904759999993</v>
      </c>
      <c r="K959">
        <v>0.8</v>
      </c>
      <c r="L959">
        <v>0.2</v>
      </c>
      <c r="M959">
        <v>0.7</v>
      </c>
      <c r="N959">
        <v>623</v>
      </c>
      <c r="O959">
        <v>112</v>
      </c>
      <c r="P959">
        <v>0</v>
      </c>
      <c r="Q959">
        <v>15.24</v>
      </c>
      <c r="R959" t="s">
        <v>227</v>
      </c>
      <c r="S959">
        <v>0.39</v>
      </c>
      <c r="T959">
        <v>0.43</v>
      </c>
    </row>
    <row r="960" spans="1:21" x14ac:dyDescent="0.25">
      <c r="A960" s="2">
        <v>45254.009027777778</v>
      </c>
      <c r="B960" t="s">
        <v>309</v>
      </c>
      <c r="C960" t="s">
        <v>217</v>
      </c>
      <c r="D960">
        <v>2</v>
      </c>
      <c r="E960" t="s">
        <v>88</v>
      </c>
      <c r="F960" t="s">
        <v>388</v>
      </c>
      <c r="G960">
        <v>18.457300279999998</v>
      </c>
      <c r="H960">
        <v>0</v>
      </c>
      <c r="I960">
        <v>18.457300279999998</v>
      </c>
      <c r="J960">
        <v>81.542699720000002</v>
      </c>
      <c r="K960">
        <v>0.8</v>
      </c>
      <c r="L960">
        <v>0.2</v>
      </c>
      <c r="M960">
        <v>0.7</v>
      </c>
      <c r="N960">
        <v>592</v>
      </c>
      <c r="O960">
        <v>134</v>
      </c>
      <c r="P960">
        <v>0</v>
      </c>
      <c r="Q960">
        <v>18.46</v>
      </c>
      <c r="R960" t="s">
        <v>235</v>
      </c>
      <c r="S960">
        <v>0.55000000000000004</v>
      </c>
      <c r="T960">
        <v>0.6</v>
      </c>
    </row>
    <row r="961" spans="1:21" x14ac:dyDescent="0.25">
      <c r="A961" s="2">
        <v>45316.520138888889</v>
      </c>
      <c r="B961" t="s">
        <v>309</v>
      </c>
      <c r="C961" t="s">
        <v>219</v>
      </c>
      <c r="D961">
        <v>3</v>
      </c>
      <c r="E961" t="s">
        <v>88</v>
      </c>
      <c r="F961" t="s">
        <v>388</v>
      </c>
      <c r="G961">
        <v>3.7156704359999999</v>
      </c>
      <c r="H961">
        <v>80.77544426</v>
      </c>
      <c r="I961">
        <v>84.491114699999997</v>
      </c>
      <c r="J961">
        <v>15.508885299999999</v>
      </c>
      <c r="K961">
        <v>0.8</v>
      </c>
      <c r="L961">
        <v>0.2</v>
      </c>
      <c r="M961">
        <v>0.7</v>
      </c>
      <c r="N961">
        <v>96</v>
      </c>
      <c r="O961">
        <v>23</v>
      </c>
      <c r="P961">
        <v>500</v>
      </c>
      <c r="Q961">
        <v>84.49</v>
      </c>
      <c r="R961" t="s">
        <v>235</v>
      </c>
      <c r="S961">
        <v>3.2</v>
      </c>
      <c r="T961">
        <v>4.58</v>
      </c>
    </row>
    <row r="962" spans="1:21" x14ac:dyDescent="0.25">
      <c r="A962" s="2">
        <v>45320.859722222223</v>
      </c>
      <c r="B962" t="s">
        <v>309</v>
      </c>
      <c r="C962" t="s">
        <v>221</v>
      </c>
      <c r="D962">
        <v>2</v>
      </c>
      <c r="E962" t="s">
        <v>88</v>
      </c>
      <c r="F962" t="s">
        <v>388</v>
      </c>
      <c r="G962">
        <v>89.204545449999998</v>
      </c>
      <c r="H962">
        <v>0</v>
      </c>
      <c r="I962">
        <v>89.204545449999998</v>
      </c>
      <c r="J962">
        <v>10.795454550000001</v>
      </c>
      <c r="K962">
        <v>0.8</v>
      </c>
      <c r="L962">
        <v>0.3</v>
      </c>
      <c r="M962">
        <v>0.7</v>
      </c>
      <c r="N962">
        <v>76</v>
      </c>
      <c r="O962">
        <v>628</v>
      </c>
      <c r="P962">
        <v>0</v>
      </c>
      <c r="Q962">
        <v>89.2</v>
      </c>
      <c r="R962" t="s">
        <v>283</v>
      </c>
      <c r="S962">
        <v>2.29</v>
      </c>
      <c r="T962">
        <v>2.42</v>
      </c>
    </row>
    <row r="963" spans="1:21" x14ac:dyDescent="0.25">
      <c r="A963" t="s">
        <v>19</v>
      </c>
      <c r="B963" t="s">
        <v>20</v>
      </c>
      <c r="C963" t="s">
        <v>306</v>
      </c>
      <c r="D963">
        <v>3</v>
      </c>
      <c r="E963" t="s">
        <v>88</v>
      </c>
      <c r="F963" t="s">
        <v>388</v>
      </c>
      <c r="G963">
        <v>10</v>
      </c>
      <c r="H963">
        <v>90</v>
      </c>
      <c r="I963">
        <f>G963+H963</f>
        <v>100</v>
      </c>
      <c r="J963">
        <f>100-G963-H963</f>
        <v>0</v>
      </c>
      <c r="K963" t="s">
        <v>19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  <c r="Q963">
        <f>I963</f>
        <v>100</v>
      </c>
      <c r="R963" t="s">
        <v>19</v>
      </c>
      <c r="S963" t="s">
        <v>19</v>
      </c>
      <c r="T963" t="s">
        <v>19</v>
      </c>
    </row>
    <row r="964" spans="1:21" x14ac:dyDescent="0.25">
      <c r="A964" t="s">
        <v>19</v>
      </c>
      <c r="B964" t="s">
        <v>20</v>
      </c>
      <c r="C964" t="s">
        <v>320</v>
      </c>
      <c r="D964">
        <v>3</v>
      </c>
      <c r="E964" t="s">
        <v>88</v>
      </c>
      <c r="F964" t="s">
        <v>388</v>
      </c>
      <c r="G964">
        <v>5</v>
      </c>
      <c r="H964">
        <v>80</v>
      </c>
      <c r="I964">
        <f>100-J964</f>
        <v>85</v>
      </c>
      <c r="J964">
        <f>100-G964-H964</f>
        <v>15</v>
      </c>
      <c r="K964" t="s">
        <v>19</v>
      </c>
      <c r="L964" t="s">
        <v>19</v>
      </c>
      <c r="M964" t="s">
        <v>19</v>
      </c>
      <c r="N964" t="s">
        <v>19</v>
      </c>
      <c r="O964" t="s">
        <v>19</v>
      </c>
      <c r="P964" t="s">
        <v>19</v>
      </c>
      <c r="Q964">
        <f>I964</f>
        <v>85</v>
      </c>
      <c r="R964" t="s">
        <v>19</v>
      </c>
      <c r="S964" t="s">
        <v>19</v>
      </c>
      <c r="T964" t="s">
        <v>19</v>
      </c>
    </row>
    <row r="965" spans="1:21" x14ac:dyDescent="0.25">
      <c r="A965" s="2">
        <v>45323.562071759261</v>
      </c>
      <c r="B965" t="s">
        <v>309</v>
      </c>
      <c r="C965" t="s">
        <v>322</v>
      </c>
      <c r="D965">
        <v>3</v>
      </c>
      <c r="E965" t="s">
        <v>88</v>
      </c>
      <c r="F965" t="s">
        <v>388</v>
      </c>
      <c r="G965">
        <f>(O965/(N965+O965+P965))*100</f>
        <v>9.7058823529411775</v>
      </c>
      <c r="H965">
        <f>(P965/(O965+P965+N965))*100</f>
        <v>72.941176470588232</v>
      </c>
      <c r="I965">
        <v>82.65</v>
      </c>
      <c r="J965">
        <f>(N965/(P965+O965+N965))*100</f>
        <v>17.352941176470587</v>
      </c>
      <c r="K965">
        <v>0.8</v>
      </c>
      <c r="L965">
        <v>0.3</v>
      </c>
      <c r="M965">
        <v>0.7</v>
      </c>
      <c r="N965">
        <v>118</v>
      </c>
      <c r="O965">
        <v>66</v>
      </c>
      <c r="P965">
        <v>496</v>
      </c>
      <c r="Q965">
        <v>82.65</v>
      </c>
      <c r="R965" t="s">
        <v>329</v>
      </c>
      <c r="S965">
        <v>2.93</v>
      </c>
      <c r="T965">
        <v>4.42</v>
      </c>
      <c r="U965">
        <v>56</v>
      </c>
    </row>
    <row r="966" spans="1:21" x14ac:dyDescent="0.25">
      <c r="A966" s="2">
        <v>45323.559976851851</v>
      </c>
      <c r="B966" t="s">
        <v>309</v>
      </c>
      <c r="C966" t="s">
        <v>322</v>
      </c>
      <c r="D966">
        <v>3</v>
      </c>
      <c r="E966" t="s">
        <v>88</v>
      </c>
      <c r="F966" t="s">
        <v>388</v>
      </c>
      <c r="G966">
        <f>(O966/(N966+O966+P966))*100</f>
        <v>10.885341074020319</v>
      </c>
      <c r="H966">
        <f>(P966/(O966+P966+N966))*100</f>
        <v>74.89114658925979</v>
      </c>
      <c r="I966">
        <v>85.78</v>
      </c>
      <c r="J966">
        <f>(N966/(P966+O966+N966))*100</f>
        <v>14.223512336719885</v>
      </c>
      <c r="K966">
        <v>0.7</v>
      </c>
      <c r="L966">
        <v>0.3</v>
      </c>
      <c r="M966">
        <v>0.7</v>
      </c>
      <c r="N966">
        <v>98</v>
      </c>
      <c r="O966">
        <v>75</v>
      </c>
      <c r="P966">
        <v>516</v>
      </c>
      <c r="Q966">
        <v>85.78</v>
      </c>
      <c r="R966" t="s">
        <v>337</v>
      </c>
      <c r="S966">
        <v>2.93</v>
      </c>
      <c r="T966">
        <v>4.42</v>
      </c>
      <c r="U966">
        <v>47</v>
      </c>
    </row>
    <row r="967" spans="1:21" x14ac:dyDescent="0.25">
      <c r="A967" s="2">
        <v>45324.984247685185</v>
      </c>
      <c r="B967" t="s">
        <v>309</v>
      </c>
      <c r="C967" t="s">
        <v>368</v>
      </c>
      <c r="D967">
        <v>2</v>
      </c>
      <c r="E967" t="s">
        <v>88</v>
      </c>
      <c r="F967" t="s">
        <v>388</v>
      </c>
      <c r="G967">
        <f>(O967/(N967+O967+P967))*100</f>
        <v>88.407821229050271</v>
      </c>
      <c r="H967">
        <f>(P967/(O967+P967+N967))*100</f>
        <v>0</v>
      </c>
      <c r="I967">
        <v>88.41</v>
      </c>
      <c r="J967">
        <f>(N967/(P967+O967+N967))*100</f>
        <v>11.592178770949721</v>
      </c>
      <c r="K967">
        <v>0.8</v>
      </c>
      <c r="L967">
        <v>0.3</v>
      </c>
      <c r="M967">
        <v>0.7</v>
      </c>
      <c r="N967">
        <v>83</v>
      </c>
      <c r="O967">
        <v>633</v>
      </c>
      <c r="P967">
        <v>0</v>
      </c>
      <c r="Q967">
        <v>88.41</v>
      </c>
      <c r="R967" t="s">
        <v>341</v>
      </c>
      <c r="S967">
        <v>2.1</v>
      </c>
      <c r="T967">
        <v>2.25</v>
      </c>
    </row>
    <row r="968" spans="1:21" x14ac:dyDescent="0.25">
      <c r="A968" t="s">
        <v>19</v>
      </c>
      <c r="B968" t="s">
        <v>20</v>
      </c>
      <c r="C968" t="s">
        <v>306</v>
      </c>
      <c r="D968">
        <v>3</v>
      </c>
      <c r="E968" t="s">
        <v>89</v>
      </c>
      <c r="F968" t="s">
        <v>373</v>
      </c>
      <c r="G968">
        <v>0</v>
      </c>
      <c r="H968">
        <v>0</v>
      </c>
      <c r="I968">
        <f>G968+H968</f>
        <v>0</v>
      </c>
      <c r="J968">
        <f>100-G968-H968</f>
        <v>100</v>
      </c>
      <c r="K968" t="s">
        <v>19</v>
      </c>
      <c r="L968" t="s">
        <v>19</v>
      </c>
      <c r="M968" t="s">
        <v>19</v>
      </c>
      <c r="N968" t="s">
        <v>19</v>
      </c>
      <c r="O968" t="s">
        <v>19</v>
      </c>
      <c r="P968" t="s">
        <v>19</v>
      </c>
      <c r="Q968">
        <f>I968</f>
        <v>0</v>
      </c>
      <c r="R968" t="s">
        <v>19</v>
      </c>
      <c r="S968" t="s">
        <v>19</v>
      </c>
      <c r="T968" t="s">
        <v>19</v>
      </c>
    </row>
    <row r="969" spans="1:21" x14ac:dyDescent="0.25">
      <c r="A969" t="s">
        <v>19</v>
      </c>
      <c r="B969" t="s">
        <v>20</v>
      </c>
      <c r="C969" t="s">
        <v>308</v>
      </c>
      <c r="D969">
        <v>3</v>
      </c>
      <c r="E969" t="s">
        <v>89</v>
      </c>
      <c r="F969" t="s">
        <v>373</v>
      </c>
      <c r="G969">
        <v>5</v>
      </c>
      <c r="H969">
        <v>0</v>
      </c>
      <c r="I969">
        <f>G969+H969</f>
        <v>5</v>
      </c>
      <c r="J969">
        <f>100-G969-H969</f>
        <v>95</v>
      </c>
      <c r="K969" t="s">
        <v>19</v>
      </c>
      <c r="L969" t="s">
        <v>19</v>
      </c>
      <c r="M969" t="s">
        <v>19</v>
      </c>
      <c r="N969" t="s">
        <v>19</v>
      </c>
      <c r="O969" t="s">
        <v>19</v>
      </c>
      <c r="P969" t="s">
        <v>19</v>
      </c>
      <c r="Q969">
        <f>I969</f>
        <v>5</v>
      </c>
      <c r="R969" t="s">
        <v>19</v>
      </c>
      <c r="S969" t="s">
        <v>19</v>
      </c>
      <c r="T969" t="s">
        <v>19</v>
      </c>
    </row>
    <row r="970" spans="1:21" x14ac:dyDescent="0.25">
      <c r="A970" t="s">
        <v>19</v>
      </c>
      <c r="B970" t="s">
        <v>20</v>
      </c>
      <c r="C970" t="s">
        <v>22</v>
      </c>
      <c r="D970">
        <v>3</v>
      </c>
      <c r="E970" t="s">
        <v>89</v>
      </c>
      <c r="F970" t="s">
        <v>373</v>
      </c>
      <c r="G970">
        <v>5</v>
      </c>
      <c r="H970">
        <v>0</v>
      </c>
      <c r="I970">
        <f>G970+H970</f>
        <v>5</v>
      </c>
      <c r="J970">
        <f>100-G970-H970</f>
        <v>95</v>
      </c>
      <c r="K970" t="s">
        <v>19</v>
      </c>
      <c r="L970" t="s">
        <v>19</v>
      </c>
      <c r="M970" t="s">
        <v>19</v>
      </c>
      <c r="N970" t="s">
        <v>19</v>
      </c>
      <c r="O970" t="s">
        <v>19</v>
      </c>
      <c r="P970" t="s">
        <v>19</v>
      </c>
      <c r="Q970">
        <f>I970</f>
        <v>5</v>
      </c>
      <c r="R970" t="s">
        <v>19</v>
      </c>
      <c r="S970" t="s">
        <v>19</v>
      </c>
      <c r="T970" t="s">
        <v>19</v>
      </c>
    </row>
    <row r="971" spans="1:21" x14ac:dyDescent="0.25">
      <c r="A971" t="s">
        <v>19</v>
      </c>
      <c r="B971" t="s">
        <v>20</v>
      </c>
      <c r="C971" t="s">
        <v>305</v>
      </c>
      <c r="D971">
        <v>3</v>
      </c>
      <c r="E971" t="s">
        <v>89</v>
      </c>
      <c r="F971" t="s">
        <v>373</v>
      </c>
      <c r="G971">
        <v>0</v>
      </c>
      <c r="H971">
        <v>0</v>
      </c>
      <c r="I971">
        <f>G971+H971</f>
        <v>0</v>
      </c>
      <c r="J971">
        <f>100-G971-H971</f>
        <v>100</v>
      </c>
      <c r="K971" t="s">
        <v>19</v>
      </c>
      <c r="L971" t="s">
        <v>19</v>
      </c>
      <c r="M971" t="s">
        <v>19</v>
      </c>
      <c r="N971" t="s">
        <v>19</v>
      </c>
      <c r="O971" t="s">
        <v>19</v>
      </c>
      <c r="P971" t="s">
        <v>19</v>
      </c>
      <c r="Q971">
        <f>I971</f>
        <v>0</v>
      </c>
      <c r="R971" t="s">
        <v>19</v>
      </c>
      <c r="S971" t="s">
        <v>19</v>
      </c>
      <c r="T971" t="s">
        <v>19</v>
      </c>
    </row>
    <row r="972" spans="1:21" x14ac:dyDescent="0.25">
      <c r="A972" t="s">
        <v>19</v>
      </c>
      <c r="B972" t="s">
        <v>20</v>
      </c>
      <c r="C972" t="s">
        <v>307</v>
      </c>
      <c r="D972">
        <v>3</v>
      </c>
      <c r="E972" t="s">
        <v>89</v>
      </c>
      <c r="F972" t="s">
        <v>373</v>
      </c>
      <c r="G972">
        <v>0</v>
      </c>
      <c r="H972">
        <v>0</v>
      </c>
      <c r="I972">
        <f>G972+H972</f>
        <v>0</v>
      </c>
      <c r="J972">
        <f>100-G972-H972</f>
        <v>100</v>
      </c>
      <c r="K972" t="s">
        <v>19</v>
      </c>
      <c r="L972" t="s">
        <v>19</v>
      </c>
      <c r="M972" t="s">
        <v>19</v>
      </c>
      <c r="N972" t="s">
        <v>19</v>
      </c>
      <c r="O972" t="s">
        <v>19</v>
      </c>
      <c r="P972" t="s">
        <v>19</v>
      </c>
      <c r="Q972">
        <f>I972</f>
        <v>0</v>
      </c>
      <c r="R972" t="s">
        <v>19</v>
      </c>
      <c r="S972" t="s">
        <v>19</v>
      </c>
      <c r="T972" t="s">
        <v>19</v>
      </c>
    </row>
    <row r="973" spans="1:21" x14ac:dyDescent="0.25">
      <c r="A973" s="2">
        <v>45253.72152777778</v>
      </c>
      <c r="B973" t="s">
        <v>309</v>
      </c>
      <c r="C973" t="s">
        <v>213</v>
      </c>
      <c r="D973">
        <v>3</v>
      </c>
      <c r="E973" t="s">
        <v>89</v>
      </c>
      <c r="F973" t="s">
        <v>373</v>
      </c>
      <c r="G973">
        <v>1.4106583070000001</v>
      </c>
      <c r="H973">
        <v>0</v>
      </c>
      <c r="I973">
        <v>1.4106583070000001</v>
      </c>
      <c r="J973">
        <v>98.589341689999998</v>
      </c>
      <c r="K973">
        <v>0.8</v>
      </c>
      <c r="L973">
        <v>0.2</v>
      </c>
      <c r="M973">
        <v>0.7</v>
      </c>
      <c r="N973">
        <v>629</v>
      </c>
      <c r="O973">
        <v>9</v>
      </c>
      <c r="P973">
        <v>0</v>
      </c>
      <c r="Q973">
        <v>1.41</v>
      </c>
      <c r="R973" t="s">
        <v>238</v>
      </c>
      <c r="S973">
        <v>2.94</v>
      </c>
      <c r="T973">
        <v>3.12</v>
      </c>
    </row>
    <row r="974" spans="1:21" x14ac:dyDescent="0.25">
      <c r="A974" s="2">
        <v>45253.930555555555</v>
      </c>
      <c r="B974" t="s">
        <v>309</v>
      </c>
      <c r="C974" t="s">
        <v>215</v>
      </c>
      <c r="D974">
        <v>2</v>
      </c>
      <c r="E974" t="s">
        <v>89</v>
      </c>
      <c r="F974" t="s">
        <v>373</v>
      </c>
      <c r="G974">
        <v>2.9787234040000001</v>
      </c>
      <c r="H974">
        <v>0</v>
      </c>
      <c r="I974">
        <v>2.9787234040000001</v>
      </c>
      <c r="J974">
        <v>97.021276599999993</v>
      </c>
      <c r="K974">
        <v>0.8</v>
      </c>
      <c r="L974">
        <v>0.2</v>
      </c>
      <c r="M974">
        <v>0.7</v>
      </c>
      <c r="N974">
        <v>684</v>
      </c>
      <c r="O974">
        <v>21</v>
      </c>
      <c r="P974">
        <v>0</v>
      </c>
      <c r="Q974">
        <v>2.98</v>
      </c>
      <c r="R974" t="s">
        <v>243</v>
      </c>
      <c r="S974">
        <v>7.0000000000000007E-2</v>
      </c>
      <c r="T974">
        <v>7.0000000000000007E-2</v>
      </c>
    </row>
    <row r="975" spans="1:21" x14ac:dyDescent="0.25">
      <c r="A975" s="2">
        <v>45254.104166666664</v>
      </c>
      <c r="B975" t="s">
        <v>309</v>
      </c>
      <c r="C975" t="s">
        <v>217</v>
      </c>
      <c r="D975">
        <v>2</v>
      </c>
      <c r="E975" t="s">
        <v>89</v>
      </c>
      <c r="F975" t="s">
        <v>373</v>
      </c>
      <c r="G975">
        <v>3.2122905030000002</v>
      </c>
      <c r="H975">
        <v>0</v>
      </c>
      <c r="I975">
        <v>3.2122905030000002</v>
      </c>
      <c r="J975">
        <v>96.787709500000005</v>
      </c>
      <c r="K975">
        <v>0.8</v>
      </c>
      <c r="L975">
        <v>0.2</v>
      </c>
      <c r="M975">
        <v>0.7</v>
      </c>
      <c r="N975">
        <v>693</v>
      </c>
      <c r="O975">
        <v>23</v>
      </c>
      <c r="P975">
        <v>0</v>
      </c>
      <c r="Q975">
        <v>3.21</v>
      </c>
      <c r="R975" t="s">
        <v>227</v>
      </c>
      <c r="S975">
        <v>0.08</v>
      </c>
      <c r="T975">
        <v>0.08</v>
      </c>
    </row>
    <row r="976" spans="1:21" x14ac:dyDescent="0.25">
      <c r="A976" s="2">
        <v>45316.440972222219</v>
      </c>
      <c r="B976" t="s">
        <v>309</v>
      </c>
      <c r="C976" t="s">
        <v>219</v>
      </c>
      <c r="D976">
        <v>3</v>
      </c>
      <c r="E976" t="s">
        <v>89</v>
      </c>
      <c r="F976" t="s">
        <v>373</v>
      </c>
      <c r="G976">
        <v>0.52631578899999998</v>
      </c>
      <c r="H976">
        <v>0</v>
      </c>
      <c r="I976">
        <v>0.52631578899999998</v>
      </c>
      <c r="J976">
        <v>99.473684210000002</v>
      </c>
      <c r="K976">
        <v>0.8</v>
      </c>
      <c r="L976">
        <v>0.2</v>
      </c>
      <c r="M976">
        <v>0.7</v>
      </c>
      <c r="N976">
        <v>567</v>
      </c>
      <c r="O976">
        <v>3</v>
      </c>
      <c r="P976">
        <v>0</v>
      </c>
      <c r="Q976">
        <v>0.53</v>
      </c>
      <c r="R976" t="s">
        <v>227</v>
      </c>
      <c r="S976">
        <v>3.1</v>
      </c>
      <c r="T976">
        <v>4.29</v>
      </c>
    </row>
    <row r="977" spans="1:21" x14ac:dyDescent="0.25">
      <c r="A977" s="2">
        <v>45320.963194444441</v>
      </c>
      <c r="B977" t="s">
        <v>309</v>
      </c>
      <c r="C977" t="s">
        <v>221</v>
      </c>
      <c r="D977">
        <v>2</v>
      </c>
      <c r="E977" t="s">
        <v>89</v>
      </c>
      <c r="F977" t="s">
        <v>373</v>
      </c>
      <c r="G977">
        <v>1.9323671499999999</v>
      </c>
      <c r="H977">
        <v>0</v>
      </c>
      <c r="I977">
        <v>1.9323671499999999</v>
      </c>
      <c r="J977">
        <v>98.067632849999995</v>
      </c>
      <c r="K977">
        <v>0.8</v>
      </c>
      <c r="L977">
        <v>0.3</v>
      </c>
      <c r="M977">
        <v>0.7</v>
      </c>
      <c r="N977">
        <v>609</v>
      </c>
      <c r="O977">
        <v>12</v>
      </c>
      <c r="P977">
        <v>0</v>
      </c>
      <c r="Q977">
        <v>1.93</v>
      </c>
      <c r="R977" t="s">
        <v>225</v>
      </c>
      <c r="S977">
        <v>0.06</v>
      </c>
      <c r="T977">
        <v>0.06</v>
      </c>
    </row>
    <row r="978" spans="1:21" x14ac:dyDescent="0.25">
      <c r="A978" t="s">
        <v>19</v>
      </c>
      <c r="B978" t="s">
        <v>20</v>
      </c>
      <c r="C978" t="s">
        <v>320</v>
      </c>
      <c r="D978">
        <v>3</v>
      </c>
      <c r="E978" t="s">
        <v>89</v>
      </c>
      <c r="F978" t="s">
        <v>373</v>
      </c>
      <c r="G978">
        <v>0</v>
      </c>
      <c r="H978">
        <v>0</v>
      </c>
      <c r="I978">
        <f>100-J978</f>
        <v>0</v>
      </c>
      <c r="J978">
        <f>100-G978-H978</f>
        <v>100</v>
      </c>
      <c r="K978" t="s">
        <v>19</v>
      </c>
      <c r="L978" t="s">
        <v>19</v>
      </c>
      <c r="M978" t="s">
        <v>19</v>
      </c>
      <c r="N978" t="s">
        <v>19</v>
      </c>
      <c r="O978" t="s">
        <v>19</v>
      </c>
      <c r="P978" t="s">
        <v>19</v>
      </c>
      <c r="Q978">
        <f>I978</f>
        <v>0</v>
      </c>
      <c r="R978" t="s">
        <v>19</v>
      </c>
      <c r="S978" t="s">
        <v>19</v>
      </c>
      <c r="T978" t="s">
        <v>19</v>
      </c>
    </row>
    <row r="979" spans="1:21" x14ac:dyDescent="0.25">
      <c r="A979" s="2">
        <v>45323.565266203703</v>
      </c>
      <c r="B979" t="s">
        <v>309</v>
      </c>
      <c r="C979" t="s">
        <v>322</v>
      </c>
      <c r="D979">
        <v>3</v>
      </c>
      <c r="E979" t="s">
        <v>89</v>
      </c>
      <c r="F979" t="s">
        <v>373</v>
      </c>
      <c r="G979">
        <f>(O979/(N979+O979+P979))*100</f>
        <v>1.1382113821138211</v>
      </c>
      <c r="H979">
        <f>(P979/(O979+P979+N979))*100</f>
        <v>0</v>
      </c>
      <c r="I979">
        <f>((O979+P979)/(P979+O979+N979))*100</f>
        <v>1.1382113821138211</v>
      </c>
      <c r="J979">
        <f>(N979/(P979+O979+N979))*100</f>
        <v>98.861788617886177</v>
      </c>
      <c r="K979">
        <v>0.8</v>
      </c>
      <c r="L979">
        <v>0.3</v>
      </c>
      <c r="M979">
        <v>0.7</v>
      </c>
      <c r="N979">
        <v>608</v>
      </c>
      <c r="O979">
        <v>7</v>
      </c>
      <c r="P979">
        <v>0</v>
      </c>
      <c r="Q979">
        <v>1.1399999999999999</v>
      </c>
      <c r="R979" t="s">
        <v>287</v>
      </c>
      <c r="S979">
        <v>2.82</v>
      </c>
      <c r="T979">
        <v>3.11</v>
      </c>
      <c r="U979">
        <v>36</v>
      </c>
    </row>
    <row r="980" spans="1:21" x14ac:dyDescent="0.25">
      <c r="A980" s="2">
        <v>45323.568032407406</v>
      </c>
      <c r="B980" t="s">
        <v>309</v>
      </c>
      <c r="C980" t="s">
        <v>322</v>
      </c>
      <c r="D980">
        <v>3</v>
      </c>
      <c r="E980" t="s">
        <v>89</v>
      </c>
      <c r="F980" t="s">
        <v>373</v>
      </c>
      <c r="G980">
        <f>(O980/(N980+O980+P980))*100</f>
        <v>1.7770597738287561</v>
      </c>
      <c r="H980">
        <f>(P980/(O980+P980+N980))*100</f>
        <v>0</v>
      </c>
      <c r="I980">
        <f>((O980+P980)/(P980+O980+N980))*100</f>
        <v>1.7770597738287561</v>
      </c>
      <c r="J980">
        <f>(N980/(P980+O980+N980))*100</f>
        <v>98.222940226171247</v>
      </c>
      <c r="K980">
        <v>0.7</v>
      </c>
      <c r="L980">
        <v>0.3</v>
      </c>
      <c r="M980">
        <v>0.7</v>
      </c>
      <c r="N980">
        <v>608</v>
      </c>
      <c r="O980">
        <v>11</v>
      </c>
      <c r="P980">
        <v>0</v>
      </c>
      <c r="Q980">
        <v>1.78</v>
      </c>
      <c r="R980" t="s">
        <v>255</v>
      </c>
      <c r="S980">
        <v>2.82</v>
      </c>
      <c r="T980">
        <v>3.11</v>
      </c>
      <c r="U980">
        <v>32</v>
      </c>
    </row>
    <row r="981" spans="1:21" x14ac:dyDescent="0.25">
      <c r="A981" s="2">
        <v>45325.138113425928</v>
      </c>
      <c r="B981" t="s">
        <v>309</v>
      </c>
      <c r="C981" t="s">
        <v>368</v>
      </c>
      <c r="D981">
        <v>2</v>
      </c>
      <c r="E981" t="s">
        <v>89</v>
      </c>
      <c r="F981" t="s">
        <v>373</v>
      </c>
      <c r="G981">
        <f>(O981/(N981+O981+P981))*100</f>
        <v>0.47169811320754718</v>
      </c>
      <c r="H981">
        <f>(P981/(O981+P981+N981))*100</f>
        <v>0</v>
      </c>
      <c r="I981">
        <v>0.47</v>
      </c>
      <c r="J981">
        <f>(N981/(P981+O981+N981))*100</f>
        <v>99.528301886792448</v>
      </c>
      <c r="K981">
        <v>0.8</v>
      </c>
      <c r="L981">
        <v>0.3</v>
      </c>
      <c r="M981">
        <v>0.7</v>
      </c>
      <c r="N981">
        <v>633</v>
      </c>
      <c r="O981">
        <v>3</v>
      </c>
      <c r="P981">
        <v>0</v>
      </c>
      <c r="Q981">
        <v>0.47</v>
      </c>
      <c r="R981" t="s">
        <v>249</v>
      </c>
      <c r="S981">
        <v>0.03</v>
      </c>
      <c r="T981">
        <v>0.03</v>
      </c>
    </row>
    <row r="982" spans="1:21" x14ac:dyDescent="0.25">
      <c r="A982" t="s">
        <v>19</v>
      </c>
      <c r="B982" t="s">
        <v>20</v>
      </c>
      <c r="C982" t="s">
        <v>308</v>
      </c>
      <c r="D982">
        <v>3</v>
      </c>
      <c r="E982" t="s">
        <v>90</v>
      </c>
      <c r="F982" t="s">
        <v>388</v>
      </c>
      <c r="G982">
        <v>0</v>
      </c>
      <c r="H982">
        <v>0</v>
      </c>
      <c r="I982">
        <f>G982+H982</f>
        <v>0</v>
      </c>
      <c r="J982">
        <f>100-G982-H982</f>
        <v>100</v>
      </c>
      <c r="K982" t="s">
        <v>19</v>
      </c>
      <c r="L982" t="s">
        <v>19</v>
      </c>
      <c r="M982" t="s">
        <v>19</v>
      </c>
      <c r="N982" t="s">
        <v>19</v>
      </c>
      <c r="O982" t="s">
        <v>19</v>
      </c>
      <c r="P982" t="s">
        <v>19</v>
      </c>
      <c r="Q982">
        <f>I982</f>
        <v>0</v>
      </c>
      <c r="R982" t="s">
        <v>19</v>
      </c>
      <c r="S982" t="s">
        <v>19</v>
      </c>
      <c r="T982" t="s">
        <v>19</v>
      </c>
    </row>
    <row r="983" spans="1:21" x14ac:dyDescent="0.25">
      <c r="A983" t="s">
        <v>19</v>
      </c>
      <c r="B983" t="s">
        <v>20</v>
      </c>
      <c r="C983" t="s">
        <v>22</v>
      </c>
      <c r="D983">
        <v>3</v>
      </c>
      <c r="E983" t="s">
        <v>90</v>
      </c>
      <c r="F983" t="s">
        <v>388</v>
      </c>
      <c r="G983">
        <v>0</v>
      </c>
      <c r="H983">
        <v>0</v>
      </c>
      <c r="I983">
        <f>G983+H983</f>
        <v>0</v>
      </c>
      <c r="J983">
        <f>100-G983-H983</f>
        <v>100</v>
      </c>
      <c r="K983" t="s">
        <v>19</v>
      </c>
      <c r="L983" t="s">
        <v>19</v>
      </c>
      <c r="M983" t="s">
        <v>19</v>
      </c>
      <c r="N983" t="s">
        <v>19</v>
      </c>
      <c r="O983" t="s">
        <v>19</v>
      </c>
      <c r="P983" t="s">
        <v>19</v>
      </c>
      <c r="Q983">
        <f>I983</f>
        <v>0</v>
      </c>
      <c r="R983" t="s">
        <v>19</v>
      </c>
      <c r="S983" t="s">
        <v>19</v>
      </c>
      <c r="T983" t="s">
        <v>19</v>
      </c>
    </row>
    <row r="984" spans="1:21" x14ac:dyDescent="0.25">
      <c r="A984" t="s">
        <v>19</v>
      </c>
      <c r="B984" t="s">
        <v>20</v>
      </c>
      <c r="C984" t="s">
        <v>305</v>
      </c>
      <c r="D984">
        <v>3</v>
      </c>
      <c r="E984" t="s">
        <v>90</v>
      </c>
      <c r="F984" t="s">
        <v>388</v>
      </c>
      <c r="G984">
        <v>0</v>
      </c>
      <c r="H984">
        <v>0</v>
      </c>
      <c r="I984">
        <f>G984+H984</f>
        <v>0</v>
      </c>
      <c r="J984">
        <f>100-G984-H984</f>
        <v>100</v>
      </c>
      <c r="K984" t="s">
        <v>19</v>
      </c>
      <c r="L984" t="s">
        <v>19</v>
      </c>
      <c r="M984" t="s">
        <v>19</v>
      </c>
      <c r="N984" t="s">
        <v>19</v>
      </c>
      <c r="O984" t="s">
        <v>19</v>
      </c>
      <c r="P984" t="s">
        <v>19</v>
      </c>
      <c r="Q984">
        <f>I984</f>
        <v>0</v>
      </c>
      <c r="R984" t="s">
        <v>19</v>
      </c>
      <c r="S984" t="s">
        <v>19</v>
      </c>
      <c r="T984" t="s">
        <v>19</v>
      </c>
    </row>
    <row r="985" spans="1:21" x14ac:dyDescent="0.25">
      <c r="A985" t="s">
        <v>19</v>
      </c>
      <c r="B985" t="s">
        <v>20</v>
      </c>
      <c r="C985" t="s">
        <v>307</v>
      </c>
      <c r="D985">
        <v>3</v>
      </c>
      <c r="E985" t="s">
        <v>90</v>
      </c>
      <c r="F985" t="s">
        <v>388</v>
      </c>
      <c r="G985">
        <v>0</v>
      </c>
      <c r="H985">
        <v>0</v>
      </c>
      <c r="I985">
        <f>G985+H985</f>
        <v>0</v>
      </c>
      <c r="J985">
        <f>100-G985-H985</f>
        <v>100</v>
      </c>
      <c r="K985" t="s">
        <v>19</v>
      </c>
      <c r="L985" t="s">
        <v>19</v>
      </c>
      <c r="M985" t="s">
        <v>19</v>
      </c>
      <c r="N985" t="s">
        <v>19</v>
      </c>
      <c r="O985" t="s">
        <v>19</v>
      </c>
      <c r="P985" t="s">
        <v>19</v>
      </c>
      <c r="Q985">
        <f>I985</f>
        <v>0</v>
      </c>
      <c r="R985" t="s">
        <v>19</v>
      </c>
      <c r="S985" t="s">
        <v>19</v>
      </c>
      <c r="T985" t="s">
        <v>19</v>
      </c>
    </row>
    <row r="986" spans="1:21" x14ac:dyDescent="0.25">
      <c r="A986" s="2">
        <v>45253.555555555555</v>
      </c>
      <c r="B986" t="s">
        <v>309</v>
      </c>
      <c r="C986" t="s">
        <v>213</v>
      </c>
      <c r="D986">
        <v>3</v>
      </c>
      <c r="E986" t="s">
        <v>90</v>
      </c>
      <c r="F986" t="s">
        <v>388</v>
      </c>
      <c r="G986">
        <v>0</v>
      </c>
      <c r="H986">
        <v>0</v>
      </c>
      <c r="I986">
        <v>0</v>
      </c>
      <c r="J986">
        <v>100</v>
      </c>
      <c r="K986">
        <v>0.8</v>
      </c>
      <c r="L986">
        <v>0.2</v>
      </c>
      <c r="M986">
        <v>0.7</v>
      </c>
      <c r="N986">
        <v>743</v>
      </c>
      <c r="O986">
        <v>0</v>
      </c>
      <c r="P986">
        <v>0</v>
      </c>
      <c r="Q986">
        <v>0</v>
      </c>
      <c r="R986" t="s">
        <v>240</v>
      </c>
      <c r="S986">
        <v>2.93</v>
      </c>
      <c r="T986">
        <v>3.68</v>
      </c>
    </row>
    <row r="987" spans="1:21" x14ac:dyDescent="0.25">
      <c r="A987" s="2">
        <v>45253.842361111114</v>
      </c>
      <c r="B987" t="s">
        <v>309</v>
      </c>
      <c r="C987" t="s">
        <v>215</v>
      </c>
      <c r="D987">
        <v>2</v>
      </c>
      <c r="E987" t="s">
        <v>90</v>
      </c>
      <c r="F987" t="s">
        <v>388</v>
      </c>
      <c r="G987">
        <v>0.27247956400000001</v>
      </c>
      <c r="H987">
        <v>0</v>
      </c>
      <c r="I987">
        <v>0.27247956400000001</v>
      </c>
      <c r="J987">
        <v>99.727520440000006</v>
      </c>
      <c r="K987">
        <v>0.8</v>
      </c>
      <c r="L987">
        <v>0.2</v>
      </c>
      <c r="M987">
        <v>0.7</v>
      </c>
      <c r="N987">
        <v>732</v>
      </c>
      <c r="O987">
        <v>2</v>
      </c>
      <c r="P987">
        <v>0</v>
      </c>
      <c r="Q987">
        <v>0.27</v>
      </c>
      <c r="R987" t="s">
        <v>257</v>
      </c>
      <c r="S987">
        <v>0.01</v>
      </c>
      <c r="T987">
        <v>0.01</v>
      </c>
    </row>
    <row r="988" spans="1:21" x14ac:dyDescent="0.25">
      <c r="A988" s="2">
        <v>45254.009722222225</v>
      </c>
      <c r="B988" t="s">
        <v>309</v>
      </c>
      <c r="C988" t="s">
        <v>217</v>
      </c>
      <c r="D988">
        <v>2</v>
      </c>
      <c r="E988" t="s">
        <v>90</v>
      </c>
      <c r="F988" t="s">
        <v>388</v>
      </c>
      <c r="G988">
        <v>0.41436464099999998</v>
      </c>
      <c r="H988">
        <v>0</v>
      </c>
      <c r="I988">
        <v>0.41436464099999998</v>
      </c>
      <c r="J988">
        <v>99.585635359999998</v>
      </c>
      <c r="K988">
        <v>0.8</v>
      </c>
      <c r="L988">
        <v>0.2</v>
      </c>
      <c r="M988">
        <v>0.7</v>
      </c>
      <c r="N988">
        <v>721</v>
      </c>
      <c r="O988">
        <v>3</v>
      </c>
      <c r="P988">
        <v>0</v>
      </c>
      <c r="Q988">
        <v>0.41</v>
      </c>
      <c r="R988" t="s">
        <v>227</v>
      </c>
      <c r="S988">
        <v>0.03</v>
      </c>
      <c r="T988">
        <v>0.03</v>
      </c>
    </row>
    <row r="989" spans="1:21" x14ac:dyDescent="0.25">
      <c r="A989" s="2">
        <v>45316.521527777775</v>
      </c>
      <c r="B989" t="s">
        <v>309</v>
      </c>
      <c r="C989" t="s">
        <v>219</v>
      </c>
      <c r="D989">
        <v>3</v>
      </c>
      <c r="E989" t="s">
        <v>90</v>
      </c>
      <c r="F989" t="s">
        <v>388</v>
      </c>
      <c r="G989">
        <v>0.13831258599999999</v>
      </c>
      <c r="H989">
        <v>0</v>
      </c>
      <c r="I989">
        <v>0.13831258599999999</v>
      </c>
      <c r="J989">
        <v>99.861687410000002</v>
      </c>
      <c r="K989">
        <v>0.8</v>
      </c>
      <c r="L989">
        <v>0.2</v>
      </c>
      <c r="M989">
        <v>0.7</v>
      </c>
      <c r="N989">
        <v>722</v>
      </c>
      <c r="O989">
        <v>1</v>
      </c>
      <c r="P989">
        <v>0</v>
      </c>
      <c r="Q989">
        <v>0.14000000000000001</v>
      </c>
      <c r="R989" t="s">
        <v>218</v>
      </c>
      <c r="S989">
        <v>2.91</v>
      </c>
      <c r="T989">
        <v>4.67</v>
      </c>
    </row>
    <row r="990" spans="1:21" x14ac:dyDescent="0.25">
      <c r="A990" s="2">
        <v>45320.861111111109</v>
      </c>
      <c r="B990" t="s">
        <v>309</v>
      </c>
      <c r="C990" t="s">
        <v>221</v>
      </c>
      <c r="D990">
        <v>2</v>
      </c>
      <c r="E990" t="s">
        <v>90</v>
      </c>
      <c r="F990" t="s">
        <v>388</v>
      </c>
      <c r="G990">
        <v>1.147776184</v>
      </c>
      <c r="H990">
        <v>0</v>
      </c>
      <c r="I990">
        <v>1.147776184</v>
      </c>
      <c r="J990">
        <v>98.852223820000006</v>
      </c>
      <c r="K990">
        <v>0.8</v>
      </c>
      <c r="L990">
        <v>0.3</v>
      </c>
      <c r="M990">
        <v>0.7</v>
      </c>
      <c r="N990">
        <v>689</v>
      </c>
      <c r="O990">
        <v>8</v>
      </c>
      <c r="P990">
        <v>0</v>
      </c>
      <c r="Q990">
        <v>1.1499999999999999</v>
      </c>
      <c r="R990" t="s">
        <v>226</v>
      </c>
      <c r="S990">
        <v>0.1</v>
      </c>
      <c r="T990">
        <v>0.11</v>
      </c>
    </row>
    <row r="991" spans="1:21" x14ac:dyDescent="0.25">
      <c r="A991" t="s">
        <v>19</v>
      </c>
      <c r="B991" t="s">
        <v>20</v>
      </c>
      <c r="C991" t="s">
        <v>306</v>
      </c>
      <c r="D991">
        <v>3</v>
      </c>
      <c r="E991" t="s">
        <v>90</v>
      </c>
      <c r="F991" t="s">
        <v>388</v>
      </c>
      <c r="G991">
        <v>0</v>
      </c>
      <c r="H991">
        <v>0</v>
      </c>
      <c r="I991">
        <f>G991+H991</f>
        <v>0</v>
      </c>
      <c r="J991">
        <f>100-G991-H991</f>
        <v>100</v>
      </c>
      <c r="K991" t="s">
        <v>19</v>
      </c>
      <c r="L991" t="s">
        <v>19</v>
      </c>
      <c r="M991" t="s">
        <v>19</v>
      </c>
      <c r="N991" t="s">
        <v>19</v>
      </c>
      <c r="O991" t="s">
        <v>19</v>
      </c>
      <c r="P991" t="s">
        <v>19</v>
      </c>
      <c r="Q991">
        <f>I991</f>
        <v>0</v>
      </c>
      <c r="R991" t="s">
        <v>19</v>
      </c>
      <c r="S991" t="s">
        <v>19</v>
      </c>
      <c r="T991" t="s">
        <v>19</v>
      </c>
    </row>
    <row r="992" spans="1:21" x14ac:dyDescent="0.25">
      <c r="A992" t="s">
        <v>19</v>
      </c>
      <c r="B992" t="s">
        <v>20</v>
      </c>
      <c r="C992" t="s">
        <v>320</v>
      </c>
      <c r="D992">
        <v>3</v>
      </c>
      <c r="E992" t="s">
        <v>90</v>
      </c>
      <c r="F992" t="s">
        <v>388</v>
      </c>
      <c r="G992">
        <v>0</v>
      </c>
      <c r="H992">
        <v>0</v>
      </c>
      <c r="I992">
        <f>100-J992</f>
        <v>0</v>
      </c>
      <c r="J992">
        <f>100-G992-H992</f>
        <v>100</v>
      </c>
      <c r="K992" t="s">
        <v>19</v>
      </c>
      <c r="L992" t="s">
        <v>19</v>
      </c>
      <c r="M992" t="s">
        <v>19</v>
      </c>
      <c r="N992" t="s">
        <v>19</v>
      </c>
      <c r="O992" t="s">
        <v>19</v>
      </c>
      <c r="P992" t="s">
        <v>19</v>
      </c>
      <c r="Q992">
        <f>I992</f>
        <v>0</v>
      </c>
      <c r="R992" t="s">
        <v>19</v>
      </c>
      <c r="S992" t="s">
        <v>19</v>
      </c>
      <c r="T992" t="s">
        <v>19</v>
      </c>
    </row>
    <row r="993" spans="1:21" x14ac:dyDescent="0.25">
      <c r="A993" s="2">
        <v>45323.563854166663</v>
      </c>
      <c r="B993" t="s">
        <v>309</v>
      </c>
      <c r="C993" t="s">
        <v>322</v>
      </c>
      <c r="D993">
        <v>3</v>
      </c>
      <c r="E993" t="s">
        <v>90</v>
      </c>
      <c r="F993" t="s">
        <v>388</v>
      </c>
      <c r="G993">
        <f>(O993/(N993+O993+P993))*100</f>
        <v>0.13642564802182811</v>
      </c>
      <c r="H993">
        <f>(P993/(O993+P993+N993))*100</f>
        <v>0</v>
      </c>
      <c r="I993">
        <v>0.14000000000000001</v>
      </c>
      <c r="J993">
        <f>(N993/(P993+O993+N993))*100</f>
        <v>99.863574351978173</v>
      </c>
      <c r="K993">
        <v>0.8</v>
      </c>
      <c r="L993">
        <v>0.3</v>
      </c>
      <c r="M993">
        <v>0.7</v>
      </c>
      <c r="N993">
        <v>732</v>
      </c>
      <c r="O993">
        <v>1</v>
      </c>
      <c r="P993">
        <v>0</v>
      </c>
      <c r="Q993">
        <v>0.14000000000000001</v>
      </c>
      <c r="R993" t="s">
        <v>329</v>
      </c>
      <c r="S993">
        <v>2.77</v>
      </c>
      <c r="T993">
        <v>3.14</v>
      </c>
      <c r="U993">
        <v>9</v>
      </c>
    </row>
    <row r="994" spans="1:21" x14ac:dyDescent="0.25">
      <c r="A994" s="2">
        <v>45323.561747685184</v>
      </c>
      <c r="B994" t="s">
        <v>309</v>
      </c>
      <c r="C994" t="s">
        <v>322</v>
      </c>
      <c r="D994">
        <v>3</v>
      </c>
      <c r="E994" t="s">
        <v>90</v>
      </c>
      <c r="F994" t="s">
        <v>388</v>
      </c>
      <c r="G994">
        <f>(O994/(N994+O994+P994))*100</f>
        <v>0.27247956403269752</v>
      </c>
      <c r="H994">
        <f>(P994/(O994+P994+N994))*100</f>
        <v>0</v>
      </c>
      <c r="I994">
        <v>0.27</v>
      </c>
      <c r="J994">
        <f>(N994/(P994+O994+N994))*100</f>
        <v>99.727520435967293</v>
      </c>
      <c r="K994">
        <v>0.7</v>
      </c>
      <c r="L994">
        <v>0.3</v>
      </c>
      <c r="M994">
        <v>0.7</v>
      </c>
      <c r="N994">
        <v>732</v>
      </c>
      <c r="O994">
        <v>2</v>
      </c>
      <c r="P994">
        <v>0</v>
      </c>
      <c r="Q994">
        <v>0.27</v>
      </c>
      <c r="R994" t="s">
        <v>355</v>
      </c>
      <c r="S994">
        <v>2.77</v>
      </c>
      <c r="T994">
        <v>3.14</v>
      </c>
      <c r="U994">
        <v>8</v>
      </c>
    </row>
    <row r="995" spans="1:21" x14ac:dyDescent="0.25">
      <c r="A995" s="2">
        <v>45324.985937500001</v>
      </c>
      <c r="B995" t="s">
        <v>309</v>
      </c>
      <c r="C995" t="s">
        <v>368</v>
      </c>
      <c r="D995">
        <v>2</v>
      </c>
      <c r="E995" t="s">
        <v>90</v>
      </c>
      <c r="F995" t="s">
        <v>388</v>
      </c>
      <c r="G995">
        <f>(O995/(N995+O995+P995))*100</f>
        <v>0.42796005706134094</v>
      </c>
      <c r="H995">
        <f>(P995/(O995+P995+N995))*100</f>
        <v>0</v>
      </c>
      <c r="I995">
        <v>0.43</v>
      </c>
      <c r="J995">
        <f>(N995/(P995+O995+N995))*100</f>
        <v>99.572039942938659</v>
      </c>
      <c r="K995">
        <v>0.8</v>
      </c>
      <c r="L995">
        <v>0.3</v>
      </c>
      <c r="M995">
        <v>0.7</v>
      </c>
      <c r="N995">
        <v>698</v>
      </c>
      <c r="O995">
        <v>3</v>
      </c>
      <c r="P995">
        <v>0</v>
      </c>
      <c r="Q995">
        <v>0.43</v>
      </c>
      <c r="R995" t="s">
        <v>258</v>
      </c>
      <c r="S995">
        <v>0.06</v>
      </c>
      <c r="T995">
        <v>7.0000000000000007E-2</v>
      </c>
    </row>
    <row r="996" spans="1:21" x14ac:dyDescent="0.25">
      <c r="A996" t="s">
        <v>19</v>
      </c>
      <c r="B996" t="s">
        <v>20</v>
      </c>
      <c r="C996" t="s">
        <v>308</v>
      </c>
      <c r="D996">
        <v>3</v>
      </c>
      <c r="E996" t="s">
        <v>91</v>
      </c>
      <c r="F996" t="s">
        <v>388</v>
      </c>
      <c r="G996">
        <v>0</v>
      </c>
      <c r="H996">
        <v>0</v>
      </c>
      <c r="I996">
        <f>G996+H996</f>
        <v>0</v>
      </c>
      <c r="J996">
        <f>100-G996-H996</f>
        <v>100</v>
      </c>
      <c r="K996" t="s">
        <v>19</v>
      </c>
      <c r="L996" t="s">
        <v>19</v>
      </c>
      <c r="M996" t="s">
        <v>19</v>
      </c>
      <c r="N996" t="s">
        <v>19</v>
      </c>
      <c r="O996" t="s">
        <v>19</v>
      </c>
      <c r="P996" t="s">
        <v>19</v>
      </c>
      <c r="Q996">
        <f>I996</f>
        <v>0</v>
      </c>
      <c r="R996" t="s">
        <v>19</v>
      </c>
      <c r="S996" t="s">
        <v>19</v>
      </c>
      <c r="T996" t="s">
        <v>19</v>
      </c>
    </row>
    <row r="997" spans="1:21" x14ac:dyDescent="0.25">
      <c r="A997" t="s">
        <v>19</v>
      </c>
      <c r="B997" t="s">
        <v>20</v>
      </c>
      <c r="C997" t="s">
        <v>22</v>
      </c>
      <c r="D997">
        <v>3</v>
      </c>
      <c r="E997" t="s">
        <v>91</v>
      </c>
      <c r="F997" t="s">
        <v>388</v>
      </c>
      <c r="G997">
        <v>0</v>
      </c>
      <c r="H997">
        <v>0</v>
      </c>
      <c r="I997">
        <f>G997+H997</f>
        <v>0</v>
      </c>
      <c r="J997">
        <f>100-G997-H997</f>
        <v>100</v>
      </c>
      <c r="K997" t="s">
        <v>19</v>
      </c>
      <c r="L997" t="s">
        <v>19</v>
      </c>
      <c r="M997" t="s">
        <v>19</v>
      </c>
      <c r="N997" t="s">
        <v>19</v>
      </c>
      <c r="O997" t="s">
        <v>19</v>
      </c>
      <c r="P997" t="s">
        <v>19</v>
      </c>
      <c r="Q997">
        <f>I997</f>
        <v>0</v>
      </c>
      <c r="R997" t="s">
        <v>19</v>
      </c>
      <c r="S997" t="s">
        <v>19</v>
      </c>
      <c r="T997" t="s">
        <v>19</v>
      </c>
    </row>
    <row r="998" spans="1:21" x14ac:dyDescent="0.25">
      <c r="A998" t="s">
        <v>19</v>
      </c>
      <c r="B998" t="s">
        <v>20</v>
      </c>
      <c r="C998" t="s">
        <v>305</v>
      </c>
      <c r="D998">
        <v>3</v>
      </c>
      <c r="E998" t="s">
        <v>91</v>
      </c>
      <c r="F998" t="s">
        <v>388</v>
      </c>
      <c r="G998">
        <v>2</v>
      </c>
      <c r="H998">
        <v>0</v>
      </c>
      <c r="I998">
        <f>G998+H998</f>
        <v>2</v>
      </c>
      <c r="J998">
        <f>100-G998-H998</f>
        <v>98</v>
      </c>
      <c r="K998" t="s">
        <v>19</v>
      </c>
      <c r="L998" t="s">
        <v>19</v>
      </c>
      <c r="M998" t="s">
        <v>19</v>
      </c>
      <c r="N998" t="s">
        <v>19</v>
      </c>
      <c r="O998" t="s">
        <v>19</v>
      </c>
      <c r="P998" t="s">
        <v>19</v>
      </c>
      <c r="Q998">
        <f>I998</f>
        <v>2</v>
      </c>
      <c r="R998" t="s">
        <v>19</v>
      </c>
      <c r="S998" t="s">
        <v>19</v>
      </c>
      <c r="T998" t="s">
        <v>19</v>
      </c>
    </row>
    <row r="999" spans="1:21" x14ac:dyDescent="0.25">
      <c r="A999" t="s">
        <v>19</v>
      </c>
      <c r="B999" t="s">
        <v>20</v>
      </c>
      <c r="C999" t="s">
        <v>307</v>
      </c>
      <c r="D999">
        <v>3</v>
      </c>
      <c r="E999" t="s">
        <v>91</v>
      </c>
      <c r="F999" t="s">
        <v>388</v>
      </c>
      <c r="G999">
        <v>0</v>
      </c>
      <c r="H999">
        <v>0</v>
      </c>
      <c r="I999">
        <f>G999+H999</f>
        <v>0</v>
      </c>
      <c r="J999">
        <f>100-G999-H999</f>
        <v>100</v>
      </c>
      <c r="K999" t="s">
        <v>19</v>
      </c>
      <c r="L999" t="s">
        <v>19</v>
      </c>
      <c r="M999" t="s">
        <v>19</v>
      </c>
      <c r="N999" t="s">
        <v>19</v>
      </c>
      <c r="O999" t="s">
        <v>19</v>
      </c>
      <c r="P999" t="s">
        <v>19</v>
      </c>
      <c r="Q999">
        <f>I999</f>
        <v>0</v>
      </c>
      <c r="R999" t="s">
        <v>19</v>
      </c>
      <c r="S999" t="s">
        <v>19</v>
      </c>
      <c r="T999" t="s">
        <v>19</v>
      </c>
    </row>
    <row r="1000" spans="1:21" x14ac:dyDescent="0.25">
      <c r="A1000" s="2">
        <v>45253.556944444441</v>
      </c>
      <c r="B1000" t="s">
        <v>309</v>
      </c>
      <c r="C1000" t="s">
        <v>213</v>
      </c>
      <c r="D1000">
        <v>3</v>
      </c>
      <c r="E1000" t="s">
        <v>91</v>
      </c>
      <c r="F1000" t="s">
        <v>388</v>
      </c>
      <c r="G1000" t="e">
        <v>#VALUE!</v>
      </c>
      <c r="H1000" t="e">
        <v>#VALUE!</v>
      </c>
      <c r="I1000">
        <v>19.66</v>
      </c>
      <c r="J1000" t="e">
        <v>#VALUE!</v>
      </c>
      <c r="K1000">
        <v>0.8</v>
      </c>
      <c r="L1000">
        <v>0.2</v>
      </c>
      <c r="M1000">
        <v>0.7</v>
      </c>
      <c r="N1000">
        <v>376</v>
      </c>
      <c r="O1000" t="s">
        <v>266</v>
      </c>
      <c r="P1000" t="s">
        <v>266</v>
      </c>
      <c r="Q1000">
        <v>19.66</v>
      </c>
      <c r="R1000" t="s">
        <v>253</v>
      </c>
      <c r="S1000">
        <v>2.83</v>
      </c>
      <c r="T1000">
        <v>3.59</v>
      </c>
    </row>
    <row r="1001" spans="1:21" x14ac:dyDescent="0.25">
      <c r="A1001" s="2">
        <v>45253.843055555553</v>
      </c>
      <c r="B1001" t="s">
        <v>309</v>
      </c>
      <c r="C1001" t="s">
        <v>215</v>
      </c>
      <c r="D1001">
        <v>2</v>
      </c>
      <c r="E1001" t="s">
        <v>91</v>
      </c>
      <c r="F1001" t="s">
        <v>388</v>
      </c>
      <c r="G1001">
        <v>17.718120809999998</v>
      </c>
      <c r="H1001">
        <v>0</v>
      </c>
      <c r="I1001">
        <v>17.718120809999998</v>
      </c>
      <c r="J1001">
        <v>82.281879189999998</v>
      </c>
      <c r="K1001">
        <v>0.8</v>
      </c>
      <c r="L1001">
        <v>0.2</v>
      </c>
      <c r="M1001">
        <v>0.7</v>
      </c>
      <c r="N1001">
        <v>613</v>
      </c>
      <c r="O1001">
        <v>132</v>
      </c>
      <c r="P1001">
        <v>0</v>
      </c>
      <c r="Q1001">
        <v>17.72</v>
      </c>
      <c r="R1001" t="s">
        <v>226</v>
      </c>
      <c r="S1001">
        <v>0.46</v>
      </c>
      <c r="T1001">
        <v>0.5</v>
      </c>
    </row>
    <row r="1002" spans="1:21" x14ac:dyDescent="0.25">
      <c r="A1002" s="2">
        <v>45254.010416666664</v>
      </c>
      <c r="B1002" t="s">
        <v>309</v>
      </c>
      <c r="C1002" t="s">
        <v>217</v>
      </c>
      <c r="D1002">
        <v>2</v>
      </c>
      <c r="E1002" t="s">
        <v>91</v>
      </c>
      <c r="F1002" t="s">
        <v>388</v>
      </c>
      <c r="G1002">
        <v>17.331499310000002</v>
      </c>
      <c r="H1002">
        <v>0</v>
      </c>
      <c r="I1002">
        <v>17.331499310000002</v>
      </c>
      <c r="J1002">
        <v>82.668500690000002</v>
      </c>
      <c r="K1002">
        <v>0.8</v>
      </c>
      <c r="L1002">
        <v>0.2</v>
      </c>
      <c r="M1002">
        <v>0.7</v>
      </c>
      <c r="N1002">
        <v>601</v>
      </c>
      <c r="O1002">
        <v>126</v>
      </c>
      <c r="P1002">
        <v>0</v>
      </c>
      <c r="Q1002">
        <v>17.329999999999998</v>
      </c>
      <c r="R1002" t="s">
        <v>235</v>
      </c>
      <c r="S1002">
        <v>0.48</v>
      </c>
      <c r="T1002">
        <v>0.5</v>
      </c>
    </row>
    <row r="1003" spans="1:21" ht="15" customHeight="1" x14ac:dyDescent="0.25">
      <c r="A1003" s="2">
        <v>45316.522222222222</v>
      </c>
      <c r="B1003" t="s">
        <v>309</v>
      </c>
      <c r="C1003" t="s">
        <v>219</v>
      </c>
      <c r="D1003">
        <v>3</v>
      </c>
      <c r="E1003" t="s">
        <v>91</v>
      </c>
      <c r="F1003" t="s">
        <v>388</v>
      </c>
      <c r="G1003">
        <v>0.77519379799999999</v>
      </c>
      <c r="H1003">
        <v>0.25839793300000002</v>
      </c>
      <c r="I1003">
        <v>1.033591731</v>
      </c>
      <c r="J1003">
        <v>98.966408270000002</v>
      </c>
      <c r="K1003">
        <v>0.8</v>
      </c>
      <c r="L1003">
        <v>0.2</v>
      </c>
      <c r="M1003">
        <v>0.7</v>
      </c>
      <c r="N1003">
        <v>383</v>
      </c>
      <c r="O1003">
        <v>3</v>
      </c>
      <c r="P1003">
        <v>1</v>
      </c>
      <c r="Q1003">
        <v>1.03</v>
      </c>
      <c r="R1003" t="s">
        <v>222</v>
      </c>
      <c r="S1003">
        <v>3.1</v>
      </c>
      <c r="T1003">
        <v>4.5</v>
      </c>
    </row>
    <row r="1004" spans="1:21" ht="15" customHeight="1" x14ac:dyDescent="0.25">
      <c r="A1004" s="2">
        <v>45320.861805555556</v>
      </c>
      <c r="B1004" t="s">
        <v>309</v>
      </c>
      <c r="C1004" t="s">
        <v>221</v>
      </c>
      <c r="D1004">
        <v>2</v>
      </c>
      <c r="E1004" t="s">
        <v>91</v>
      </c>
      <c r="F1004" t="s">
        <v>388</v>
      </c>
      <c r="G1004">
        <v>6.9373942470000003</v>
      </c>
      <c r="H1004">
        <v>0</v>
      </c>
      <c r="I1004">
        <v>6.9373942470000003</v>
      </c>
      <c r="J1004">
        <v>93.062605750000003</v>
      </c>
      <c r="K1004">
        <v>0.8</v>
      </c>
      <c r="L1004">
        <v>0.3</v>
      </c>
      <c r="M1004">
        <v>0.7</v>
      </c>
      <c r="N1004">
        <v>550</v>
      </c>
      <c r="O1004">
        <v>41</v>
      </c>
      <c r="P1004">
        <v>0</v>
      </c>
      <c r="Q1004">
        <v>6.94</v>
      </c>
      <c r="R1004" t="s">
        <v>226</v>
      </c>
      <c r="S1004">
        <v>0.27</v>
      </c>
      <c r="T1004">
        <v>0.28999999999999998</v>
      </c>
    </row>
    <row r="1005" spans="1:21" ht="15" customHeight="1" x14ac:dyDescent="0.25">
      <c r="A1005" t="s">
        <v>19</v>
      </c>
      <c r="B1005" t="s">
        <v>20</v>
      </c>
      <c r="C1005" t="s">
        <v>306</v>
      </c>
      <c r="D1005">
        <v>3</v>
      </c>
      <c r="E1005" t="s">
        <v>91</v>
      </c>
      <c r="F1005" t="s">
        <v>388</v>
      </c>
      <c r="G1005">
        <v>0</v>
      </c>
      <c r="H1005">
        <v>0</v>
      </c>
      <c r="I1005">
        <f>G1005+H1005</f>
        <v>0</v>
      </c>
      <c r="J1005">
        <f>100-G1005-H1005</f>
        <v>100</v>
      </c>
      <c r="K1005" t="s">
        <v>19</v>
      </c>
      <c r="L1005" t="s">
        <v>19</v>
      </c>
      <c r="M1005" t="s">
        <v>19</v>
      </c>
      <c r="N1005" t="s">
        <v>19</v>
      </c>
      <c r="O1005" t="s">
        <v>19</v>
      </c>
      <c r="P1005" t="s">
        <v>19</v>
      </c>
      <c r="Q1005">
        <f>I1005</f>
        <v>0</v>
      </c>
      <c r="R1005" t="s">
        <v>19</v>
      </c>
      <c r="S1005" t="s">
        <v>19</v>
      </c>
      <c r="T1005" t="s">
        <v>19</v>
      </c>
    </row>
    <row r="1006" spans="1:21" ht="15" customHeight="1" x14ac:dyDescent="0.25">
      <c r="A1006" t="s">
        <v>19</v>
      </c>
      <c r="B1006" t="s">
        <v>20</v>
      </c>
      <c r="C1006" t="s">
        <v>320</v>
      </c>
      <c r="D1006">
        <v>3</v>
      </c>
      <c r="E1006" t="s">
        <v>91</v>
      </c>
      <c r="F1006" t="s">
        <v>388</v>
      </c>
      <c r="G1006">
        <v>0</v>
      </c>
      <c r="H1006">
        <v>0</v>
      </c>
      <c r="I1006">
        <f>100-J1006</f>
        <v>0</v>
      </c>
      <c r="J1006">
        <f>100-G1006-H1006</f>
        <v>100</v>
      </c>
      <c r="K1006" t="s">
        <v>19</v>
      </c>
      <c r="L1006" t="s">
        <v>19</v>
      </c>
      <c r="M1006" t="s">
        <v>19</v>
      </c>
      <c r="N1006" t="s">
        <v>19</v>
      </c>
      <c r="O1006" t="s">
        <v>19</v>
      </c>
      <c r="P1006" t="s">
        <v>19</v>
      </c>
      <c r="Q1006">
        <f>I1006</f>
        <v>0</v>
      </c>
      <c r="R1006" t="s">
        <v>19</v>
      </c>
      <c r="S1006" t="s">
        <v>19</v>
      </c>
      <c r="T1006" t="s">
        <v>19</v>
      </c>
    </row>
    <row r="1007" spans="1:21" ht="15" customHeight="1" x14ac:dyDescent="0.25">
      <c r="A1007" s="2">
        <v>45323.565636574072</v>
      </c>
      <c r="B1007" t="s">
        <v>309</v>
      </c>
      <c r="C1007" t="s">
        <v>322</v>
      </c>
      <c r="D1007">
        <v>3</v>
      </c>
      <c r="E1007" t="s">
        <v>91</v>
      </c>
      <c r="F1007" t="s">
        <v>388</v>
      </c>
      <c r="G1007" t="e">
        <f>(O1007/(N1007+O1007+P1007))*100</f>
        <v>#VALUE!</v>
      </c>
      <c r="H1007" t="e">
        <f>(P1007/(O1007+P1007+N1007))*100</f>
        <v>#VALUE!</v>
      </c>
      <c r="I1007">
        <v>6.78</v>
      </c>
      <c r="J1007" t="e">
        <f>(N1007/(P1007+O1007+N1007))*100</f>
        <v>#VALUE!</v>
      </c>
      <c r="K1007">
        <v>0.8</v>
      </c>
      <c r="L1007">
        <v>0.3</v>
      </c>
      <c r="M1007">
        <v>0.7</v>
      </c>
      <c r="N1007">
        <v>509</v>
      </c>
      <c r="O1007" t="s">
        <v>266</v>
      </c>
      <c r="P1007" t="s">
        <v>266</v>
      </c>
      <c r="Q1007">
        <v>6.78</v>
      </c>
      <c r="R1007" t="s">
        <v>255</v>
      </c>
      <c r="S1007">
        <v>2.57</v>
      </c>
      <c r="T1007">
        <v>3.88</v>
      </c>
      <c r="U1007">
        <v>103</v>
      </c>
    </row>
    <row r="1008" spans="1:21" ht="15" customHeight="1" x14ac:dyDescent="0.25">
      <c r="A1008" s="2">
        <v>45323.56354166667</v>
      </c>
      <c r="B1008" t="s">
        <v>309</v>
      </c>
      <c r="C1008" t="s">
        <v>322</v>
      </c>
      <c r="D1008">
        <v>3</v>
      </c>
      <c r="E1008" t="s">
        <v>91</v>
      </c>
      <c r="F1008" t="s">
        <v>388</v>
      </c>
      <c r="G1008" t="e">
        <f>(O1008/(N1008+O1008+P1008))*100</f>
        <v>#VALUE!</v>
      </c>
      <c r="H1008" t="e">
        <f>(P1008/(O1008+P1008+N1008))*100</f>
        <v>#VALUE!</v>
      </c>
      <c r="I1008">
        <v>9.75</v>
      </c>
      <c r="J1008" t="e">
        <f>(N1008/(P1008+O1008+N1008))*100</f>
        <v>#VALUE!</v>
      </c>
      <c r="K1008">
        <v>0.7</v>
      </c>
      <c r="L1008">
        <v>0.3</v>
      </c>
      <c r="M1008">
        <v>0.7</v>
      </c>
      <c r="N1008">
        <v>509</v>
      </c>
      <c r="O1008" t="s">
        <v>266</v>
      </c>
      <c r="P1008" t="s">
        <v>266</v>
      </c>
      <c r="Q1008">
        <v>9.75</v>
      </c>
      <c r="R1008" t="s">
        <v>245</v>
      </c>
      <c r="S1008">
        <v>2.57</v>
      </c>
      <c r="T1008">
        <v>3.88</v>
      </c>
      <c r="U1008">
        <v>85</v>
      </c>
    </row>
    <row r="1009" spans="1:21" ht="15" customHeight="1" x14ac:dyDescent="0.25">
      <c r="A1009" s="2">
        <v>45324.987303240741</v>
      </c>
      <c r="B1009" t="s">
        <v>309</v>
      </c>
      <c r="C1009" t="s">
        <v>368</v>
      </c>
      <c r="D1009">
        <v>2</v>
      </c>
      <c r="E1009" t="s">
        <v>91</v>
      </c>
      <c r="F1009" t="s">
        <v>388</v>
      </c>
      <c r="G1009">
        <f>(O1009/(N1009+O1009+P1009))*100</f>
        <v>8.9579524680073135</v>
      </c>
      <c r="H1009">
        <f>(P1009/(O1009+P1009+N1009))*100</f>
        <v>0</v>
      </c>
      <c r="I1009">
        <v>8.9600000000000009</v>
      </c>
      <c r="J1009">
        <f>(N1009/(P1009+O1009+N1009))*100</f>
        <v>91.042047531992694</v>
      </c>
      <c r="K1009">
        <v>0.8</v>
      </c>
      <c r="L1009">
        <v>0.3</v>
      </c>
      <c r="M1009">
        <v>0.7</v>
      </c>
      <c r="N1009">
        <v>498</v>
      </c>
      <c r="O1009">
        <v>49</v>
      </c>
      <c r="P1009">
        <v>0</v>
      </c>
      <c r="Q1009">
        <v>8.9600000000000009</v>
      </c>
      <c r="R1009" t="s">
        <v>258</v>
      </c>
      <c r="S1009">
        <v>0.37</v>
      </c>
      <c r="T1009">
        <v>0.41</v>
      </c>
    </row>
    <row r="1010" spans="1:21" ht="15" customHeight="1" x14ac:dyDescent="0.25">
      <c r="A1010" t="s">
        <v>19</v>
      </c>
      <c r="B1010" t="s">
        <v>20</v>
      </c>
      <c r="C1010" t="s">
        <v>306</v>
      </c>
      <c r="D1010">
        <v>3</v>
      </c>
      <c r="E1010" t="s">
        <v>92</v>
      </c>
      <c r="F1010" t="s">
        <v>373</v>
      </c>
      <c r="G1010">
        <v>1</v>
      </c>
      <c r="H1010">
        <v>0</v>
      </c>
      <c r="I1010">
        <f>G1010+H1010</f>
        <v>1</v>
      </c>
      <c r="J1010">
        <f>100-G1010-H1010</f>
        <v>99</v>
      </c>
      <c r="K1010" t="s">
        <v>19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>
        <f>I1010</f>
        <v>1</v>
      </c>
      <c r="R1010" t="s">
        <v>19</v>
      </c>
      <c r="S1010" t="s">
        <v>19</v>
      </c>
      <c r="T1010" t="s">
        <v>19</v>
      </c>
    </row>
    <row r="1011" spans="1:21" ht="15" customHeight="1" x14ac:dyDescent="0.25">
      <c r="A1011" t="s">
        <v>19</v>
      </c>
      <c r="B1011" t="s">
        <v>20</v>
      </c>
      <c r="C1011" t="s">
        <v>308</v>
      </c>
      <c r="D1011">
        <v>3</v>
      </c>
      <c r="E1011" t="s">
        <v>92</v>
      </c>
      <c r="F1011" t="s">
        <v>373</v>
      </c>
      <c r="G1011">
        <v>0</v>
      </c>
      <c r="H1011">
        <v>0</v>
      </c>
      <c r="I1011">
        <f>G1011+H1011</f>
        <v>0</v>
      </c>
      <c r="J1011">
        <f>100-G1011-H1011</f>
        <v>100</v>
      </c>
      <c r="K1011" t="s">
        <v>19</v>
      </c>
      <c r="L1011" t="s">
        <v>19</v>
      </c>
      <c r="M1011" t="s">
        <v>19</v>
      </c>
      <c r="N1011" t="s">
        <v>19</v>
      </c>
      <c r="O1011" t="s">
        <v>19</v>
      </c>
      <c r="P1011" t="s">
        <v>19</v>
      </c>
      <c r="Q1011">
        <f>I1011</f>
        <v>0</v>
      </c>
      <c r="R1011" t="s">
        <v>19</v>
      </c>
      <c r="S1011" t="s">
        <v>19</v>
      </c>
      <c r="T1011" t="s">
        <v>19</v>
      </c>
    </row>
    <row r="1012" spans="1:21" ht="15" customHeight="1" x14ac:dyDescent="0.25">
      <c r="A1012" t="s">
        <v>19</v>
      </c>
      <c r="B1012" t="s">
        <v>20</v>
      </c>
      <c r="C1012" t="s">
        <v>22</v>
      </c>
      <c r="D1012">
        <v>3</v>
      </c>
      <c r="E1012" t="s">
        <v>92</v>
      </c>
      <c r="F1012" t="s">
        <v>373</v>
      </c>
      <c r="G1012">
        <v>0</v>
      </c>
      <c r="H1012">
        <v>0</v>
      </c>
      <c r="I1012">
        <f>G1012+H1012</f>
        <v>0</v>
      </c>
      <c r="J1012">
        <f>100-G1012-H1012</f>
        <v>100</v>
      </c>
      <c r="K1012" t="s">
        <v>19</v>
      </c>
      <c r="L1012" t="s">
        <v>19</v>
      </c>
      <c r="M1012" t="s">
        <v>19</v>
      </c>
      <c r="N1012" t="s">
        <v>19</v>
      </c>
      <c r="O1012" t="s">
        <v>19</v>
      </c>
      <c r="P1012" t="s">
        <v>19</v>
      </c>
      <c r="Q1012">
        <f>I1012</f>
        <v>0</v>
      </c>
      <c r="R1012" t="s">
        <v>19</v>
      </c>
      <c r="S1012" t="s">
        <v>19</v>
      </c>
      <c r="T1012" t="s">
        <v>19</v>
      </c>
    </row>
    <row r="1013" spans="1:21" ht="15" customHeight="1" x14ac:dyDescent="0.25">
      <c r="A1013" t="s">
        <v>19</v>
      </c>
      <c r="B1013" t="s">
        <v>20</v>
      </c>
      <c r="C1013" t="s">
        <v>305</v>
      </c>
      <c r="D1013">
        <v>3</v>
      </c>
      <c r="E1013" t="s">
        <v>92</v>
      </c>
      <c r="F1013" t="s">
        <v>373</v>
      </c>
      <c r="G1013">
        <v>0</v>
      </c>
      <c r="H1013">
        <v>0</v>
      </c>
      <c r="I1013">
        <f>G1013+H1013</f>
        <v>0</v>
      </c>
      <c r="J1013">
        <f>100-G1013-H1013</f>
        <v>100</v>
      </c>
      <c r="K1013" t="s">
        <v>19</v>
      </c>
      <c r="L1013" t="s">
        <v>19</v>
      </c>
      <c r="M1013" t="s">
        <v>19</v>
      </c>
      <c r="N1013" t="s">
        <v>19</v>
      </c>
      <c r="O1013" t="s">
        <v>19</v>
      </c>
      <c r="P1013" t="s">
        <v>19</v>
      </c>
      <c r="Q1013">
        <f>I1013</f>
        <v>0</v>
      </c>
      <c r="R1013" t="s">
        <v>19</v>
      </c>
      <c r="S1013" t="s">
        <v>19</v>
      </c>
      <c r="T1013" t="s">
        <v>19</v>
      </c>
    </row>
    <row r="1014" spans="1:21" ht="15" customHeight="1" x14ac:dyDescent="0.25">
      <c r="A1014" t="s">
        <v>19</v>
      </c>
      <c r="B1014" t="s">
        <v>20</v>
      </c>
      <c r="C1014" t="s">
        <v>307</v>
      </c>
      <c r="D1014">
        <v>3</v>
      </c>
      <c r="E1014" t="s">
        <v>92</v>
      </c>
      <c r="F1014" t="s">
        <v>373</v>
      </c>
      <c r="G1014">
        <v>0</v>
      </c>
      <c r="H1014">
        <v>0</v>
      </c>
      <c r="I1014">
        <f>G1014+H1014</f>
        <v>0</v>
      </c>
      <c r="J1014">
        <f>100-G1014-H1014</f>
        <v>100</v>
      </c>
      <c r="K1014" t="s">
        <v>19</v>
      </c>
      <c r="L1014" t="s">
        <v>19</v>
      </c>
      <c r="M1014" t="s">
        <v>19</v>
      </c>
      <c r="N1014" t="s">
        <v>19</v>
      </c>
      <c r="O1014" t="s">
        <v>19</v>
      </c>
      <c r="P1014" t="s">
        <v>19</v>
      </c>
      <c r="Q1014">
        <f>I1014</f>
        <v>0</v>
      </c>
      <c r="R1014" t="s">
        <v>19</v>
      </c>
      <c r="S1014" t="s">
        <v>19</v>
      </c>
      <c r="T1014" t="s">
        <v>19</v>
      </c>
    </row>
    <row r="1015" spans="1:21" ht="15" customHeight="1" x14ac:dyDescent="0.25">
      <c r="A1015" s="2">
        <v>45253.722916666666</v>
      </c>
      <c r="B1015" t="s">
        <v>309</v>
      </c>
      <c r="C1015" t="s">
        <v>213</v>
      </c>
      <c r="D1015">
        <v>3</v>
      </c>
      <c r="E1015" t="s">
        <v>92</v>
      </c>
      <c r="F1015" t="s">
        <v>373</v>
      </c>
      <c r="G1015">
        <v>0</v>
      </c>
      <c r="H1015">
        <v>0</v>
      </c>
      <c r="I1015">
        <v>0</v>
      </c>
      <c r="J1015">
        <v>100</v>
      </c>
      <c r="K1015">
        <v>0.8</v>
      </c>
      <c r="L1015">
        <v>0.2</v>
      </c>
      <c r="M1015">
        <v>0.7</v>
      </c>
      <c r="N1015">
        <v>718</v>
      </c>
      <c r="O1015">
        <v>0</v>
      </c>
      <c r="P1015">
        <v>0</v>
      </c>
      <c r="Q1015">
        <v>0</v>
      </c>
      <c r="R1015" t="s">
        <v>238</v>
      </c>
      <c r="S1015">
        <v>2.8</v>
      </c>
      <c r="T1015">
        <v>3.6</v>
      </c>
    </row>
    <row r="1016" spans="1:21" ht="15" customHeight="1" x14ac:dyDescent="0.25">
      <c r="A1016" s="2">
        <v>45253.931250000001</v>
      </c>
      <c r="B1016" t="s">
        <v>309</v>
      </c>
      <c r="C1016" t="s">
        <v>215</v>
      </c>
      <c r="D1016">
        <v>2</v>
      </c>
      <c r="E1016" t="s">
        <v>92</v>
      </c>
      <c r="F1016" t="s">
        <v>373</v>
      </c>
      <c r="G1016">
        <v>2.1520803439999998</v>
      </c>
      <c r="H1016">
        <v>0</v>
      </c>
      <c r="I1016">
        <v>2.1520803439999998</v>
      </c>
      <c r="J1016">
        <v>97.847919660000002</v>
      </c>
      <c r="K1016">
        <v>0.8</v>
      </c>
      <c r="L1016">
        <v>0.2</v>
      </c>
      <c r="M1016">
        <v>0.7</v>
      </c>
      <c r="N1016">
        <v>682</v>
      </c>
      <c r="O1016">
        <v>15</v>
      </c>
      <c r="P1016">
        <v>0</v>
      </c>
      <c r="Q1016">
        <v>2.15</v>
      </c>
      <c r="R1016" t="s">
        <v>243</v>
      </c>
      <c r="S1016">
        <v>0.08</v>
      </c>
      <c r="T1016">
        <v>0.09</v>
      </c>
    </row>
    <row r="1017" spans="1:21" ht="15" customHeight="1" x14ac:dyDescent="0.25">
      <c r="A1017" s="2">
        <v>45254.105555555558</v>
      </c>
      <c r="B1017" t="s">
        <v>309</v>
      </c>
      <c r="C1017" t="s">
        <v>217</v>
      </c>
      <c r="D1017">
        <v>2</v>
      </c>
      <c r="E1017" t="s">
        <v>92</v>
      </c>
      <c r="F1017" t="s">
        <v>373</v>
      </c>
      <c r="G1017">
        <v>2.1943573669999998</v>
      </c>
      <c r="H1017">
        <v>0</v>
      </c>
      <c r="I1017">
        <v>2.1943573669999998</v>
      </c>
      <c r="J1017">
        <v>97.805642629999994</v>
      </c>
      <c r="K1017">
        <v>0.8</v>
      </c>
      <c r="L1017">
        <v>0.2</v>
      </c>
      <c r="M1017">
        <v>0.7</v>
      </c>
      <c r="N1017">
        <v>624</v>
      </c>
      <c r="O1017">
        <v>14</v>
      </c>
      <c r="P1017">
        <v>0</v>
      </c>
      <c r="Q1017">
        <v>2.19</v>
      </c>
      <c r="R1017" t="s">
        <v>231</v>
      </c>
      <c r="S1017">
        <v>0.13</v>
      </c>
      <c r="T1017">
        <v>0.14000000000000001</v>
      </c>
    </row>
    <row r="1018" spans="1:21" ht="15" customHeight="1" x14ac:dyDescent="0.25">
      <c r="A1018" s="2">
        <v>45316.441666666666</v>
      </c>
      <c r="B1018" t="s">
        <v>309</v>
      </c>
      <c r="C1018" t="s">
        <v>219</v>
      </c>
      <c r="D1018">
        <v>3</v>
      </c>
      <c r="E1018" t="s">
        <v>92</v>
      </c>
      <c r="F1018" t="s">
        <v>373</v>
      </c>
      <c r="G1018">
        <v>0.159744409</v>
      </c>
      <c r="H1018">
        <v>0.159744409</v>
      </c>
      <c r="I1018">
        <v>0.31948881800000001</v>
      </c>
      <c r="J1018">
        <v>99.680511179999996</v>
      </c>
      <c r="K1018">
        <v>0.8</v>
      </c>
      <c r="L1018">
        <v>0.2</v>
      </c>
      <c r="M1018">
        <v>0.7</v>
      </c>
      <c r="N1018">
        <v>624</v>
      </c>
      <c r="O1018">
        <v>1</v>
      </c>
      <c r="P1018">
        <v>1</v>
      </c>
      <c r="Q1018">
        <v>0.32</v>
      </c>
      <c r="R1018" t="s">
        <v>231</v>
      </c>
      <c r="S1018">
        <v>3.21</v>
      </c>
      <c r="T1018">
        <v>4.4000000000000004</v>
      </c>
    </row>
    <row r="1019" spans="1:21" ht="15" customHeight="1" x14ac:dyDescent="0.25">
      <c r="A1019" s="2">
        <v>45320.963888888888</v>
      </c>
      <c r="B1019" t="s">
        <v>309</v>
      </c>
      <c r="C1019" t="s">
        <v>221</v>
      </c>
      <c r="D1019">
        <v>2</v>
      </c>
      <c r="E1019" t="s">
        <v>92</v>
      </c>
      <c r="F1019" t="s">
        <v>373</v>
      </c>
      <c r="G1019">
        <v>0.14814814800000001</v>
      </c>
      <c r="H1019">
        <v>0</v>
      </c>
      <c r="I1019">
        <v>0.14814814800000001</v>
      </c>
      <c r="J1019">
        <v>99.851851850000003</v>
      </c>
      <c r="K1019">
        <v>0.8</v>
      </c>
      <c r="L1019">
        <v>0.3</v>
      </c>
      <c r="M1019">
        <v>0.7</v>
      </c>
      <c r="N1019">
        <v>674</v>
      </c>
      <c r="O1019">
        <v>1</v>
      </c>
      <c r="P1019">
        <v>0</v>
      </c>
      <c r="Q1019">
        <v>0.15</v>
      </c>
      <c r="R1019" t="s">
        <v>220</v>
      </c>
      <c r="S1019">
        <v>0.02</v>
      </c>
      <c r="T1019">
        <v>0.02</v>
      </c>
    </row>
    <row r="1020" spans="1:21" ht="15" customHeight="1" x14ac:dyDescent="0.25">
      <c r="A1020" t="s">
        <v>19</v>
      </c>
      <c r="B1020" t="s">
        <v>20</v>
      </c>
      <c r="C1020" t="s">
        <v>320</v>
      </c>
      <c r="D1020">
        <v>3</v>
      </c>
      <c r="E1020" t="s">
        <v>92</v>
      </c>
      <c r="F1020" t="s">
        <v>373</v>
      </c>
      <c r="G1020">
        <v>0</v>
      </c>
      <c r="H1020">
        <v>0</v>
      </c>
      <c r="I1020">
        <f>100-J1020</f>
        <v>0</v>
      </c>
      <c r="J1020">
        <f>100-G1020-H1020</f>
        <v>100</v>
      </c>
      <c r="K1020" t="s">
        <v>19</v>
      </c>
      <c r="L1020" t="s">
        <v>19</v>
      </c>
      <c r="M1020" t="s">
        <v>19</v>
      </c>
      <c r="N1020" t="s">
        <v>19</v>
      </c>
      <c r="O1020" t="s">
        <v>19</v>
      </c>
      <c r="P1020" t="s">
        <v>19</v>
      </c>
      <c r="Q1020">
        <f>I1020</f>
        <v>0</v>
      </c>
      <c r="R1020" t="s">
        <v>19</v>
      </c>
      <c r="S1020" t="s">
        <v>19</v>
      </c>
      <c r="T1020" t="s">
        <v>19</v>
      </c>
    </row>
    <row r="1021" spans="1:21" ht="15" customHeight="1" x14ac:dyDescent="0.25">
      <c r="A1021" s="2">
        <v>45323.566851851851</v>
      </c>
      <c r="B1021" t="s">
        <v>309</v>
      </c>
      <c r="C1021" t="s">
        <v>322</v>
      </c>
      <c r="D1021">
        <v>3</v>
      </c>
      <c r="E1021" t="s">
        <v>92</v>
      </c>
      <c r="F1021" t="s">
        <v>373</v>
      </c>
      <c r="G1021">
        <f>(O1021/(N1021+O1021+P1021))*100</f>
        <v>0</v>
      </c>
      <c r="H1021">
        <f>(P1021/(O1021+P1021+N1021))*100</f>
        <v>0</v>
      </c>
      <c r="I1021">
        <f>((O1021+P1021)/(P1021+O1021+N1021))*100</f>
        <v>0</v>
      </c>
      <c r="J1021">
        <f>(N1021/(P1021+O1021+N1021))*100</f>
        <v>100</v>
      </c>
      <c r="K1021">
        <v>0.8</v>
      </c>
      <c r="L1021">
        <v>0.3</v>
      </c>
      <c r="M1021">
        <v>0.7</v>
      </c>
      <c r="N1021">
        <v>667</v>
      </c>
      <c r="O1021">
        <v>0</v>
      </c>
      <c r="P1021">
        <v>0</v>
      </c>
      <c r="Q1021">
        <v>0</v>
      </c>
      <c r="R1021" t="s">
        <v>341</v>
      </c>
      <c r="S1021">
        <v>2.67</v>
      </c>
      <c r="T1021">
        <v>3.43</v>
      </c>
      <c r="U1021">
        <v>12</v>
      </c>
    </row>
    <row r="1022" spans="1:21" ht="15" customHeight="1" x14ac:dyDescent="0.25">
      <c r="A1022" s="2">
        <v>45323.569594907407</v>
      </c>
      <c r="B1022" t="s">
        <v>309</v>
      </c>
      <c r="C1022" t="s">
        <v>322</v>
      </c>
      <c r="D1022">
        <v>3</v>
      </c>
      <c r="E1022" t="s">
        <v>92</v>
      </c>
      <c r="F1022" t="s">
        <v>373</v>
      </c>
      <c r="G1022">
        <f>(O1022/(N1022+O1022+P1022))*100</f>
        <v>0.29895366218236175</v>
      </c>
      <c r="H1022">
        <f>(P1022/(O1022+P1022+N1022))*100</f>
        <v>0</v>
      </c>
      <c r="I1022">
        <f>((O1022+P1022)/(P1022+O1022+N1022))*100</f>
        <v>0.29895366218236175</v>
      </c>
      <c r="J1022">
        <f>(N1022/(P1022+O1022+N1022))*100</f>
        <v>99.70104633781763</v>
      </c>
      <c r="K1022">
        <v>0.7</v>
      </c>
      <c r="L1022">
        <v>0.3</v>
      </c>
      <c r="M1022">
        <v>0.7</v>
      </c>
      <c r="N1022">
        <v>667</v>
      </c>
      <c r="O1022">
        <v>2</v>
      </c>
      <c r="P1022">
        <v>0</v>
      </c>
      <c r="Q1022">
        <v>0.3</v>
      </c>
      <c r="R1022" t="s">
        <v>342</v>
      </c>
      <c r="S1022">
        <v>2.67</v>
      </c>
      <c r="T1022">
        <v>3.43</v>
      </c>
      <c r="U1022">
        <v>10</v>
      </c>
    </row>
    <row r="1023" spans="1:21" ht="15" customHeight="1" x14ac:dyDescent="0.25">
      <c r="A1023" s="2">
        <v>45325.139340277776</v>
      </c>
      <c r="B1023" t="s">
        <v>309</v>
      </c>
      <c r="C1023" t="s">
        <v>368</v>
      </c>
      <c r="D1023">
        <v>2</v>
      </c>
      <c r="E1023" t="s">
        <v>92</v>
      </c>
      <c r="F1023" t="s">
        <v>373</v>
      </c>
      <c r="G1023">
        <f>(O1023/(N1023+O1023+P1023))*100</f>
        <v>0.15527950310559005</v>
      </c>
      <c r="H1023">
        <f>(P1023/(O1023+P1023+N1023))*100</f>
        <v>0</v>
      </c>
      <c r="I1023">
        <v>0.16</v>
      </c>
      <c r="J1023">
        <f>(N1023/(P1023+O1023+N1023))*100</f>
        <v>99.844720496894411</v>
      </c>
      <c r="K1023">
        <v>0.8</v>
      </c>
      <c r="L1023">
        <v>0.3</v>
      </c>
      <c r="M1023">
        <v>0.7</v>
      </c>
      <c r="N1023">
        <v>643</v>
      </c>
      <c r="O1023">
        <v>1</v>
      </c>
      <c r="P1023">
        <v>0</v>
      </c>
      <c r="Q1023">
        <v>0.16</v>
      </c>
      <c r="R1023" t="s">
        <v>272</v>
      </c>
      <c r="S1023">
        <v>0.06</v>
      </c>
      <c r="T1023">
        <v>0.06</v>
      </c>
    </row>
    <row r="1024" spans="1:21" ht="15" customHeight="1" x14ac:dyDescent="0.25">
      <c r="A1024" t="s">
        <v>19</v>
      </c>
      <c r="B1024" t="s">
        <v>20</v>
      </c>
      <c r="C1024" t="s">
        <v>308</v>
      </c>
      <c r="D1024">
        <v>3</v>
      </c>
      <c r="E1024" t="s">
        <v>93</v>
      </c>
      <c r="F1024" t="s">
        <v>388</v>
      </c>
      <c r="G1024">
        <v>0</v>
      </c>
      <c r="H1024">
        <v>0</v>
      </c>
      <c r="I1024">
        <f>G1024+H1024</f>
        <v>0</v>
      </c>
      <c r="J1024">
        <f>100-G1024-H1024</f>
        <v>100</v>
      </c>
      <c r="K1024" t="s">
        <v>19</v>
      </c>
      <c r="L1024" t="s">
        <v>19</v>
      </c>
      <c r="M1024" t="s">
        <v>19</v>
      </c>
      <c r="N1024" t="s">
        <v>19</v>
      </c>
      <c r="O1024" t="s">
        <v>19</v>
      </c>
      <c r="P1024" t="s">
        <v>19</v>
      </c>
      <c r="Q1024">
        <f>I1024</f>
        <v>0</v>
      </c>
      <c r="R1024" t="s">
        <v>19</v>
      </c>
      <c r="S1024" t="s">
        <v>19</v>
      </c>
      <c r="T1024" t="s">
        <v>19</v>
      </c>
    </row>
    <row r="1025" spans="1:21" ht="15" customHeight="1" x14ac:dyDescent="0.25">
      <c r="A1025" t="s">
        <v>19</v>
      </c>
      <c r="B1025" t="s">
        <v>20</v>
      </c>
      <c r="C1025" t="s">
        <v>22</v>
      </c>
      <c r="D1025">
        <v>3</v>
      </c>
      <c r="E1025" t="s">
        <v>93</v>
      </c>
      <c r="F1025" t="s">
        <v>388</v>
      </c>
      <c r="G1025">
        <v>0</v>
      </c>
      <c r="H1025">
        <v>0</v>
      </c>
      <c r="I1025">
        <f>G1025+H1025</f>
        <v>0</v>
      </c>
      <c r="J1025">
        <f>100-G1025-H1025</f>
        <v>100</v>
      </c>
      <c r="K1025" t="s">
        <v>19</v>
      </c>
      <c r="L1025" t="s">
        <v>19</v>
      </c>
      <c r="M1025" t="s">
        <v>19</v>
      </c>
      <c r="N1025" t="s">
        <v>19</v>
      </c>
      <c r="O1025" t="s">
        <v>19</v>
      </c>
      <c r="P1025" t="s">
        <v>19</v>
      </c>
      <c r="Q1025">
        <f>I1025</f>
        <v>0</v>
      </c>
      <c r="R1025" t="s">
        <v>19</v>
      </c>
      <c r="S1025" t="s">
        <v>19</v>
      </c>
      <c r="T1025" t="s">
        <v>19</v>
      </c>
    </row>
    <row r="1026" spans="1:21" ht="15" customHeight="1" x14ac:dyDescent="0.25">
      <c r="A1026" t="s">
        <v>19</v>
      </c>
      <c r="B1026" t="s">
        <v>20</v>
      </c>
      <c r="C1026" t="s">
        <v>305</v>
      </c>
      <c r="D1026">
        <v>3</v>
      </c>
      <c r="E1026" t="s">
        <v>93</v>
      </c>
      <c r="F1026" t="s">
        <v>388</v>
      </c>
      <c r="G1026">
        <v>0</v>
      </c>
      <c r="H1026">
        <v>0</v>
      </c>
      <c r="I1026">
        <f>G1026+H1026</f>
        <v>0</v>
      </c>
      <c r="J1026">
        <f>100-G1026-H1026</f>
        <v>100</v>
      </c>
      <c r="K1026" t="s">
        <v>19</v>
      </c>
      <c r="L1026" t="s">
        <v>19</v>
      </c>
      <c r="M1026" t="s">
        <v>19</v>
      </c>
      <c r="N1026" t="s">
        <v>19</v>
      </c>
      <c r="O1026" t="s">
        <v>19</v>
      </c>
      <c r="P1026" t="s">
        <v>19</v>
      </c>
      <c r="Q1026">
        <f>I1026</f>
        <v>0</v>
      </c>
      <c r="R1026" t="s">
        <v>19</v>
      </c>
      <c r="S1026" t="s">
        <v>19</v>
      </c>
      <c r="T1026" t="s">
        <v>19</v>
      </c>
    </row>
    <row r="1027" spans="1:21" ht="15" customHeight="1" x14ac:dyDescent="0.25">
      <c r="A1027" t="s">
        <v>19</v>
      </c>
      <c r="B1027" t="s">
        <v>20</v>
      </c>
      <c r="C1027" t="s">
        <v>307</v>
      </c>
      <c r="D1027">
        <v>3</v>
      </c>
      <c r="E1027" t="s">
        <v>93</v>
      </c>
      <c r="F1027" t="s">
        <v>388</v>
      </c>
      <c r="G1027">
        <v>0</v>
      </c>
      <c r="H1027">
        <v>0</v>
      </c>
      <c r="I1027">
        <f>G1027+H1027</f>
        <v>0</v>
      </c>
      <c r="J1027">
        <f>100-G1027-H1027</f>
        <v>100</v>
      </c>
      <c r="K1027" t="s">
        <v>19</v>
      </c>
      <c r="L1027" t="s">
        <v>19</v>
      </c>
      <c r="M1027" t="s">
        <v>19</v>
      </c>
      <c r="N1027" t="s">
        <v>19</v>
      </c>
      <c r="O1027" t="s">
        <v>19</v>
      </c>
      <c r="P1027" t="s">
        <v>19</v>
      </c>
      <c r="Q1027">
        <f>I1027</f>
        <v>0</v>
      </c>
      <c r="R1027" t="s">
        <v>19</v>
      </c>
      <c r="S1027" t="s">
        <v>19</v>
      </c>
      <c r="T1027" t="s">
        <v>19</v>
      </c>
    </row>
    <row r="1028" spans="1:21" ht="15" customHeight="1" x14ac:dyDescent="0.25">
      <c r="A1028" s="2">
        <v>45253.559027777781</v>
      </c>
      <c r="B1028" t="s">
        <v>309</v>
      </c>
      <c r="C1028" t="s">
        <v>213</v>
      </c>
      <c r="D1028">
        <v>3</v>
      </c>
      <c r="E1028" t="s">
        <v>93</v>
      </c>
      <c r="F1028" t="s">
        <v>388</v>
      </c>
      <c r="G1028">
        <v>0.175438596</v>
      </c>
      <c r="H1028">
        <v>9.2982456140000007</v>
      </c>
      <c r="I1028">
        <v>9.4736842110000001</v>
      </c>
      <c r="J1028">
        <v>90.526315789999998</v>
      </c>
      <c r="K1028">
        <v>0.8</v>
      </c>
      <c r="L1028">
        <v>0.2</v>
      </c>
      <c r="M1028">
        <v>0.7</v>
      </c>
      <c r="N1028">
        <v>516</v>
      </c>
      <c r="O1028">
        <v>1</v>
      </c>
      <c r="P1028">
        <v>53</v>
      </c>
      <c r="Q1028">
        <v>9.4700000000000006</v>
      </c>
      <c r="R1028" t="s">
        <v>238</v>
      </c>
      <c r="S1028">
        <v>2.68</v>
      </c>
      <c r="T1028">
        <v>3.17</v>
      </c>
    </row>
    <row r="1029" spans="1:21" ht="15" customHeight="1" x14ac:dyDescent="0.25">
      <c r="A1029" s="2">
        <v>45253.84375</v>
      </c>
      <c r="B1029" t="s">
        <v>309</v>
      </c>
      <c r="C1029" t="s">
        <v>215</v>
      </c>
      <c r="D1029">
        <v>2</v>
      </c>
      <c r="E1029" t="s">
        <v>93</v>
      </c>
      <c r="F1029" t="s">
        <v>388</v>
      </c>
      <c r="G1029">
        <v>9.3514328809999991</v>
      </c>
      <c r="H1029">
        <v>0</v>
      </c>
      <c r="I1029">
        <v>9.3514328809999991</v>
      </c>
      <c r="J1029">
        <v>90.648567119999996</v>
      </c>
      <c r="K1029">
        <v>0.8</v>
      </c>
      <c r="L1029">
        <v>0.2</v>
      </c>
      <c r="M1029">
        <v>0.7</v>
      </c>
      <c r="N1029">
        <v>601</v>
      </c>
      <c r="O1029">
        <v>62</v>
      </c>
      <c r="P1029">
        <v>0</v>
      </c>
      <c r="Q1029">
        <v>9.35</v>
      </c>
      <c r="R1029" t="s">
        <v>224</v>
      </c>
      <c r="S1029">
        <v>0.28000000000000003</v>
      </c>
      <c r="T1029">
        <v>0.3</v>
      </c>
    </row>
    <row r="1030" spans="1:21" ht="15" customHeight="1" x14ac:dyDescent="0.25">
      <c r="A1030" s="2">
        <v>45254.011111111111</v>
      </c>
      <c r="B1030" t="s">
        <v>309</v>
      </c>
      <c r="C1030" t="s">
        <v>217</v>
      </c>
      <c r="D1030">
        <v>2</v>
      </c>
      <c r="E1030" t="s">
        <v>93</v>
      </c>
      <c r="F1030" t="s">
        <v>388</v>
      </c>
      <c r="G1030">
        <v>13.787878790000001</v>
      </c>
      <c r="H1030">
        <v>0</v>
      </c>
      <c r="I1030">
        <v>13.787878790000001</v>
      </c>
      <c r="J1030">
        <v>86.212121210000006</v>
      </c>
      <c r="K1030">
        <v>0.8</v>
      </c>
      <c r="L1030">
        <v>0.2</v>
      </c>
      <c r="M1030">
        <v>0.7</v>
      </c>
      <c r="N1030">
        <v>569</v>
      </c>
      <c r="O1030">
        <v>91</v>
      </c>
      <c r="P1030">
        <v>0</v>
      </c>
      <c r="Q1030">
        <v>13.79</v>
      </c>
      <c r="R1030" t="s">
        <v>218</v>
      </c>
      <c r="S1030">
        <v>0.38</v>
      </c>
      <c r="T1030">
        <v>0.4</v>
      </c>
    </row>
    <row r="1031" spans="1:21" ht="15" customHeight="1" x14ac:dyDescent="0.25">
      <c r="A1031" s="2">
        <v>45316.522916666669</v>
      </c>
      <c r="B1031" t="s">
        <v>309</v>
      </c>
      <c r="C1031" t="s">
        <v>219</v>
      </c>
      <c r="D1031">
        <v>3</v>
      </c>
      <c r="E1031" t="s">
        <v>93</v>
      </c>
      <c r="F1031" t="s">
        <v>388</v>
      </c>
      <c r="G1031">
        <v>4.0201005030000001</v>
      </c>
      <c r="H1031">
        <v>0.50251256300000002</v>
      </c>
      <c r="I1031">
        <v>4.5226130649999998</v>
      </c>
      <c r="J1031">
        <v>95.477386929999994</v>
      </c>
      <c r="K1031">
        <v>0.8</v>
      </c>
      <c r="L1031">
        <v>0.2</v>
      </c>
      <c r="M1031">
        <v>0.7</v>
      </c>
      <c r="N1031">
        <v>190</v>
      </c>
      <c r="O1031">
        <v>8</v>
      </c>
      <c r="P1031">
        <v>1</v>
      </c>
      <c r="Q1031">
        <v>4.5199999999999996</v>
      </c>
      <c r="R1031" t="s">
        <v>225</v>
      </c>
      <c r="S1031">
        <v>3.26</v>
      </c>
      <c r="T1031">
        <v>4.62</v>
      </c>
    </row>
    <row r="1032" spans="1:21" ht="15" customHeight="1" x14ac:dyDescent="0.25">
      <c r="A1032" s="2">
        <v>45320.862500000003</v>
      </c>
      <c r="B1032" t="s">
        <v>309</v>
      </c>
      <c r="C1032" t="s">
        <v>221</v>
      </c>
      <c r="D1032">
        <v>2</v>
      </c>
      <c r="E1032" t="s">
        <v>93</v>
      </c>
      <c r="F1032" t="s">
        <v>388</v>
      </c>
      <c r="G1032">
        <v>7.6775431860000003</v>
      </c>
      <c r="H1032">
        <v>0</v>
      </c>
      <c r="I1032">
        <v>7.6775431860000003</v>
      </c>
      <c r="J1032">
        <v>92.322456810000006</v>
      </c>
      <c r="K1032">
        <v>0.8</v>
      </c>
      <c r="L1032">
        <v>0.3</v>
      </c>
      <c r="M1032">
        <v>0.7</v>
      </c>
      <c r="N1032">
        <v>481</v>
      </c>
      <c r="O1032">
        <v>40</v>
      </c>
      <c r="P1032">
        <v>0</v>
      </c>
      <c r="Q1032">
        <v>7.68</v>
      </c>
      <c r="R1032" t="s">
        <v>226</v>
      </c>
      <c r="S1032">
        <v>0.32</v>
      </c>
      <c r="T1032">
        <v>0.38</v>
      </c>
    </row>
    <row r="1033" spans="1:21" ht="15" customHeight="1" x14ac:dyDescent="0.25">
      <c r="A1033" t="s">
        <v>19</v>
      </c>
      <c r="B1033" t="s">
        <v>20</v>
      </c>
      <c r="C1033" t="s">
        <v>306</v>
      </c>
      <c r="D1033">
        <v>3</v>
      </c>
      <c r="E1033" t="s">
        <v>93</v>
      </c>
      <c r="F1033" t="s">
        <v>388</v>
      </c>
      <c r="G1033">
        <v>0</v>
      </c>
      <c r="H1033">
        <v>0</v>
      </c>
      <c r="I1033">
        <f>G1033+H1033</f>
        <v>0</v>
      </c>
      <c r="J1033">
        <f>100-G1033-H1033</f>
        <v>100</v>
      </c>
      <c r="K1033" t="s">
        <v>19</v>
      </c>
      <c r="L1033" t="s">
        <v>19</v>
      </c>
      <c r="M1033" t="s">
        <v>19</v>
      </c>
      <c r="N1033" t="s">
        <v>19</v>
      </c>
      <c r="O1033" t="s">
        <v>19</v>
      </c>
      <c r="P1033" t="s">
        <v>19</v>
      </c>
      <c r="Q1033">
        <f>I1033</f>
        <v>0</v>
      </c>
      <c r="R1033" t="s">
        <v>19</v>
      </c>
      <c r="S1033" t="s">
        <v>19</v>
      </c>
      <c r="T1033" t="s">
        <v>19</v>
      </c>
    </row>
    <row r="1034" spans="1:21" ht="15" customHeight="1" x14ac:dyDescent="0.25">
      <c r="A1034" t="s">
        <v>19</v>
      </c>
      <c r="B1034" t="s">
        <v>20</v>
      </c>
      <c r="C1034" t="s">
        <v>320</v>
      </c>
      <c r="D1034">
        <v>3</v>
      </c>
      <c r="E1034" t="s">
        <v>93</v>
      </c>
      <c r="F1034" t="s">
        <v>388</v>
      </c>
      <c r="G1034">
        <v>0</v>
      </c>
      <c r="H1034">
        <v>0</v>
      </c>
      <c r="I1034">
        <f>100-J1034</f>
        <v>0</v>
      </c>
      <c r="J1034">
        <f>100-G1034-H1034</f>
        <v>100</v>
      </c>
      <c r="K1034" t="s">
        <v>19</v>
      </c>
      <c r="L1034" t="s">
        <v>19</v>
      </c>
      <c r="M1034" t="s">
        <v>19</v>
      </c>
      <c r="N1034" t="s">
        <v>19</v>
      </c>
      <c r="O1034" t="s">
        <v>19</v>
      </c>
      <c r="P1034" t="s">
        <v>19</v>
      </c>
      <c r="Q1034">
        <f>I1034</f>
        <v>0</v>
      </c>
      <c r="R1034" t="s">
        <v>19</v>
      </c>
      <c r="S1034" t="s">
        <v>19</v>
      </c>
      <c r="T1034" t="s">
        <v>19</v>
      </c>
    </row>
    <row r="1035" spans="1:21" ht="15" customHeight="1" x14ac:dyDescent="0.25">
      <c r="A1035" s="2">
        <v>45323.567199074074</v>
      </c>
      <c r="B1035" t="s">
        <v>309</v>
      </c>
      <c r="C1035" t="s">
        <v>322</v>
      </c>
      <c r="D1035">
        <v>3</v>
      </c>
      <c r="E1035" t="s">
        <v>93</v>
      </c>
      <c r="F1035" t="s">
        <v>388</v>
      </c>
      <c r="G1035">
        <f>(O1035/(N1035+O1035+P1035))*100</f>
        <v>2.0109689213893969</v>
      </c>
      <c r="H1035">
        <f>(P1035/(O1035+P1035+N1035))*100</f>
        <v>0.91407678244972579</v>
      </c>
      <c r="I1035">
        <v>2.93</v>
      </c>
      <c r="J1035">
        <f>(N1035/(P1035+O1035+N1035))*100</f>
        <v>97.074954296160882</v>
      </c>
      <c r="K1035">
        <v>0.8</v>
      </c>
      <c r="L1035">
        <v>0.3</v>
      </c>
      <c r="M1035">
        <v>0.7</v>
      </c>
      <c r="N1035">
        <v>531</v>
      </c>
      <c r="O1035">
        <v>11</v>
      </c>
      <c r="P1035">
        <v>5</v>
      </c>
      <c r="Q1035">
        <v>2.93</v>
      </c>
      <c r="R1035" t="s">
        <v>245</v>
      </c>
      <c r="S1035">
        <v>2.27</v>
      </c>
      <c r="T1035">
        <v>4.09</v>
      </c>
      <c r="U1035">
        <v>68</v>
      </c>
    </row>
    <row r="1036" spans="1:21" ht="15" customHeight="1" x14ac:dyDescent="0.25">
      <c r="A1036" s="2">
        <v>45323.565104166664</v>
      </c>
      <c r="B1036" t="s">
        <v>309</v>
      </c>
      <c r="C1036" t="s">
        <v>322</v>
      </c>
      <c r="D1036">
        <v>3</v>
      </c>
      <c r="E1036" t="s">
        <v>93</v>
      </c>
      <c r="F1036" t="s">
        <v>388</v>
      </c>
      <c r="G1036">
        <f>(O1036/(N1036+O1036+P1036))*100</f>
        <v>3.2490974729241873</v>
      </c>
      <c r="H1036">
        <f>(P1036/(O1036+P1036+N1036))*100</f>
        <v>1.2635379061371841</v>
      </c>
      <c r="I1036">
        <v>4.51</v>
      </c>
      <c r="J1036">
        <f>(N1036/(P1036+O1036+N1036))*100</f>
        <v>95.487364620938635</v>
      </c>
      <c r="K1036">
        <v>0.7</v>
      </c>
      <c r="L1036">
        <v>0.3</v>
      </c>
      <c r="M1036">
        <v>0.7</v>
      </c>
      <c r="N1036">
        <v>529</v>
      </c>
      <c r="O1036">
        <v>18</v>
      </c>
      <c r="P1036">
        <v>7</v>
      </c>
      <c r="Q1036">
        <v>4.51</v>
      </c>
      <c r="R1036" t="s">
        <v>289</v>
      </c>
      <c r="S1036">
        <v>2.27</v>
      </c>
      <c r="T1036">
        <v>4.09</v>
      </c>
      <c r="U1036">
        <v>61</v>
      </c>
    </row>
    <row r="1037" spans="1:21" ht="15" customHeight="1" x14ac:dyDescent="0.25">
      <c r="A1037" s="2">
        <v>45324.988680555558</v>
      </c>
      <c r="B1037" t="s">
        <v>309</v>
      </c>
      <c r="C1037" t="s">
        <v>368</v>
      </c>
      <c r="D1037">
        <v>2</v>
      </c>
      <c r="E1037" t="s">
        <v>93</v>
      </c>
      <c r="F1037" t="s">
        <v>388</v>
      </c>
      <c r="G1037">
        <f>(O1037/(N1037+O1037+P1037))*100</f>
        <v>14.736842105263156</v>
      </c>
      <c r="H1037">
        <f>(P1037/(O1037+P1037+N1037))*100</f>
        <v>0</v>
      </c>
      <c r="I1037">
        <v>14.74</v>
      </c>
      <c r="J1037">
        <f>(N1037/(P1037+O1037+N1037))*100</f>
        <v>85.263157894736835</v>
      </c>
      <c r="K1037">
        <v>0.8</v>
      </c>
      <c r="L1037">
        <v>0.3</v>
      </c>
      <c r="M1037">
        <v>0.7</v>
      </c>
      <c r="N1037">
        <v>324</v>
      </c>
      <c r="O1037">
        <v>56</v>
      </c>
      <c r="P1037">
        <v>0</v>
      </c>
      <c r="Q1037">
        <v>14.74</v>
      </c>
      <c r="R1037" t="s">
        <v>347</v>
      </c>
      <c r="S1037">
        <v>0.62</v>
      </c>
      <c r="T1037">
        <v>0.66</v>
      </c>
    </row>
    <row r="1038" spans="1:21" ht="15" customHeight="1" x14ac:dyDescent="0.25">
      <c r="A1038" t="s">
        <v>19</v>
      </c>
      <c r="B1038" t="s">
        <v>20</v>
      </c>
      <c r="C1038" t="s">
        <v>306</v>
      </c>
      <c r="D1038">
        <v>3</v>
      </c>
      <c r="E1038" t="s">
        <v>94</v>
      </c>
      <c r="F1038" t="s">
        <v>373</v>
      </c>
      <c r="G1038">
        <v>0</v>
      </c>
      <c r="H1038">
        <v>0</v>
      </c>
      <c r="I1038">
        <f>G1038+H1038</f>
        <v>0</v>
      </c>
      <c r="J1038">
        <f>100-G1038-H1038</f>
        <v>100</v>
      </c>
      <c r="K1038" t="s">
        <v>19</v>
      </c>
      <c r="L1038" t="s">
        <v>19</v>
      </c>
      <c r="M1038" t="s">
        <v>19</v>
      </c>
      <c r="N1038" t="s">
        <v>19</v>
      </c>
      <c r="O1038" t="s">
        <v>19</v>
      </c>
      <c r="P1038" t="s">
        <v>19</v>
      </c>
      <c r="Q1038">
        <f>I1038</f>
        <v>0</v>
      </c>
      <c r="R1038" t="s">
        <v>19</v>
      </c>
      <c r="S1038" t="s">
        <v>19</v>
      </c>
      <c r="T1038" t="s">
        <v>19</v>
      </c>
    </row>
    <row r="1039" spans="1:21" ht="15" customHeight="1" x14ac:dyDescent="0.25">
      <c r="A1039" t="s">
        <v>19</v>
      </c>
      <c r="B1039" t="s">
        <v>20</v>
      </c>
      <c r="C1039" t="s">
        <v>308</v>
      </c>
      <c r="D1039">
        <v>3</v>
      </c>
      <c r="E1039" t="s">
        <v>94</v>
      </c>
      <c r="F1039" t="s">
        <v>373</v>
      </c>
      <c r="G1039">
        <v>1</v>
      </c>
      <c r="H1039">
        <v>0</v>
      </c>
      <c r="I1039">
        <f>G1039+H1039</f>
        <v>1</v>
      </c>
      <c r="J1039">
        <f>100-G1039-H1039</f>
        <v>99</v>
      </c>
      <c r="K1039" t="s">
        <v>19</v>
      </c>
      <c r="L1039" t="s">
        <v>19</v>
      </c>
      <c r="M1039" t="s">
        <v>19</v>
      </c>
      <c r="N1039" t="s">
        <v>19</v>
      </c>
      <c r="O1039" t="s">
        <v>19</v>
      </c>
      <c r="P1039" t="s">
        <v>19</v>
      </c>
      <c r="Q1039">
        <f>I1039</f>
        <v>1</v>
      </c>
      <c r="R1039" t="s">
        <v>19</v>
      </c>
      <c r="S1039" t="s">
        <v>19</v>
      </c>
      <c r="T1039" t="s">
        <v>19</v>
      </c>
    </row>
    <row r="1040" spans="1:21" ht="15" customHeight="1" x14ac:dyDescent="0.25">
      <c r="A1040" t="s">
        <v>19</v>
      </c>
      <c r="B1040" t="s">
        <v>20</v>
      </c>
      <c r="C1040" t="s">
        <v>22</v>
      </c>
      <c r="D1040">
        <v>3</v>
      </c>
      <c r="E1040" t="s">
        <v>94</v>
      </c>
      <c r="F1040" t="s">
        <v>373</v>
      </c>
      <c r="G1040">
        <v>0</v>
      </c>
      <c r="H1040">
        <v>0</v>
      </c>
      <c r="I1040">
        <f>G1040+H1040</f>
        <v>0</v>
      </c>
      <c r="J1040">
        <f>100-G1040-H1040</f>
        <v>100</v>
      </c>
      <c r="K1040" t="s">
        <v>19</v>
      </c>
      <c r="L1040" t="s">
        <v>19</v>
      </c>
      <c r="M1040" t="s">
        <v>19</v>
      </c>
      <c r="N1040" t="s">
        <v>19</v>
      </c>
      <c r="O1040" t="s">
        <v>19</v>
      </c>
      <c r="P1040" t="s">
        <v>19</v>
      </c>
      <c r="Q1040">
        <f>I1040</f>
        <v>0</v>
      </c>
      <c r="R1040" t="s">
        <v>19</v>
      </c>
      <c r="S1040" t="s">
        <v>19</v>
      </c>
      <c r="T1040" t="s">
        <v>19</v>
      </c>
    </row>
    <row r="1041" spans="1:21" ht="15" customHeight="1" x14ac:dyDescent="0.25">
      <c r="A1041" t="s">
        <v>19</v>
      </c>
      <c r="B1041" t="s">
        <v>20</v>
      </c>
      <c r="C1041" t="s">
        <v>305</v>
      </c>
      <c r="D1041">
        <v>3</v>
      </c>
      <c r="E1041" t="s">
        <v>94</v>
      </c>
      <c r="F1041" t="s">
        <v>373</v>
      </c>
      <c r="G1041">
        <v>1</v>
      </c>
      <c r="H1041">
        <v>0</v>
      </c>
      <c r="I1041">
        <f>G1041+H1041</f>
        <v>1</v>
      </c>
      <c r="J1041">
        <f>100-G1041-H1041</f>
        <v>99</v>
      </c>
      <c r="K1041" t="s">
        <v>19</v>
      </c>
      <c r="L1041" t="s">
        <v>19</v>
      </c>
      <c r="M1041" t="s">
        <v>19</v>
      </c>
      <c r="N1041" t="s">
        <v>19</v>
      </c>
      <c r="O1041" t="s">
        <v>19</v>
      </c>
      <c r="P1041" t="s">
        <v>19</v>
      </c>
      <c r="Q1041">
        <f>I1041</f>
        <v>1</v>
      </c>
      <c r="R1041" t="s">
        <v>19</v>
      </c>
      <c r="S1041" t="s">
        <v>19</v>
      </c>
      <c r="T1041" t="s">
        <v>19</v>
      </c>
    </row>
    <row r="1042" spans="1:21" ht="15" customHeight="1" x14ac:dyDescent="0.25">
      <c r="A1042" t="s">
        <v>19</v>
      </c>
      <c r="B1042" t="s">
        <v>20</v>
      </c>
      <c r="C1042" t="s">
        <v>307</v>
      </c>
      <c r="D1042">
        <v>3</v>
      </c>
      <c r="E1042" t="s">
        <v>94</v>
      </c>
      <c r="F1042" t="s">
        <v>373</v>
      </c>
      <c r="G1042">
        <v>0</v>
      </c>
      <c r="H1042">
        <v>0</v>
      </c>
      <c r="I1042">
        <f>G1042+H1042</f>
        <v>0</v>
      </c>
      <c r="J1042">
        <f>100-G1042-H1042</f>
        <v>100</v>
      </c>
      <c r="K1042" t="s">
        <v>19</v>
      </c>
      <c r="L1042" t="s">
        <v>19</v>
      </c>
      <c r="M1042" t="s">
        <v>19</v>
      </c>
      <c r="N1042" t="s">
        <v>19</v>
      </c>
      <c r="O1042" t="s">
        <v>19</v>
      </c>
      <c r="P1042" t="s">
        <v>19</v>
      </c>
      <c r="Q1042">
        <f>I1042</f>
        <v>0</v>
      </c>
      <c r="R1042" t="s">
        <v>19</v>
      </c>
      <c r="S1042" t="s">
        <v>19</v>
      </c>
      <c r="T1042" t="s">
        <v>19</v>
      </c>
    </row>
    <row r="1043" spans="1:21" ht="15" customHeight="1" x14ac:dyDescent="0.25">
      <c r="A1043" s="2">
        <v>45253.724305555559</v>
      </c>
      <c r="B1043" t="s">
        <v>309</v>
      </c>
      <c r="C1043" t="s">
        <v>213</v>
      </c>
      <c r="D1043">
        <v>3</v>
      </c>
      <c r="E1043" t="s">
        <v>94</v>
      </c>
      <c r="F1043" t="s">
        <v>373</v>
      </c>
      <c r="G1043">
        <v>0</v>
      </c>
      <c r="H1043">
        <v>4.6391752579999999</v>
      </c>
      <c r="I1043">
        <v>4.6391752579999999</v>
      </c>
      <c r="J1043">
        <v>95.360824739999998</v>
      </c>
      <c r="K1043">
        <v>0.8</v>
      </c>
      <c r="L1043">
        <v>0.2</v>
      </c>
      <c r="M1043">
        <v>0.7</v>
      </c>
      <c r="N1043">
        <v>555</v>
      </c>
      <c r="O1043">
        <v>0</v>
      </c>
      <c r="P1043">
        <v>27</v>
      </c>
      <c r="Q1043">
        <v>4.6399999999999997</v>
      </c>
      <c r="R1043" t="s">
        <v>284</v>
      </c>
      <c r="S1043">
        <v>2.79</v>
      </c>
      <c r="T1043">
        <v>3.29</v>
      </c>
    </row>
    <row r="1044" spans="1:21" ht="15" customHeight="1" x14ac:dyDescent="0.25">
      <c r="A1044" s="2">
        <v>45253.931944444441</v>
      </c>
      <c r="B1044" t="s">
        <v>309</v>
      </c>
      <c r="C1044" t="s">
        <v>215</v>
      </c>
      <c r="D1044">
        <v>2</v>
      </c>
      <c r="E1044" t="s">
        <v>94</v>
      </c>
      <c r="F1044" t="s">
        <v>373</v>
      </c>
      <c r="G1044">
        <v>0.46367851599999999</v>
      </c>
      <c r="H1044">
        <v>0</v>
      </c>
      <c r="I1044">
        <v>0.46367851599999999</v>
      </c>
      <c r="J1044">
        <v>99.536321479999998</v>
      </c>
      <c r="K1044">
        <v>0.8</v>
      </c>
      <c r="L1044">
        <v>0.2</v>
      </c>
      <c r="M1044">
        <v>0.7</v>
      </c>
      <c r="N1044">
        <v>644</v>
      </c>
      <c r="O1044">
        <v>3</v>
      </c>
      <c r="P1044">
        <v>0</v>
      </c>
      <c r="Q1044">
        <v>0.46</v>
      </c>
      <c r="R1044" t="s">
        <v>257</v>
      </c>
      <c r="S1044">
        <v>0.04</v>
      </c>
      <c r="T1044">
        <v>0.04</v>
      </c>
    </row>
    <row r="1045" spans="1:21" ht="15" customHeight="1" x14ac:dyDescent="0.25">
      <c r="A1045" s="2">
        <v>45254.106249999997</v>
      </c>
      <c r="B1045" t="s">
        <v>309</v>
      </c>
      <c r="C1045" t="s">
        <v>217</v>
      </c>
      <c r="D1045">
        <v>2</v>
      </c>
      <c r="E1045" t="s">
        <v>94</v>
      </c>
      <c r="F1045" t="s">
        <v>373</v>
      </c>
      <c r="G1045">
        <v>0.84602368900000002</v>
      </c>
      <c r="H1045">
        <v>0</v>
      </c>
      <c r="I1045">
        <v>0.84602368900000002</v>
      </c>
      <c r="J1045">
        <v>99.153976310000004</v>
      </c>
      <c r="K1045">
        <v>0.8</v>
      </c>
      <c r="L1045">
        <v>0.2</v>
      </c>
      <c r="M1045">
        <v>0.7</v>
      </c>
      <c r="N1045">
        <v>586</v>
      </c>
      <c r="O1045">
        <v>5</v>
      </c>
      <c r="P1045">
        <v>0</v>
      </c>
      <c r="Q1045">
        <v>0.85</v>
      </c>
      <c r="R1045" t="s">
        <v>227</v>
      </c>
      <c r="S1045">
        <v>0.11</v>
      </c>
      <c r="T1045">
        <v>0.11</v>
      </c>
    </row>
    <row r="1046" spans="1:21" ht="15" customHeight="1" x14ac:dyDescent="0.25">
      <c r="A1046" s="2">
        <v>45316.442361111112</v>
      </c>
      <c r="B1046" t="s">
        <v>309</v>
      </c>
      <c r="C1046" t="s">
        <v>219</v>
      </c>
      <c r="D1046">
        <v>3</v>
      </c>
      <c r="E1046" t="s">
        <v>94</v>
      </c>
      <c r="F1046" t="s">
        <v>373</v>
      </c>
      <c r="G1046">
        <v>0</v>
      </c>
      <c r="H1046">
        <v>0.27624309400000002</v>
      </c>
      <c r="I1046">
        <v>0.27624309400000002</v>
      </c>
      <c r="J1046">
        <v>99.723756910000006</v>
      </c>
      <c r="K1046">
        <v>0.8</v>
      </c>
      <c r="L1046">
        <v>0.2</v>
      </c>
      <c r="M1046">
        <v>0.7</v>
      </c>
      <c r="N1046">
        <v>361</v>
      </c>
      <c r="O1046">
        <v>0</v>
      </c>
      <c r="P1046">
        <v>1</v>
      </c>
      <c r="Q1046">
        <v>0.28000000000000003</v>
      </c>
      <c r="R1046" t="s">
        <v>227</v>
      </c>
      <c r="S1046">
        <v>3.22</v>
      </c>
      <c r="T1046">
        <v>4.37</v>
      </c>
    </row>
    <row r="1047" spans="1:21" ht="15" customHeight="1" x14ac:dyDescent="0.25">
      <c r="A1047" s="2">
        <v>45320.964583333334</v>
      </c>
      <c r="B1047" t="s">
        <v>309</v>
      </c>
      <c r="C1047" t="s">
        <v>221</v>
      </c>
      <c r="D1047">
        <v>2</v>
      </c>
      <c r="E1047" t="s">
        <v>94</v>
      </c>
      <c r="F1047" t="s">
        <v>373</v>
      </c>
      <c r="G1047">
        <v>0.848896435</v>
      </c>
      <c r="H1047">
        <v>0</v>
      </c>
      <c r="I1047">
        <v>0.848896435</v>
      </c>
      <c r="J1047">
        <v>99.151103570000004</v>
      </c>
      <c r="K1047">
        <v>0.8</v>
      </c>
      <c r="L1047">
        <v>0.3</v>
      </c>
      <c r="M1047">
        <v>0.7</v>
      </c>
      <c r="N1047">
        <v>584</v>
      </c>
      <c r="O1047">
        <v>5</v>
      </c>
      <c r="P1047">
        <v>0</v>
      </c>
      <c r="Q1047">
        <v>0.85</v>
      </c>
      <c r="R1047" t="s">
        <v>235</v>
      </c>
      <c r="S1047">
        <v>0.05</v>
      </c>
      <c r="T1047">
        <v>0.05</v>
      </c>
    </row>
    <row r="1048" spans="1:21" ht="15" customHeight="1" x14ac:dyDescent="0.25">
      <c r="A1048" t="s">
        <v>19</v>
      </c>
      <c r="B1048" t="s">
        <v>20</v>
      </c>
      <c r="C1048" t="s">
        <v>320</v>
      </c>
      <c r="D1048">
        <v>3</v>
      </c>
      <c r="E1048" t="s">
        <v>94</v>
      </c>
      <c r="F1048" t="s">
        <v>373</v>
      </c>
      <c r="G1048">
        <v>0</v>
      </c>
      <c r="H1048">
        <v>0</v>
      </c>
      <c r="I1048">
        <f>100-J1048</f>
        <v>0</v>
      </c>
      <c r="J1048">
        <f>100-G1048-H1048</f>
        <v>100</v>
      </c>
      <c r="K1048" t="s">
        <v>19</v>
      </c>
      <c r="L1048" t="s">
        <v>19</v>
      </c>
      <c r="M1048" t="s">
        <v>19</v>
      </c>
      <c r="N1048" t="s">
        <v>19</v>
      </c>
      <c r="O1048" t="s">
        <v>19</v>
      </c>
      <c r="P1048" t="s">
        <v>19</v>
      </c>
      <c r="Q1048">
        <f>I1048</f>
        <v>0</v>
      </c>
      <c r="R1048" t="s">
        <v>19</v>
      </c>
      <c r="S1048" t="s">
        <v>19</v>
      </c>
      <c r="T1048" t="s">
        <v>19</v>
      </c>
    </row>
    <row r="1049" spans="1:21" ht="15" customHeight="1" x14ac:dyDescent="0.25">
      <c r="A1049" s="2">
        <v>45323.568530092591</v>
      </c>
      <c r="B1049" t="s">
        <v>309</v>
      </c>
      <c r="C1049" t="s">
        <v>322</v>
      </c>
      <c r="D1049">
        <v>3</v>
      </c>
      <c r="E1049" t="s">
        <v>94</v>
      </c>
      <c r="F1049" t="s">
        <v>373</v>
      </c>
      <c r="G1049">
        <f>(O1049/(N1049+O1049+P1049))*100</f>
        <v>0</v>
      </c>
      <c r="H1049">
        <f>(P1049/(O1049+P1049+N1049))*100</f>
        <v>0</v>
      </c>
      <c r="I1049">
        <f>((O1049+P1049)/(P1049+O1049+N1049))*100</f>
        <v>0</v>
      </c>
      <c r="J1049">
        <f>(N1049/(P1049+O1049+N1049))*100</f>
        <v>100</v>
      </c>
      <c r="K1049">
        <v>0.8</v>
      </c>
      <c r="L1049">
        <v>0.3</v>
      </c>
      <c r="M1049">
        <v>0.7</v>
      </c>
      <c r="N1049">
        <v>599</v>
      </c>
      <c r="O1049">
        <v>0</v>
      </c>
      <c r="P1049">
        <v>0</v>
      </c>
      <c r="Q1049">
        <v>0</v>
      </c>
      <c r="R1049" t="s">
        <v>248</v>
      </c>
      <c r="S1049">
        <v>2.48</v>
      </c>
      <c r="T1049">
        <v>3.27</v>
      </c>
      <c r="U1049">
        <v>11</v>
      </c>
    </row>
    <row r="1050" spans="1:21" ht="15" customHeight="1" x14ac:dyDescent="0.25">
      <c r="A1050" s="2">
        <v>45323.571296296293</v>
      </c>
      <c r="B1050" t="s">
        <v>309</v>
      </c>
      <c r="C1050" t="s">
        <v>322</v>
      </c>
      <c r="D1050">
        <v>3</v>
      </c>
      <c r="E1050" t="s">
        <v>94</v>
      </c>
      <c r="F1050" t="s">
        <v>373</v>
      </c>
      <c r="G1050">
        <f>(O1050/(N1050+O1050+P1050))*100</f>
        <v>0</v>
      </c>
      <c r="H1050">
        <f>(P1050/(O1050+P1050+N1050))*100</f>
        <v>0.1669449081803005</v>
      </c>
      <c r="I1050">
        <f>((O1050+P1050)/(P1050+O1050+N1050))*100</f>
        <v>0.1669449081803005</v>
      </c>
      <c r="J1050">
        <f>(N1050/(P1050+O1050+N1050))*100</f>
        <v>99.833055091819702</v>
      </c>
      <c r="K1050">
        <v>0.7</v>
      </c>
      <c r="L1050">
        <v>0.3</v>
      </c>
      <c r="M1050">
        <v>0.7</v>
      </c>
      <c r="N1050">
        <v>598</v>
      </c>
      <c r="O1050">
        <v>0</v>
      </c>
      <c r="P1050">
        <v>1</v>
      </c>
      <c r="Q1050">
        <v>0.17</v>
      </c>
      <c r="R1050" t="s">
        <v>289</v>
      </c>
      <c r="S1050">
        <v>2.48</v>
      </c>
      <c r="T1050">
        <v>3.27</v>
      </c>
      <c r="U1050">
        <v>11</v>
      </c>
    </row>
    <row r="1051" spans="1:21" ht="15" customHeight="1" x14ac:dyDescent="0.25">
      <c r="A1051" s="2">
        <v>45325.140543981484</v>
      </c>
      <c r="B1051" t="s">
        <v>309</v>
      </c>
      <c r="C1051" t="s">
        <v>368</v>
      </c>
      <c r="D1051">
        <v>2</v>
      </c>
      <c r="E1051" t="s">
        <v>94</v>
      </c>
      <c r="F1051" t="s">
        <v>373</v>
      </c>
      <c r="G1051">
        <f>(O1051/(N1051+O1051+P1051))*100</f>
        <v>0.51724137931034486</v>
      </c>
      <c r="H1051">
        <f>(P1051/(O1051+P1051+N1051))*100</f>
        <v>0</v>
      </c>
      <c r="I1051">
        <v>0.52</v>
      </c>
      <c r="J1051">
        <f>(N1051/(P1051+O1051+N1051))*100</f>
        <v>99.482758620689665</v>
      </c>
      <c r="K1051">
        <v>0.8</v>
      </c>
      <c r="L1051">
        <v>0.3</v>
      </c>
      <c r="M1051">
        <v>0.7</v>
      </c>
      <c r="N1051">
        <v>577</v>
      </c>
      <c r="O1051">
        <v>3</v>
      </c>
      <c r="P1051">
        <v>0</v>
      </c>
      <c r="Q1051">
        <v>0.52</v>
      </c>
      <c r="R1051" t="s">
        <v>272</v>
      </c>
      <c r="S1051">
        <v>0.05</v>
      </c>
      <c r="T1051">
        <v>0.06</v>
      </c>
    </row>
    <row r="1052" spans="1:21" ht="15" customHeight="1" x14ac:dyDescent="0.25">
      <c r="A1052" t="s">
        <v>19</v>
      </c>
      <c r="B1052" t="s">
        <v>20</v>
      </c>
      <c r="C1052" t="s">
        <v>308</v>
      </c>
      <c r="D1052">
        <v>3</v>
      </c>
      <c r="E1052" t="s">
        <v>95</v>
      </c>
      <c r="F1052" t="s">
        <v>388</v>
      </c>
      <c r="G1052">
        <v>15</v>
      </c>
      <c r="H1052">
        <v>60</v>
      </c>
      <c r="I1052">
        <f>G1052+H1052</f>
        <v>75</v>
      </c>
      <c r="J1052">
        <f>100-G1052-H1052</f>
        <v>25</v>
      </c>
      <c r="K1052" t="s">
        <v>19</v>
      </c>
      <c r="L1052" t="s">
        <v>19</v>
      </c>
      <c r="M1052" t="s">
        <v>19</v>
      </c>
      <c r="N1052" t="s">
        <v>19</v>
      </c>
      <c r="O1052" t="s">
        <v>19</v>
      </c>
      <c r="P1052" t="s">
        <v>19</v>
      </c>
      <c r="Q1052">
        <f>I1052</f>
        <v>75</v>
      </c>
      <c r="R1052" t="s">
        <v>19</v>
      </c>
      <c r="S1052" t="s">
        <v>19</v>
      </c>
      <c r="T1052" t="s">
        <v>19</v>
      </c>
    </row>
    <row r="1053" spans="1:21" ht="15" customHeight="1" x14ac:dyDescent="0.25">
      <c r="A1053" t="s">
        <v>19</v>
      </c>
      <c r="B1053" t="s">
        <v>20</v>
      </c>
      <c r="C1053" t="s">
        <v>22</v>
      </c>
      <c r="D1053">
        <v>3</v>
      </c>
      <c r="E1053" t="s">
        <v>95</v>
      </c>
      <c r="F1053" t="s">
        <v>388</v>
      </c>
      <c r="G1053">
        <v>10</v>
      </c>
      <c r="H1053">
        <v>70</v>
      </c>
      <c r="I1053">
        <f>G1053+H1053</f>
        <v>80</v>
      </c>
      <c r="J1053">
        <f>100-G1053-H1053</f>
        <v>20</v>
      </c>
      <c r="K1053" t="s">
        <v>19</v>
      </c>
      <c r="L1053" t="s">
        <v>19</v>
      </c>
      <c r="M1053" t="s">
        <v>19</v>
      </c>
      <c r="N1053" t="s">
        <v>19</v>
      </c>
      <c r="O1053" t="s">
        <v>19</v>
      </c>
      <c r="P1053" t="s">
        <v>19</v>
      </c>
      <c r="Q1053">
        <f>I1053</f>
        <v>80</v>
      </c>
      <c r="R1053" t="s">
        <v>19</v>
      </c>
      <c r="S1053" t="s">
        <v>19</v>
      </c>
      <c r="T1053" t="s">
        <v>19</v>
      </c>
    </row>
    <row r="1054" spans="1:21" ht="15" customHeight="1" x14ac:dyDescent="0.25">
      <c r="A1054" t="s">
        <v>19</v>
      </c>
      <c r="B1054" t="s">
        <v>20</v>
      </c>
      <c r="C1054" t="s">
        <v>305</v>
      </c>
      <c r="D1054">
        <v>3</v>
      </c>
      <c r="E1054" t="s">
        <v>95</v>
      </c>
      <c r="F1054" t="s">
        <v>388</v>
      </c>
      <c r="G1054">
        <v>35</v>
      </c>
      <c r="H1054">
        <v>50</v>
      </c>
      <c r="I1054">
        <f>G1054+H1054</f>
        <v>85</v>
      </c>
      <c r="J1054">
        <f>100-G1054-H1054</f>
        <v>15</v>
      </c>
      <c r="K1054" t="s">
        <v>19</v>
      </c>
      <c r="L1054" t="s">
        <v>19</v>
      </c>
      <c r="M1054" t="s">
        <v>19</v>
      </c>
      <c r="N1054" t="s">
        <v>19</v>
      </c>
      <c r="O1054" t="s">
        <v>19</v>
      </c>
      <c r="P1054" t="s">
        <v>19</v>
      </c>
      <c r="Q1054">
        <f>I1054</f>
        <v>85</v>
      </c>
      <c r="R1054" t="s">
        <v>19</v>
      </c>
      <c r="S1054" t="s">
        <v>19</v>
      </c>
      <c r="T1054" t="s">
        <v>19</v>
      </c>
    </row>
    <row r="1055" spans="1:21" ht="15" customHeight="1" x14ac:dyDescent="0.25">
      <c r="A1055" t="s">
        <v>19</v>
      </c>
      <c r="B1055" t="s">
        <v>20</v>
      </c>
      <c r="C1055" t="s">
        <v>307</v>
      </c>
      <c r="D1055">
        <v>3</v>
      </c>
      <c r="E1055" t="s">
        <v>95</v>
      </c>
      <c r="F1055" t="s">
        <v>388</v>
      </c>
      <c r="G1055">
        <v>25</v>
      </c>
      <c r="H1055">
        <v>40</v>
      </c>
      <c r="I1055">
        <f>G1055+H1055</f>
        <v>65</v>
      </c>
      <c r="J1055">
        <f>100-G1055-H1055</f>
        <v>35</v>
      </c>
      <c r="K1055" t="s">
        <v>19</v>
      </c>
      <c r="L1055" t="s">
        <v>19</v>
      </c>
      <c r="M1055" t="s">
        <v>19</v>
      </c>
      <c r="N1055" t="s">
        <v>19</v>
      </c>
      <c r="O1055" t="s">
        <v>19</v>
      </c>
      <c r="P1055" t="s">
        <v>19</v>
      </c>
      <c r="Q1055">
        <f>I1055</f>
        <v>65</v>
      </c>
      <c r="R1055" t="s">
        <v>19</v>
      </c>
      <c r="S1055" t="s">
        <v>19</v>
      </c>
      <c r="T1055" t="s">
        <v>19</v>
      </c>
    </row>
    <row r="1056" spans="1:21" ht="15" customHeight="1" x14ac:dyDescent="0.25">
      <c r="A1056" s="2">
        <v>45253.560416666667</v>
      </c>
      <c r="B1056" t="s">
        <v>309</v>
      </c>
      <c r="C1056" t="s">
        <v>213</v>
      </c>
      <c r="D1056">
        <v>3</v>
      </c>
      <c r="E1056" t="s">
        <v>95</v>
      </c>
      <c r="F1056" t="s">
        <v>388</v>
      </c>
      <c r="G1056">
        <v>3.2142857139999998</v>
      </c>
      <c r="H1056">
        <v>67.678571430000005</v>
      </c>
      <c r="I1056">
        <v>70.892857140000004</v>
      </c>
      <c r="J1056">
        <v>29.10714286</v>
      </c>
      <c r="K1056">
        <v>0.8</v>
      </c>
      <c r="L1056">
        <v>0.2</v>
      </c>
      <c r="M1056">
        <v>0.7</v>
      </c>
      <c r="N1056">
        <v>163</v>
      </c>
      <c r="O1056">
        <v>18</v>
      </c>
      <c r="P1056">
        <v>379</v>
      </c>
      <c r="Q1056">
        <v>70.89</v>
      </c>
      <c r="R1056" t="s">
        <v>214</v>
      </c>
      <c r="S1056">
        <v>2.9</v>
      </c>
      <c r="T1056">
        <v>3.81</v>
      </c>
    </row>
    <row r="1057" spans="1:21" ht="15" customHeight="1" x14ac:dyDescent="0.25">
      <c r="A1057" s="2">
        <v>45253.844444444447</v>
      </c>
      <c r="B1057" t="s">
        <v>309</v>
      </c>
      <c r="C1057" t="s">
        <v>215</v>
      </c>
      <c r="D1057">
        <v>2</v>
      </c>
      <c r="E1057" t="s">
        <v>95</v>
      </c>
      <c r="F1057" t="s">
        <v>388</v>
      </c>
      <c r="G1057">
        <v>18.016759780000001</v>
      </c>
      <c r="H1057">
        <v>0</v>
      </c>
      <c r="I1057">
        <v>18.016759780000001</v>
      </c>
      <c r="J1057">
        <v>81.983240219999999</v>
      </c>
      <c r="K1057">
        <v>0.8</v>
      </c>
      <c r="L1057">
        <v>0.2</v>
      </c>
      <c r="M1057">
        <v>0.7</v>
      </c>
      <c r="N1057">
        <v>587</v>
      </c>
      <c r="O1057">
        <v>129</v>
      </c>
      <c r="P1057">
        <v>0</v>
      </c>
      <c r="Q1057">
        <v>18.02</v>
      </c>
      <c r="R1057" t="s">
        <v>231</v>
      </c>
      <c r="S1057">
        <v>0.5</v>
      </c>
      <c r="T1057">
        <v>0.55000000000000004</v>
      </c>
    </row>
    <row r="1058" spans="1:21" ht="15" customHeight="1" x14ac:dyDescent="0.25">
      <c r="A1058" s="2">
        <v>45254.012499999997</v>
      </c>
      <c r="B1058" t="s">
        <v>309</v>
      </c>
      <c r="C1058" t="s">
        <v>217</v>
      </c>
      <c r="D1058">
        <v>2</v>
      </c>
      <c r="E1058" t="s">
        <v>95</v>
      </c>
      <c r="F1058" t="s">
        <v>388</v>
      </c>
      <c r="G1058">
        <v>22.99012694</v>
      </c>
      <c r="H1058">
        <v>0</v>
      </c>
      <c r="I1058">
        <v>22.99012694</v>
      </c>
      <c r="J1058">
        <v>77.009873060000004</v>
      </c>
      <c r="K1058">
        <v>0.8</v>
      </c>
      <c r="L1058">
        <v>0.2</v>
      </c>
      <c r="M1058">
        <v>0.7</v>
      </c>
      <c r="N1058">
        <v>546</v>
      </c>
      <c r="O1058">
        <v>163</v>
      </c>
      <c r="P1058">
        <v>0</v>
      </c>
      <c r="Q1058">
        <v>22.99</v>
      </c>
      <c r="R1058" t="s">
        <v>229</v>
      </c>
      <c r="S1058">
        <v>0.64</v>
      </c>
      <c r="T1058">
        <v>0.69</v>
      </c>
    </row>
    <row r="1059" spans="1:21" ht="15" customHeight="1" x14ac:dyDescent="0.25">
      <c r="A1059" s="2">
        <v>45316.523611111108</v>
      </c>
      <c r="B1059" t="s">
        <v>309</v>
      </c>
      <c r="C1059" t="s">
        <v>219</v>
      </c>
      <c r="D1059">
        <v>3</v>
      </c>
      <c r="E1059" t="s">
        <v>95</v>
      </c>
      <c r="F1059" t="s">
        <v>388</v>
      </c>
      <c r="G1059">
        <v>4.4709388969999999</v>
      </c>
      <c r="H1059">
        <v>74.664679579999998</v>
      </c>
      <c r="I1059">
        <v>79.135618480000005</v>
      </c>
      <c r="J1059">
        <v>20.864381519999998</v>
      </c>
      <c r="K1059">
        <v>0.8</v>
      </c>
      <c r="L1059">
        <v>0.2</v>
      </c>
      <c r="M1059">
        <v>0.7</v>
      </c>
      <c r="N1059">
        <v>140</v>
      </c>
      <c r="O1059">
        <v>30</v>
      </c>
      <c r="P1059">
        <v>501</v>
      </c>
      <c r="Q1059">
        <v>79.14</v>
      </c>
      <c r="R1059" t="s">
        <v>229</v>
      </c>
      <c r="S1059">
        <v>3.15</v>
      </c>
      <c r="T1059">
        <v>4.3499999999999996</v>
      </c>
    </row>
    <row r="1060" spans="1:21" ht="15" customHeight="1" x14ac:dyDescent="0.25">
      <c r="A1060" s="2">
        <v>45320.863194444442</v>
      </c>
      <c r="B1060" t="s">
        <v>309</v>
      </c>
      <c r="C1060" t="s">
        <v>221</v>
      </c>
      <c r="D1060">
        <v>2</v>
      </c>
      <c r="E1060" t="s">
        <v>95</v>
      </c>
      <c r="F1060" t="s">
        <v>388</v>
      </c>
      <c r="G1060">
        <v>85.81979321</v>
      </c>
      <c r="H1060">
        <v>0</v>
      </c>
      <c r="I1060">
        <v>85.81979321</v>
      </c>
      <c r="J1060">
        <v>14.18020679</v>
      </c>
      <c r="K1060">
        <v>0.8</v>
      </c>
      <c r="L1060">
        <v>0.3</v>
      </c>
      <c r="M1060">
        <v>0.7</v>
      </c>
      <c r="N1060">
        <v>96</v>
      </c>
      <c r="O1060">
        <v>581</v>
      </c>
      <c r="P1060">
        <v>0</v>
      </c>
      <c r="Q1060">
        <v>85.82</v>
      </c>
      <c r="R1060" t="s">
        <v>250</v>
      </c>
      <c r="S1060">
        <v>2.25</v>
      </c>
      <c r="T1060">
        <v>2.4500000000000002</v>
      </c>
    </row>
    <row r="1061" spans="1:21" ht="15" customHeight="1" x14ac:dyDescent="0.25">
      <c r="A1061" t="s">
        <v>19</v>
      </c>
      <c r="B1061" t="s">
        <v>20</v>
      </c>
      <c r="C1061" t="s">
        <v>306</v>
      </c>
      <c r="D1061">
        <v>3</v>
      </c>
      <c r="E1061" t="s">
        <v>95</v>
      </c>
      <c r="F1061" t="s">
        <v>388</v>
      </c>
      <c r="G1061">
        <v>23</v>
      </c>
      <c r="H1061">
        <v>70</v>
      </c>
      <c r="I1061">
        <f>G1061+H1061</f>
        <v>93</v>
      </c>
      <c r="J1061">
        <f>100-G1061-H1061</f>
        <v>7</v>
      </c>
      <c r="K1061" t="s">
        <v>19</v>
      </c>
      <c r="L1061" t="s">
        <v>19</v>
      </c>
      <c r="M1061" t="s">
        <v>19</v>
      </c>
      <c r="N1061" t="s">
        <v>19</v>
      </c>
      <c r="O1061" t="s">
        <v>19</v>
      </c>
      <c r="P1061" t="s">
        <v>19</v>
      </c>
      <c r="Q1061">
        <f>I1061</f>
        <v>93</v>
      </c>
      <c r="R1061" t="s">
        <v>19</v>
      </c>
      <c r="S1061" t="s">
        <v>19</v>
      </c>
      <c r="T1061" t="s">
        <v>19</v>
      </c>
    </row>
    <row r="1062" spans="1:21" ht="15" customHeight="1" x14ac:dyDescent="0.25">
      <c r="A1062" t="s">
        <v>19</v>
      </c>
      <c r="B1062" t="s">
        <v>20</v>
      </c>
      <c r="C1062" t="s">
        <v>320</v>
      </c>
      <c r="D1062">
        <v>3</v>
      </c>
      <c r="E1062" t="s">
        <v>95</v>
      </c>
      <c r="F1062" t="s">
        <v>388</v>
      </c>
      <c r="G1062">
        <v>15</v>
      </c>
      <c r="H1062">
        <v>70</v>
      </c>
      <c r="I1062">
        <f>100-J1062</f>
        <v>85</v>
      </c>
      <c r="J1062">
        <f>100-G1062-H1062</f>
        <v>15</v>
      </c>
      <c r="K1062" t="s">
        <v>19</v>
      </c>
      <c r="L1062" t="s">
        <v>19</v>
      </c>
      <c r="M1062" t="s">
        <v>19</v>
      </c>
      <c r="N1062" t="s">
        <v>19</v>
      </c>
      <c r="O1062" t="s">
        <v>19</v>
      </c>
      <c r="P1062" t="s">
        <v>19</v>
      </c>
      <c r="Q1062">
        <f>I1062</f>
        <v>85</v>
      </c>
      <c r="R1062" t="s">
        <v>19</v>
      </c>
      <c r="S1062" t="s">
        <v>19</v>
      </c>
      <c r="T1062" t="s">
        <v>19</v>
      </c>
    </row>
    <row r="1063" spans="1:21" ht="15" customHeight="1" x14ac:dyDescent="0.25">
      <c r="A1063" s="2">
        <v>45323.568773148145</v>
      </c>
      <c r="B1063" t="s">
        <v>309</v>
      </c>
      <c r="C1063" t="s">
        <v>322</v>
      </c>
      <c r="D1063">
        <v>3</v>
      </c>
      <c r="E1063" t="s">
        <v>95</v>
      </c>
      <c r="F1063" t="s">
        <v>388</v>
      </c>
      <c r="G1063">
        <f>(O1063/(N1063+O1063+P1063))*100</f>
        <v>9.1772151898734187</v>
      </c>
      <c r="H1063">
        <f>(P1063/(O1063+P1063+N1063))*100</f>
        <v>68.987341772151893</v>
      </c>
      <c r="I1063">
        <v>78.16</v>
      </c>
      <c r="J1063">
        <f>(N1063/(P1063+O1063+N1063))*100</f>
        <v>21.835443037974684</v>
      </c>
      <c r="K1063">
        <v>0.8</v>
      </c>
      <c r="L1063">
        <v>0.3</v>
      </c>
      <c r="M1063">
        <v>0.7</v>
      </c>
      <c r="N1063">
        <v>138</v>
      </c>
      <c r="O1063">
        <v>58</v>
      </c>
      <c r="P1063">
        <v>436</v>
      </c>
      <c r="Q1063">
        <v>78.16</v>
      </c>
      <c r="R1063" t="s">
        <v>342</v>
      </c>
      <c r="S1063">
        <v>2.85</v>
      </c>
      <c r="T1063">
        <v>4.62</v>
      </c>
      <c r="U1063">
        <v>68</v>
      </c>
    </row>
    <row r="1064" spans="1:21" ht="15" customHeight="1" x14ac:dyDescent="0.25">
      <c r="A1064" s="2">
        <v>45323.566643518519</v>
      </c>
      <c r="B1064" t="s">
        <v>309</v>
      </c>
      <c r="C1064" t="s">
        <v>322</v>
      </c>
      <c r="D1064">
        <v>3</v>
      </c>
      <c r="E1064" t="s">
        <v>95</v>
      </c>
      <c r="F1064" t="s">
        <v>388</v>
      </c>
      <c r="G1064">
        <f>(O1064/(N1064+O1064+P1064))*100</f>
        <v>11.419753086419753</v>
      </c>
      <c r="H1064">
        <f>(P1064/(O1064+P1064+N1064))*100</f>
        <v>71.759259259259252</v>
      </c>
      <c r="I1064">
        <v>83.18</v>
      </c>
      <c r="J1064">
        <f>(N1064/(P1064+O1064+N1064))*100</f>
        <v>16.820987654320987</v>
      </c>
      <c r="K1064">
        <v>0.7</v>
      </c>
      <c r="L1064">
        <v>0.3</v>
      </c>
      <c r="M1064">
        <v>0.7</v>
      </c>
      <c r="N1064">
        <v>109</v>
      </c>
      <c r="O1064">
        <v>74</v>
      </c>
      <c r="P1064">
        <v>465</v>
      </c>
      <c r="Q1064">
        <v>83.18</v>
      </c>
      <c r="R1064" t="s">
        <v>343</v>
      </c>
      <c r="S1064">
        <v>2.85</v>
      </c>
      <c r="T1064">
        <v>4.62</v>
      </c>
      <c r="U1064">
        <v>52</v>
      </c>
    </row>
    <row r="1065" spans="1:21" ht="15" customHeight="1" x14ac:dyDescent="0.25">
      <c r="A1065" s="2">
        <v>45324.990057870367</v>
      </c>
      <c r="B1065" t="s">
        <v>309</v>
      </c>
      <c r="C1065" t="s">
        <v>368</v>
      </c>
      <c r="D1065">
        <v>2</v>
      </c>
      <c r="E1065" t="s">
        <v>95</v>
      </c>
      <c r="F1065" t="s">
        <v>388</v>
      </c>
      <c r="G1065">
        <f>(O1065/(N1065+O1065+P1065))*100</f>
        <v>86.734693877551024</v>
      </c>
      <c r="H1065">
        <f>(P1065/(O1065+P1065+N1065))*100</f>
        <v>0</v>
      </c>
      <c r="I1065">
        <v>86.73</v>
      </c>
      <c r="J1065">
        <f>(N1065/(P1065+O1065+N1065))*100</f>
        <v>13.26530612244898</v>
      </c>
      <c r="K1065">
        <v>0.8</v>
      </c>
      <c r="L1065">
        <v>0.3</v>
      </c>
      <c r="M1065">
        <v>0.7</v>
      </c>
      <c r="N1065">
        <v>91</v>
      </c>
      <c r="O1065">
        <v>595</v>
      </c>
      <c r="P1065">
        <v>0</v>
      </c>
      <c r="Q1065">
        <v>86.73</v>
      </c>
      <c r="R1065" t="s">
        <v>230</v>
      </c>
      <c r="S1065">
        <v>2.09</v>
      </c>
      <c r="T1065">
        <v>2.36</v>
      </c>
    </row>
    <row r="1066" spans="1:21" ht="15" customHeight="1" x14ac:dyDescent="0.25">
      <c r="A1066" t="s">
        <v>19</v>
      </c>
      <c r="B1066" t="s">
        <v>20</v>
      </c>
      <c r="C1066" t="s">
        <v>308</v>
      </c>
      <c r="D1066">
        <v>3</v>
      </c>
      <c r="E1066" t="s">
        <v>96</v>
      </c>
      <c r="F1066" t="s">
        <v>388</v>
      </c>
      <c r="G1066">
        <v>1</v>
      </c>
      <c r="H1066">
        <v>99</v>
      </c>
      <c r="I1066">
        <f>G1066+H1066</f>
        <v>100</v>
      </c>
      <c r="J1066">
        <f>100-G1066-H1066</f>
        <v>0</v>
      </c>
      <c r="K1066" t="s">
        <v>19</v>
      </c>
      <c r="L1066" t="s">
        <v>19</v>
      </c>
      <c r="M1066" t="s">
        <v>19</v>
      </c>
      <c r="N1066" t="s">
        <v>19</v>
      </c>
      <c r="O1066" t="s">
        <v>19</v>
      </c>
      <c r="P1066" t="s">
        <v>19</v>
      </c>
      <c r="Q1066">
        <f>I1066</f>
        <v>100</v>
      </c>
      <c r="R1066" t="s">
        <v>19</v>
      </c>
      <c r="S1066" t="s">
        <v>19</v>
      </c>
      <c r="T1066" t="s">
        <v>19</v>
      </c>
    </row>
    <row r="1067" spans="1:21" ht="15" customHeight="1" x14ac:dyDescent="0.25">
      <c r="A1067" t="s">
        <v>19</v>
      </c>
      <c r="B1067" t="s">
        <v>20</v>
      </c>
      <c r="C1067" t="s">
        <v>22</v>
      </c>
      <c r="D1067">
        <v>3</v>
      </c>
      <c r="E1067" t="s">
        <v>96</v>
      </c>
      <c r="F1067" t="s">
        <v>388</v>
      </c>
      <c r="G1067">
        <v>10</v>
      </c>
      <c r="H1067">
        <v>90</v>
      </c>
      <c r="I1067">
        <f>G1067+H1067</f>
        <v>100</v>
      </c>
      <c r="J1067">
        <f>100-G1067-H1067</f>
        <v>0</v>
      </c>
      <c r="K1067" t="s">
        <v>19</v>
      </c>
      <c r="L1067" t="s">
        <v>19</v>
      </c>
      <c r="M1067" t="s">
        <v>19</v>
      </c>
      <c r="N1067" t="s">
        <v>19</v>
      </c>
      <c r="O1067" t="s">
        <v>19</v>
      </c>
      <c r="P1067" t="s">
        <v>19</v>
      </c>
      <c r="Q1067">
        <f>I1067</f>
        <v>100</v>
      </c>
      <c r="R1067" t="s">
        <v>19</v>
      </c>
      <c r="S1067" t="s">
        <v>19</v>
      </c>
      <c r="T1067" t="s">
        <v>19</v>
      </c>
    </row>
    <row r="1068" spans="1:21" ht="15" customHeight="1" x14ac:dyDescent="0.25">
      <c r="A1068" t="s">
        <v>19</v>
      </c>
      <c r="B1068" t="s">
        <v>20</v>
      </c>
      <c r="C1068" t="s">
        <v>305</v>
      </c>
      <c r="D1068">
        <v>3</v>
      </c>
      <c r="E1068" t="s">
        <v>96</v>
      </c>
      <c r="F1068" t="s">
        <v>388</v>
      </c>
      <c r="G1068">
        <v>38</v>
      </c>
      <c r="H1068">
        <v>60</v>
      </c>
      <c r="I1068">
        <f>G1068+H1068</f>
        <v>98</v>
      </c>
      <c r="J1068">
        <f>100-G1068-H1068</f>
        <v>2</v>
      </c>
      <c r="K1068" t="s">
        <v>19</v>
      </c>
      <c r="L1068" t="s">
        <v>19</v>
      </c>
      <c r="M1068" t="s">
        <v>19</v>
      </c>
      <c r="N1068" t="s">
        <v>19</v>
      </c>
      <c r="O1068" t="s">
        <v>19</v>
      </c>
      <c r="P1068" t="s">
        <v>19</v>
      </c>
      <c r="Q1068">
        <f>I1068</f>
        <v>98</v>
      </c>
      <c r="R1068" t="s">
        <v>19</v>
      </c>
      <c r="S1068" t="s">
        <v>19</v>
      </c>
      <c r="T1068" t="s">
        <v>19</v>
      </c>
    </row>
    <row r="1069" spans="1:21" ht="15" customHeight="1" x14ac:dyDescent="0.25">
      <c r="A1069" t="s">
        <v>19</v>
      </c>
      <c r="B1069" t="s">
        <v>20</v>
      </c>
      <c r="C1069" t="s">
        <v>307</v>
      </c>
      <c r="D1069">
        <v>3</v>
      </c>
      <c r="E1069" t="s">
        <v>96</v>
      </c>
      <c r="F1069" t="s">
        <v>388</v>
      </c>
      <c r="G1069">
        <v>40</v>
      </c>
      <c r="H1069">
        <v>50</v>
      </c>
      <c r="I1069">
        <f>G1069+H1069</f>
        <v>90</v>
      </c>
      <c r="J1069">
        <f>100-G1069-H1069</f>
        <v>10</v>
      </c>
      <c r="K1069" t="s">
        <v>19</v>
      </c>
      <c r="L1069" t="s">
        <v>19</v>
      </c>
      <c r="M1069" t="s">
        <v>19</v>
      </c>
      <c r="N1069" t="s">
        <v>19</v>
      </c>
      <c r="O1069" t="s">
        <v>19</v>
      </c>
      <c r="P1069" t="s">
        <v>19</v>
      </c>
      <c r="Q1069">
        <f>I1069</f>
        <v>90</v>
      </c>
      <c r="R1069" t="s">
        <v>19</v>
      </c>
      <c r="S1069" t="s">
        <v>19</v>
      </c>
      <c r="T1069" t="s">
        <v>19</v>
      </c>
    </row>
    <row r="1070" spans="1:21" ht="15" customHeight="1" x14ac:dyDescent="0.25">
      <c r="A1070" s="2">
        <v>45253.561805555553</v>
      </c>
      <c r="B1070" t="s">
        <v>309</v>
      </c>
      <c r="C1070" t="s">
        <v>213</v>
      </c>
      <c r="D1070">
        <v>3</v>
      </c>
      <c r="E1070" t="s">
        <v>96</v>
      </c>
      <c r="F1070" t="s">
        <v>388</v>
      </c>
      <c r="G1070">
        <v>2.510460251</v>
      </c>
      <c r="H1070">
        <v>92.050209210000006</v>
      </c>
      <c r="I1070">
        <v>94.56066946</v>
      </c>
      <c r="J1070">
        <v>5.4393305439999997</v>
      </c>
      <c r="K1070">
        <v>0.8</v>
      </c>
      <c r="L1070">
        <v>0.2</v>
      </c>
      <c r="M1070">
        <v>0.7</v>
      </c>
      <c r="N1070">
        <v>26</v>
      </c>
      <c r="O1070">
        <v>12</v>
      </c>
      <c r="P1070">
        <v>440</v>
      </c>
      <c r="Q1070">
        <v>94.56</v>
      </c>
      <c r="R1070" t="s">
        <v>285</v>
      </c>
      <c r="S1070">
        <v>3.06</v>
      </c>
      <c r="T1070">
        <v>3.9</v>
      </c>
    </row>
    <row r="1071" spans="1:21" ht="15" customHeight="1" x14ac:dyDescent="0.25">
      <c r="A1071" s="2">
        <v>45253.845138888886</v>
      </c>
      <c r="B1071" t="s">
        <v>309</v>
      </c>
      <c r="C1071" t="s">
        <v>215</v>
      </c>
      <c r="D1071">
        <v>2</v>
      </c>
      <c r="E1071" t="s">
        <v>96</v>
      </c>
      <c r="F1071" t="s">
        <v>388</v>
      </c>
      <c r="G1071">
        <v>25.2</v>
      </c>
      <c r="H1071">
        <v>0</v>
      </c>
      <c r="I1071">
        <v>25.2</v>
      </c>
      <c r="J1071">
        <v>74.8</v>
      </c>
      <c r="K1071">
        <v>0.8</v>
      </c>
      <c r="L1071">
        <v>0.2</v>
      </c>
      <c r="M1071">
        <v>0.7</v>
      </c>
      <c r="N1071">
        <v>374</v>
      </c>
      <c r="O1071">
        <v>126</v>
      </c>
      <c r="P1071">
        <v>0</v>
      </c>
      <c r="Q1071">
        <v>25.2</v>
      </c>
      <c r="R1071" t="s">
        <v>227</v>
      </c>
      <c r="S1071">
        <v>0.74</v>
      </c>
      <c r="T1071">
        <v>0.81</v>
      </c>
    </row>
    <row r="1072" spans="1:21" ht="15" customHeight="1" x14ac:dyDescent="0.25">
      <c r="A1072" s="2">
        <v>45254.013194444444</v>
      </c>
      <c r="B1072" t="s">
        <v>309</v>
      </c>
      <c r="C1072" t="s">
        <v>217</v>
      </c>
      <c r="D1072">
        <v>2</v>
      </c>
      <c r="E1072" t="s">
        <v>96</v>
      </c>
      <c r="F1072" t="s">
        <v>388</v>
      </c>
      <c r="G1072">
        <v>40.040241450000003</v>
      </c>
      <c r="H1072">
        <v>0</v>
      </c>
      <c r="I1072">
        <v>40.040241450000003</v>
      </c>
      <c r="J1072">
        <v>59.959758549999997</v>
      </c>
      <c r="K1072">
        <v>0.8</v>
      </c>
      <c r="L1072">
        <v>0.2</v>
      </c>
      <c r="M1072">
        <v>0.7</v>
      </c>
      <c r="N1072">
        <v>298</v>
      </c>
      <c r="O1072">
        <v>199</v>
      </c>
      <c r="P1072">
        <v>0</v>
      </c>
      <c r="Q1072">
        <v>40.04</v>
      </c>
      <c r="R1072" t="s">
        <v>229</v>
      </c>
      <c r="S1072">
        <v>1.1000000000000001</v>
      </c>
      <c r="T1072">
        <v>1.2</v>
      </c>
    </row>
    <row r="1073" spans="1:21" ht="15" customHeight="1" x14ac:dyDescent="0.25">
      <c r="A1073" s="2">
        <v>45316.525000000001</v>
      </c>
      <c r="B1073" t="s">
        <v>309</v>
      </c>
      <c r="C1073" t="s">
        <v>219</v>
      </c>
      <c r="D1073">
        <v>3</v>
      </c>
      <c r="E1073" t="s">
        <v>96</v>
      </c>
      <c r="F1073" t="s">
        <v>388</v>
      </c>
      <c r="G1073">
        <v>1.8072289159999999</v>
      </c>
      <c r="H1073">
        <v>93.574297189999996</v>
      </c>
      <c r="I1073">
        <v>95.381526100000002</v>
      </c>
      <c r="J1073">
        <v>4.6184738960000002</v>
      </c>
      <c r="K1073">
        <v>0.8</v>
      </c>
      <c r="L1073">
        <v>0.2</v>
      </c>
      <c r="M1073">
        <v>0.7</v>
      </c>
      <c r="N1073">
        <v>23</v>
      </c>
      <c r="O1073">
        <v>9</v>
      </c>
      <c r="P1073">
        <v>466</v>
      </c>
      <c r="Q1073">
        <v>95.38</v>
      </c>
      <c r="R1073" t="s">
        <v>286</v>
      </c>
      <c r="S1073">
        <v>3.13</v>
      </c>
      <c r="T1073">
        <v>4.3</v>
      </c>
    </row>
    <row r="1074" spans="1:21" ht="15" customHeight="1" x14ac:dyDescent="0.25">
      <c r="A1074" s="2">
        <v>45320.864583333336</v>
      </c>
      <c r="B1074" t="s">
        <v>309</v>
      </c>
      <c r="C1074" t="s">
        <v>221</v>
      </c>
      <c r="D1074">
        <v>2</v>
      </c>
      <c r="E1074" t="s">
        <v>96</v>
      </c>
      <c r="F1074" t="s">
        <v>388</v>
      </c>
      <c r="G1074">
        <v>98.722627739999993</v>
      </c>
      <c r="H1074">
        <v>0</v>
      </c>
      <c r="I1074">
        <v>98.722627739999993</v>
      </c>
      <c r="J1074">
        <v>1.277372263</v>
      </c>
      <c r="K1074">
        <v>0.8</v>
      </c>
      <c r="L1074">
        <v>0.3</v>
      </c>
      <c r="M1074">
        <v>0.7</v>
      </c>
      <c r="N1074">
        <v>7</v>
      </c>
      <c r="O1074">
        <v>541</v>
      </c>
      <c r="P1074">
        <v>0</v>
      </c>
      <c r="Q1074">
        <v>98.72</v>
      </c>
      <c r="R1074" t="s">
        <v>262</v>
      </c>
      <c r="S1074">
        <v>2.5499999999999998</v>
      </c>
      <c r="T1074">
        <v>2.74</v>
      </c>
    </row>
    <row r="1075" spans="1:21" ht="15" customHeight="1" x14ac:dyDescent="0.25">
      <c r="A1075" t="s">
        <v>19</v>
      </c>
      <c r="B1075" t="s">
        <v>20</v>
      </c>
      <c r="C1075" t="s">
        <v>306</v>
      </c>
      <c r="D1075">
        <v>3</v>
      </c>
      <c r="E1075" t="s">
        <v>96</v>
      </c>
      <c r="F1075" t="s">
        <v>388</v>
      </c>
      <c r="G1075">
        <v>5</v>
      </c>
      <c r="H1075">
        <v>95</v>
      </c>
      <c r="I1075">
        <f>G1075+H1075</f>
        <v>100</v>
      </c>
      <c r="J1075">
        <f>100-G1075-H1075</f>
        <v>0</v>
      </c>
      <c r="K1075" t="s">
        <v>19</v>
      </c>
      <c r="L1075" t="s">
        <v>19</v>
      </c>
      <c r="M1075" t="s">
        <v>19</v>
      </c>
      <c r="N1075" t="s">
        <v>19</v>
      </c>
      <c r="O1075" t="s">
        <v>19</v>
      </c>
      <c r="P1075" t="s">
        <v>19</v>
      </c>
      <c r="Q1075">
        <f>I1075</f>
        <v>100</v>
      </c>
      <c r="R1075" t="s">
        <v>19</v>
      </c>
      <c r="S1075" t="s">
        <v>19</v>
      </c>
      <c r="T1075" t="s">
        <v>19</v>
      </c>
    </row>
    <row r="1076" spans="1:21" ht="15" customHeight="1" x14ac:dyDescent="0.25">
      <c r="A1076" t="s">
        <v>19</v>
      </c>
      <c r="B1076" t="s">
        <v>20</v>
      </c>
      <c r="C1076" t="s">
        <v>320</v>
      </c>
      <c r="D1076">
        <v>3</v>
      </c>
      <c r="E1076" t="s">
        <v>96</v>
      </c>
      <c r="F1076" t="s">
        <v>388</v>
      </c>
      <c r="G1076">
        <v>0</v>
      </c>
      <c r="H1076">
        <v>100</v>
      </c>
      <c r="I1076">
        <f>100-J1076</f>
        <v>100</v>
      </c>
      <c r="J1076">
        <f>100-G1076-H1076</f>
        <v>0</v>
      </c>
      <c r="K1076" t="s">
        <v>19</v>
      </c>
      <c r="L1076" t="s">
        <v>19</v>
      </c>
      <c r="M1076" t="s">
        <v>19</v>
      </c>
      <c r="N1076" t="s">
        <v>19</v>
      </c>
      <c r="O1076" t="s">
        <v>19</v>
      </c>
      <c r="P1076" t="s">
        <v>19</v>
      </c>
      <c r="Q1076">
        <f>I1076</f>
        <v>100</v>
      </c>
      <c r="R1076" t="s">
        <v>19</v>
      </c>
      <c r="S1076" t="s">
        <v>19</v>
      </c>
      <c r="T1076" t="s">
        <v>19</v>
      </c>
    </row>
    <row r="1077" spans="1:21" ht="15" customHeight="1" x14ac:dyDescent="0.25">
      <c r="A1077" s="2">
        <v>45323.570462962962</v>
      </c>
      <c r="B1077" t="s">
        <v>309</v>
      </c>
      <c r="C1077" t="s">
        <v>322</v>
      </c>
      <c r="D1077">
        <v>3</v>
      </c>
      <c r="E1077" t="s">
        <v>96</v>
      </c>
      <c r="F1077" t="s">
        <v>388</v>
      </c>
      <c r="G1077">
        <f>(O1077/(N1077+O1077+P1077))*100</f>
        <v>11.020408163265307</v>
      </c>
      <c r="H1077">
        <f>(P1077/(O1077+P1077+N1077))*100</f>
        <v>84.285714285714292</v>
      </c>
      <c r="I1077">
        <v>95.31</v>
      </c>
      <c r="J1077">
        <f>(N1077/(P1077+O1077+N1077))*100</f>
        <v>4.6938775510204085</v>
      </c>
      <c r="K1077">
        <v>0.8</v>
      </c>
      <c r="L1077">
        <v>0.3</v>
      </c>
      <c r="M1077">
        <v>0.7</v>
      </c>
      <c r="N1077">
        <v>23</v>
      </c>
      <c r="O1077">
        <v>54</v>
      </c>
      <c r="P1077">
        <v>413</v>
      </c>
      <c r="Q1077">
        <v>95.31</v>
      </c>
      <c r="R1077" t="s">
        <v>240</v>
      </c>
      <c r="S1077">
        <v>2.84</v>
      </c>
      <c r="T1077">
        <v>4.5199999999999996</v>
      </c>
      <c r="U1077">
        <v>68</v>
      </c>
    </row>
    <row r="1078" spans="1:21" ht="15" customHeight="1" x14ac:dyDescent="0.25">
      <c r="A1078" s="2">
        <v>45323.568344907406</v>
      </c>
      <c r="B1078" t="s">
        <v>309</v>
      </c>
      <c r="C1078" t="s">
        <v>322</v>
      </c>
      <c r="D1078">
        <v>3</v>
      </c>
      <c r="E1078" t="s">
        <v>96</v>
      </c>
      <c r="F1078" t="s">
        <v>388</v>
      </c>
      <c r="G1078">
        <f>(O1078/(N1078+O1078+P1078))*100</f>
        <v>12.974051896207584</v>
      </c>
      <c r="H1078">
        <f>(P1078/(O1078+P1078+N1078))*100</f>
        <v>85.429141716566875</v>
      </c>
      <c r="I1078">
        <v>98.4</v>
      </c>
      <c r="J1078">
        <f>(N1078/(P1078+O1078+N1078))*100</f>
        <v>1.5968063872255487</v>
      </c>
      <c r="K1078">
        <v>0.7</v>
      </c>
      <c r="L1078">
        <v>0.3</v>
      </c>
      <c r="M1078">
        <v>0.7</v>
      </c>
      <c r="N1078">
        <v>8</v>
      </c>
      <c r="O1078">
        <v>65</v>
      </c>
      <c r="P1078">
        <v>428</v>
      </c>
      <c r="Q1078">
        <v>98.4</v>
      </c>
      <c r="R1078" t="s">
        <v>279</v>
      </c>
      <c r="S1078">
        <v>2.84</v>
      </c>
      <c r="T1078">
        <v>4.5199999999999996</v>
      </c>
      <c r="U1078">
        <v>57</v>
      </c>
    </row>
    <row r="1079" spans="1:21" ht="15" customHeight="1" x14ac:dyDescent="0.25">
      <c r="A1079" s="2">
        <v>45324.991724537038</v>
      </c>
      <c r="B1079" t="s">
        <v>309</v>
      </c>
      <c r="C1079" t="s">
        <v>368</v>
      </c>
      <c r="D1079">
        <v>2</v>
      </c>
      <c r="E1079" t="s">
        <v>96</v>
      </c>
      <c r="F1079" t="s">
        <v>388</v>
      </c>
      <c r="G1079">
        <f>(O1079/(N1079+O1079+P1079))*100</f>
        <v>99.819494584837543</v>
      </c>
      <c r="H1079">
        <f>(P1079/(O1079+P1079+N1079))*100</f>
        <v>0</v>
      </c>
      <c r="I1079">
        <v>99.82</v>
      </c>
      <c r="J1079">
        <f>(N1079/(P1079+O1079+N1079))*100</f>
        <v>0.18050541516245489</v>
      </c>
      <c r="K1079">
        <v>0.8</v>
      </c>
      <c r="L1079">
        <v>0.3</v>
      </c>
      <c r="M1079">
        <v>0.7</v>
      </c>
      <c r="N1079">
        <v>1</v>
      </c>
      <c r="O1079">
        <v>553</v>
      </c>
      <c r="P1079">
        <v>0</v>
      </c>
      <c r="Q1079">
        <v>99.82</v>
      </c>
      <c r="R1079" t="s">
        <v>240</v>
      </c>
      <c r="S1079">
        <v>2.48</v>
      </c>
      <c r="T1079">
        <v>2.74</v>
      </c>
    </row>
    <row r="1080" spans="1:21" ht="15" customHeight="1" x14ac:dyDescent="0.25">
      <c r="A1080" t="s">
        <v>19</v>
      </c>
      <c r="B1080" t="s">
        <v>20</v>
      </c>
      <c r="C1080" t="s">
        <v>306</v>
      </c>
      <c r="D1080">
        <v>3</v>
      </c>
      <c r="E1080" t="s">
        <v>97</v>
      </c>
      <c r="F1080" t="s">
        <v>373</v>
      </c>
      <c r="G1080" t="s">
        <v>321</v>
      </c>
      <c r="H1080" t="s">
        <v>321</v>
      </c>
      <c r="I1080">
        <v>65</v>
      </c>
      <c r="J1080">
        <v>35</v>
      </c>
      <c r="K1080" t="s">
        <v>19</v>
      </c>
      <c r="L1080" t="s">
        <v>19</v>
      </c>
      <c r="M1080" t="s">
        <v>19</v>
      </c>
      <c r="N1080" t="s">
        <v>19</v>
      </c>
      <c r="O1080" t="s">
        <v>19</v>
      </c>
      <c r="P1080" t="s">
        <v>19</v>
      </c>
      <c r="Q1080">
        <f>I1080</f>
        <v>65</v>
      </c>
      <c r="R1080" t="s">
        <v>19</v>
      </c>
      <c r="S1080" t="s">
        <v>19</v>
      </c>
      <c r="T1080" t="s">
        <v>19</v>
      </c>
    </row>
    <row r="1081" spans="1:21" ht="15" customHeight="1" x14ac:dyDescent="0.25">
      <c r="A1081" t="s">
        <v>19</v>
      </c>
      <c r="B1081" t="s">
        <v>20</v>
      </c>
      <c r="C1081" t="s">
        <v>308</v>
      </c>
      <c r="D1081">
        <v>3</v>
      </c>
      <c r="E1081" t="s">
        <v>97</v>
      </c>
      <c r="F1081" t="s">
        <v>373</v>
      </c>
      <c r="G1081">
        <v>25</v>
      </c>
      <c r="H1081">
        <v>1</v>
      </c>
      <c r="I1081">
        <f>G1081+H1081</f>
        <v>26</v>
      </c>
      <c r="J1081">
        <f>100-G1081-H1081</f>
        <v>74</v>
      </c>
      <c r="K1081" t="s">
        <v>19</v>
      </c>
      <c r="L1081" t="s">
        <v>19</v>
      </c>
      <c r="M1081" t="s">
        <v>19</v>
      </c>
      <c r="N1081" t="s">
        <v>19</v>
      </c>
      <c r="O1081" t="s">
        <v>19</v>
      </c>
      <c r="P1081" t="s">
        <v>19</v>
      </c>
      <c r="Q1081">
        <f>I1081</f>
        <v>26</v>
      </c>
      <c r="R1081" t="s">
        <v>19</v>
      </c>
      <c r="S1081" t="s">
        <v>19</v>
      </c>
      <c r="T1081" t="s">
        <v>19</v>
      </c>
    </row>
    <row r="1082" spans="1:21" ht="15" customHeight="1" x14ac:dyDescent="0.25">
      <c r="A1082" t="s">
        <v>19</v>
      </c>
      <c r="B1082" t="s">
        <v>20</v>
      </c>
      <c r="C1082" t="s">
        <v>22</v>
      </c>
      <c r="D1082">
        <v>3</v>
      </c>
      <c r="E1082" t="s">
        <v>97</v>
      </c>
      <c r="F1082" t="s">
        <v>373</v>
      </c>
      <c r="G1082">
        <v>60</v>
      </c>
      <c r="H1082">
        <v>0</v>
      </c>
      <c r="I1082">
        <f>G1082+H1082</f>
        <v>60</v>
      </c>
      <c r="J1082">
        <f>100-G1082-H1082</f>
        <v>40</v>
      </c>
      <c r="K1082" t="s">
        <v>19</v>
      </c>
      <c r="L1082" t="s">
        <v>19</v>
      </c>
      <c r="M1082" t="s">
        <v>19</v>
      </c>
      <c r="N1082" t="s">
        <v>19</v>
      </c>
      <c r="O1082" t="s">
        <v>19</v>
      </c>
      <c r="P1082" t="s">
        <v>19</v>
      </c>
      <c r="Q1082">
        <f>I1082</f>
        <v>60</v>
      </c>
      <c r="R1082" t="s">
        <v>19</v>
      </c>
      <c r="S1082" t="s">
        <v>19</v>
      </c>
      <c r="T1082" t="s">
        <v>19</v>
      </c>
    </row>
    <row r="1083" spans="1:21" ht="15" customHeight="1" x14ac:dyDescent="0.25">
      <c r="A1083" t="s">
        <v>19</v>
      </c>
      <c r="B1083" t="s">
        <v>20</v>
      </c>
      <c r="C1083" t="s">
        <v>305</v>
      </c>
      <c r="D1083">
        <v>3</v>
      </c>
      <c r="E1083" t="s">
        <v>97</v>
      </c>
      <c r="F1083" t="s">
        <v>373</v>
      </c>
      <c r="G1083">
        <v>15</v>
      </c>
      <c r="H1083">
        <v>0</v>
      </c>
      <c r="I1083">
        <f>G1083+H1083</f>
        <v>15</v>
      </c>
      <c r="J1083">
        <f>100-G1083-H1083</f>
        <v>85</v>
      </c>
      <c r="K1083" t="s">
        <v>19</v>
      </c>
      <c r="L1083" t="s">
        <v>19</v>
      </c>
      <c r="M1083" t="s">
        <v>19</v>
      </c>
      <c r="N1083" t="s">
        <v>19</v>
      </c>
      <c r="O1083" t="s">
        <v>19</v>
      </c>
      <c r="P1083" t="s">
        <v>19</v>
      </c>
      <c r="Q1083">
        <f>I1083</f>
        <v>15</v>
      </c>
      <c r="R1083" t="s">
        <v>19</v>
      </c>
      <c r="S1083" t="s">
        <v>19</v>
      </c>
      <c r="T1083" t="s">
        <v>19</v>
      </c>
    </row>
    <row r="1084" spans="1:21" ht="15" customHeight="1" x14ac:dyDescent="0.25">
      <c r="A1084" t="s">
        <v>19</v>
      </c>
      <c r="B1084" t="s">
        <v>20</v>
      </c>
      <c r="C1084" t="s">
        <v>307</v>
      </c>
      <c r="D1084">
        <v>3</v>
      </c>
      <c r="E1084" t="s">
        <v>97</v>
      </c>
      <c r="F1084" t="s">
        <v>373</v>
      </c>
      <c r="G1084">
        <v>7</v>
      </c>
      <c r="H1084">
        <v>1</v>
      </c>
      <c r="I1084">
        <f>G1084+H1084</f>
        <v>8</v>
      </c>
      <c r="J1084">
        <f>100-G1084-H1084</f>
        <v>92</v>
      </c>
      <c r="K1084" t="s">
        <v>19</v>
      </c>
      <c r="L1084" t="s">
        <v>19</v>
      </c>
      <c r="M1084" t="s">
        <v>19</v>
      </c>
      <c r="N1084" t="s">
        <v>19</v>
      </c>
      <c r="O1084" t="s">
        <v>19</v>
      </c>
      <c r="P1084" t="s">
        <v>19</v>
      </c>
      <c r="Q1084">
        <f>I1084</f>
        <v>8</v>
      </c>
      <c r="R1084" t="s">
        <v>19</v>
      </c>
      <c r="S1084" t="s">
        <v>19</v>
      </c>
      <c r="T1084" t="s">
        <v>19</v>
      </c>
    </row>
    <row r="1085" spans="1:21" ht="15" customHeight="1" x14ac:dyDescent="0.25">
      <c r="A1085" s="2">
        <v>45253.725694444445</v>
      </c>
      <c r="B1085" t="s">
        <v>309</v>
      </c>
      <c r="C1085" t="s">
        <v>213</v>
      </c>
      <c r="D1085">
        <v>3</v>
      </c>
      <c r="E1085" t="s">
        <v>97</v>
      </c>
      <c r="F1085" t="s">
        <v>373</v>
      </c>
      <c r="G1085">
        <v>34.315789469999999</v>
      </c>
      <c r="H1085">
        <v>0</v>
      </c>
      <c r="I1085">
        <v>34.315789469999999</v>
      </c>
      <c r="J1085">
        <v>65.684210530000001</v>
      </c>
      <c r="K1085">
        <v>0.8</v>
      </c>
      <c r="L1085">
        <v>0.2</v>
      </c>
      <c r="M1085">
        <v>0.7</v>
      </c>
      <c r="N1085">
        <v>312</v>
      </c>
      <c r="O1085">
        <v>163</v>
      </c>
      <c r="P1085">
        <v>0</v>
      </c>
      <c r="Q1085">
        <v>34.32</v>
      </c>
      <c r="R1085" t="s">
        <v>248</v>
      </c>
      <c r="S1085">
        <v>2.9</v>
      </c>
      <c r="T1085">
        <v>3.26</v>
      </c>
    </row>
    <row r="1086" spans="1:21" ht="15" customHeight="1" x14ac:dyDescent="0.25">
      <c r="A1086" s="2">
        <v>45253.932638888888</v>
      </c>
      <c r="B1086" t="s">
        <v>309</v>
      </c>
      <c r="C1086" t="s">
        <v>215</v>
      </c>
      <c r="D1086">
        <v>2</v>
      </c>
      <c r="E1086" t="s">
        <v>97</v>
      </c>
      <c r="F1086" t="s">
        <v>373</v>
      </c>
      <c r="G1086">
        <v>1.6369047619999999</v>
      </c>
      <c r="H1086">
        <v>0</v>
      </c>
      <c r="I1086">
        <v>1.6369047619999999</v>
      </c>
      <c r="J1086">
        <v>98.363095240000007</v>
      </c>
      <c r="K1086">
        <v>0.8</v>
      </c>
      <c r="L1086">
        <v>0.2</v>
      </c>
      <c r="M1086">
        <v>0.7</v>
      </c>
      <c r="N1086">
        <v>661</v>
      </c>
      <c r="O1086">
        <v>11</v>
      </c>
      <c r="P1086">
        <v>0</v>
      </c>
      <c r="Q1086">
        <v>1.64</v>
      </c>
      <c r="R1086" t="s">
        <v>243</v>
      </c>
      <c r="S1086">
        <v>0.09</v>
      </c>
      <c r="T1086">
        <v>0.1</v>
      </c>
    </row>
    <row r="1087" spans="1:21" ht="15" customHeight="1" x14ac:dyDescent="0.25">
      <c r="A1087" s="2">
        <v>45254.106944444444</v>
      </c>
      <c r="B1087" t="s">
        <v>309</v>
      </c>
      <c r="C1087" t="s">
        <v>217</v>
      </c>
      <c r="D1087">
        <v>2</v>
      </c>
      <c r="E1087" t="s">
        <v>97</v>
      </c>
      <c r="F1087" t="s">
        <v>373</v>
      </c>
      <c r="G1087">
        <v>3.448275862</v>
      </c>
      <c r="H1087">
        <v>0</v>
      </c>
      <c r="I1087">
        <v>3.448275862</v>
      </c>
      <c r="J1087">
        <v>96.551724140000005</v>
      </c>
      <c r="K1087">
        <v>0.8</v>
      </c>
      <c r="L1087">
        <v>0.2</v>
      </c>
      <c r="M1087">
        <v>0.7</v>
      </c>
      <c r="N1087">
        <v>644</v>
      </c>
      <c r="O1087">
        <v>23</v>
      </c>
      <c r="P1087">
        <v>0</v>
      </c>
      <c r="Q1087">
        <v>3.45</v>
      </c>
      <c r="R1087" t="s">
        <v>231</v>
      </c>
      <c r="S1087">
        <v>0.15</v>
      </c>
      <c r="T1087">
        <v>0.16</v>
      </c>
    </row>
    <row r="1088" spans="1:21" ht="15" customHeight="1" x14ac:dyDescent="0.25">
      <c r="A1088" s="2">
        <v>45316.443055555559</v>
      </c>
      <c r="B1088" t="s">
        <v>309</v>
      </c>
      <c r="C1088" t="s">
        <v>219</v>
      </c>
      <c r="D1088">
        <v>3</v>
      </c>
      <c r="E1088" t="s">
        <v>97</v>
      </c>
      <c r="F1088" t="s">
        <v>373</v>
      </c>
      <c r="G1088">
        <v>29.458917840000002</v>
      </c>
      <c r="H1088">
        <v>0</v>
      </c>
      <c r="I1088">
        <v>29.458917840000002</v>
      </c>
      <c r="J1088">
        <v>70.541082160000002</v>
      </c>
      <c r="K1088">
        <v>0.8</v>
      </c>
      <c r="L1088">
        <v>0.2</v>
      </c>
      <c r="M1088">
        <v>0.7</v>
      </c>
      <c r="N1088">
        <v>352</v>
      </c>
      <c r="O1088">
        <v>147</v>
      </c>
      <c r="P1088">
        <v>0</v>
      </c>
      <c r="Q1088">
        <v>29.46</v>
      </c>
      <c r="R1088" t="s">
        <v>220</v>
      </c>
      <c r="S1088">
        <v>3.11</v>
      </c>
      <c r="T1088">
        <v>4.4400000000000004</v>
      </c>
    </row>
    <row r="1089" spans="1:21" ht="15" customHeight="1" x14ac:dyDescent="0.25">
      <c r="A1089" s="2">
        <v>45320.96597222222</v>
      </c>
      <c r="B1089" t="s">
        <v>309</v>
      </c>
      <c r="C1089" t="s">
        <v>221</v>
      </c>
      <c r="D1089">
        <v>2</v>
      </c>
      <c r="E1089" t="s">
        <v>97</v>
      </c>
      <c r="F1089" t="s">
        <v>373</v>
      </c>
      <c r="G1089">
        <v>34.814814810000001</v>
      </c>
      <c r="H1089">
        <v>0</v>
      </c>
      <c r="I1089">
        <v>34.814814810000001</v>
      </c>
      <c r="J1089">
        <v>65.185185189999999</v>
      </c>
      <c r="K1089">
        <v>0.8</v>
      </c>
      <c r="L1089">
        <v>0.3</v>
      </c>
      <c r="M1089">
        <v>0.7</v>
      </c>
      <c r="N1089">
        <v>352</v>
      </c>
      <c r="O1089">
        <v>188</v>
      </c>
      <c r="P1089">
        <v>0</v>
      </c>
      <c r="Q1089">
        <v>34.81</v>
      </c>
      <c r="R1089" t="s">
        <v>237</v>
      </c>
      <c r="S1089">
        <v>1.01</v>
      </c>
      <c r="T1089">
        <v>1.0900000000000001</v>
      </c>
    </row>
    <row r="1090" spans="1:21" ht="15" customHeight="1" x14ac:dyDescent="0.25">
      <c r="A1090" t="s">
        <v>19</v>
      </c>
      <c r="B1090" t="s">
        <v>20</v>
      </c>
      <c r="C1090" t="s">
        <v>320</v>
      </c>
      <c r="D1090">
        <v>3</v>
      </c>
      <c r="E1090" t="s">
        <v>97</v>
      </c>
      <c r="F1090" t="s">
        <v>373</v>
      </c>
      <c r="G1090">
        <v>20</v>
      </c>
      <c r="H1090">
        <v>0</v>
      </c>
      <c r="I1090">
        <f>100-J1090</f>
        <v>20</v>
      </c>
      <c r="J1090">
        <f>100-G1090-H1090</f>
        <v>80</v>
      </c>
      <c r="K1090" t="s">
        <v>19</v>
      </c>
      <c r="L1090" t="s">
        <v>19</v>
      </c>
      <c r="M1090" t="s">
        <v>19</v>
      </c>
      <c r="N1090" t="s">
        <v>19</v>
      </c>
      <c r="O1090" t="s">
        <v>19</v>
      </c>
      <c r="P1090" t="s">
        <v>19</v>
      </c>
      <c r="Q1090">
        <f>I1090</f>
        <v>20</v>
      </c>
      <c r="R1090" t="s">
        <v>19</v>
      </c>
      <c r="S1090" t="s">
        <v>19</v>
      </c>
      <c r="T1090" t="s">
        <v>19</v>
      </c>
    </row>
    <row r="1091" spans="1:21" ht="15" customHeight="1" x14ac:dyDescent="0.25">
      <c r="A1091" s="2">
        <v>45323.57</v>
      </c>
      <c r="B1091" t="s">
        <v>309</v>
      </c>
      <c r="C1091" t="s">
        <v>322</v>
      </c>
      <c r="D1091">
        <v>3</v>
      </c>
      <c r="E1091" t="s">
        <v>97</v>
      </c>
      <c r="F1091" t="s">
        <v>373</v>
      </c>
      <c r="G1091">
        <f>(O1091/(N1091+O1091+P1091))*100</f>
        <v>34.558823529411761</v>
      </c>
      <c r="H1091">
        <f>(P1091/(O1091+P1091+N1091))*100</f>
        <v>0</v>
      </c>
      <c r="I1091">
        <f>((O1091+P1091)/(P1091+O1091+N1091))*100</f>
        <v>34.558823529411761</v>
      </c>
      <c r="J1091">
        <f>(N1091/(P1091+O1091+N1091))*100</f>
        <v>65.441176470588232</v>
      </c>
      <c r="K1091">
        <v>0.8</v>
      </c>
      <c r="L1091">
        <v>0.3</v>
      </c>
      <c r="M1091">
        <v>0.7</v>
      </c>
      <c r="N1091">
        <v>356</v>
      </c>
      <c r="O1091">
        <v>188</v>
      </c>
      <c r="P1091">
        <v>0</v>
      </c>
      <c r="Q1091">
        <v>34.56</v>
      </c>
      <c r="R1091" t="s">
        <v>342</v>
      </c>
      <c r="S1091">
        <v>2.8</v>
      </c>
      <c r="T1091">
        <v>3.21</v>
      </c>
      <c r="U1091">
        <v>155</v>
      </c>
    </row>
    <row r="1092" spans="1:21" ht="15" customHeight="1" x14ac:dyDescent="0.25">
      <c r="A1092" s="2">
        <v>45323.572835648149</v>
      </c>
      <c r="B1092" t="s">
        <v>309</v>
      </c>
      <c r="C1092" t="s">
        <v>322</v>
      </c>
      <c r="D1092">
        <v>3</v>
      </c>
      <c r="E1092" t="s">
        <v>97</v>
      </c>
      <c r="F1092" t="s">
        <v>373</v>
      </c>
      <c r="G1092">
        <f>(O1092/(N1092+O1092+P1092))*100</f>
        <v>37.870855148342059</v>
      </c>
      <c r="H1092">
        <f>(P1092/(O1092+P1092+N1092))*100</f>
        <v>0</v>
      </c>
      <c r="I1092">
        <f>((O1092+P1092)/(P1092+O1092+N1092))*100</f>
        <v>37.870855148342059</v>
      </c>
      <c r="J1092">
        <f>(N1092/(P1092+O1092+N1092))*100</f>
        <v>62.129144851657934</v>
      </c>
      <c r="K1092">
        <v>0.7</v>
      </c>
      <c r="L1092">
        <v>0.3</v>
      </c>
      <c r="M1092">
        <v>0.7</v>
      </c>
      <c r="N1092">
        <v>356</v>
      </c>
      <c r="O1092">
        <v>217</v>
      </c>
      <c r="P1092">
        <v>0</v>
      </c>
      <c r="Q1092">
        <v>37.869999999999997</v>
      </c>
      <c r="R1092" t="s">
        <v>339</v>
      </c>
      <c r="S1092">
        <v>2.8</v>
      </c>
      <c r="T1092">
        <v>3.21</v>
      </c>
      <c r="U1092">
        <v>126</v>
      </c>
    </row>
    <row r="1093" spans="1:21" ht="15" customHeight="1" x14ac:dyDescent="0.25">
      <c r="A1093" s="2">
        <v>45325.141712962963</v>
      </c>
      <c r="B1093" t="s">
        <v>309</v>
      </c>
      <c r="C1093" t="s">
        <v>368</v>
      </c>
      <c r="D1093">
        <v>2</v>
      </c>
      <c r="E1093" t="s">
        <v>97</v>
      </c>
      <c r="F1093" t="s">
        <v>373</v>
      </c>
      <c r="G1093">
        <f>(O1093/(N1093+O1093+P1093))*100</f>
        <v>23.657718120805367</v>
      </c>
      <c r="H1093">
        <f>(P1093/(O1093+P1093+N1093))*100</f>
        <v>0</v>
      </c>
      <c r="I1093">
        <v>23.66</v>
      </c>
      <c r="J1093">
        <f>(N1093/(P1093+O1093+N1093))*100</f>
        <v>76.34228187919463</v>
      </c>
      <c r="K1093">
        <v>0.8</v>
      </c>
      <c r="L1093">
        <v>0.3</v>
      </c>
      <c r="M1093">
        <v>0.7</v>
      </c>
      <c r="N1093">
        <v>455</v>
      </c>
      <c r="O1093">
        <v>141</v>
      </c>
      <c r="P1093">
        <v>0</v>
      </c>
      <c r="Q1093">
        <v>23.66</v>
      </c>
      <c r="R1093" t="s">
        <v>268</v>
      </c>
      <c r="S1093">
        <v>0.71</v>
      </c>
      <c r="T1093">
        <v>0.74</v>
      </c>
    </row>
    <row r="1094" spans="1:21" ht="15" customHeight="1" x14ac:dyDescent="0.25">
      <c r="A1094" t="s">
        <v>19</v>
      </c>
      <c r="B1094" t="s">
        <v>20</v>
      </c>
      <c r="C1094" t="s">
        <v>306</v>
      </c>
      <c r="D1094">
        <v>3</v>
      </c>
      <c r="E1094" t="s">
        <v>98</v>
      </c>
      <c r="F1094" t="s">
        <v>373</v>
      </c>
      <c r="G1094" t="s">
        <v>321</v>
      </c>
      <c r="H1094" t="s">
        <v>321</v>
      </c>
      <c r="I1094">
        <v>50</v>
      </c>
      <c r="J1094">
        <v>50</v>
      </c>
      <c r="K1094" t="s">
        <v>19</v>
      </c>
      <c r="L1094" t="s">
        <v>19</v>
      </c>
      <c r="M1094" t="s">
        <v>19</v>
      </c>
      <c r="N1094" t="s">
        <v>19</v>
      </c>
      <c r="O1094" t="s">
        <v>19</v>
      </c>
      <c r="P1094" t="s">
        <v>19</v>
      </c>
      <c r="Q1094">
        <f>I1094</f>
        <v>50</v>
      </c>
      <c r="R1094" t="s">
        <v>19</v>
      </c>
      <c r="S1094" t="s">
        <v>19</v>
      </c>
      <c r="T1094" t="s">
        <v>19</v>
      </c>
    </row>
    <row r="1095" spans="1:21" ht="15" customHeight="1" x14ac:dyDescent="0.25">
      <c r="A1095" t="s">
        <v>19</v>
      </c>
      <c r="B1095" t="s">
        <v>20</v>
      </c>
      <c r="C1095" t="s">
        <v>308</v>
      </c>
      <c r="D1095">
        <v>3</v>
      </c>
      <c r="E1095" t="s">
        <v>98</v>
      </c>
      <c r="F1095" t="s">
        <v>373</v>
      </c>
      <c r="G1095">
        <v>30</v>
      </c>
      <c r="H1095">
        <v>1</v>
      </c>
      <c r="I1095">
        <f>G1095+H1095</f>
        <v>31</v>
      </c>
      <c r="J1095">
        <f>100-G1095-H1095</f>
        <v>69</v>
      </c>
      <c r="K1095" t="s">
        <v>19</v>
      </c>
      <c r="L1095" t="s">
        <v>19</v>
      </c>
      <c r="M1095" t="s">
        <v>19</v>
      </c>
      <c r="N1095" t="s">
        <v>19</v>
      </c>
      <c r="O1095" t="s">
        <v>19</v>
      </c>
      <c r="P1095" t="s">
        <v>19</v>
      </c>
      <c r="Q1095">
        <f>I1095</f>
        <v>31</v>
      </c>
      <c r="R1095" t="s">
        <v>19</v>
      </c>
      <c r="S1095" t="s">
        <v>19</v>
      </c>
      <c r="T1095" t="s">
        <v>19</v>
      </c>
    </row>
    <row r="1096" spans="1:21" ht="15" customHeight="1" x14ac:dyDescent="0.25">
      <c r="A1096" t="s">
        <v>19</v>
      </c>
      <c r="B1096" t="s">
        <v>20</v>
      </c>
      <c r="C1096" t="s">
        <v>22</v>
      </c>
      <c r="D1096">
        <v>3</v>
      </c>
      <c r="E1096" t="s">
        <v>98</v>
      </c>
      <c r="F1096" t="s">
        <v>373</v>
      </c>
      <c r="G1096">
        <v>85</v>
      </c>
      <c r="H1096">
        <v>0</v>
      </c>
      <c r="I1096">
        <f>G1096+H1096</f>
        <v>85</v>
      </c>
      <c r="J1096">
        <f>100-G1096-H1096</f>
        <v>15</v>
      </c>
      <c r="K1096" t="s">
        <v>19</v>
      </c>
      <c r="L1096" t="s">
        <v>19</v>
      </c>
      <c r="M1096" t="s">
        <v>19</v>
      </c>
      <c r="N1096" t="s">
        <v>19</v>
      </c>
      <c r="O1096" t="s">
        <v>19</v>
      </c>
      <c r="P1096" t="s">
        <v>19</v>
      </c>
      <c r="Q1096">
        <f>I1096</f>
        <v>85</v>
      </c>
      <c r="R1096" t="s">
        <v>19</v>
      </c>
      <c r="S1096" t="s">
        <v>19</v>
      </c>
      <c r="T1096" t="s">
        <v>19</v>
      </c>
    </row>
    <row r="1097" spans="1:21" ht="15" customHeight="1" x14ac:dyDescent="0.25">
      <c r="A1097" t="s">
        <v>19</v>
      </c>
      <c r="B1097" t="s">
        <v>20</v>
      </c>
      <c r="C1097" t="s">
        <v>305</v>
      </c>
      <c r="D1097">
        <v>3</v>
      </c>
      <c r="E1097" t="s">
        <v>98</v>
      </c>
      <c r="F1097" t="s">
        <v>373</v>
      </c>
      <c r="G1097">
        <v>25</v>
      </c>
      <c r="H1097">
        <v>0</v>
      </c>
      <c r="I1097">
        <f>G1097+H1097</f>
        <v>25</v>
      </c>
      <c r="J1097">
        <f>100-G1097-H1097</f>
        <v>75</v>
      </c>
      <c r="K1097" t="s">
        <v>19</v>
      </c>
      <c r="L1097" t="s">
        <v>19</v>
      </c>
      <c r="M1097" t="s">
        <v>19</v>
      </c>
      <c r="N1097" t="s">
        <v>19</v>
      </c>
      <c r="O1097" t="s">
        <v>19</v>
      </c>
      <c r="P1097" t="s">
        <v>19</v>
      </c>
      <c r="Q1097">
        <f>I1097</f>
        <v>25</v>
      </c>
      <c r="R1097" t="s">
        <v>19</v>
      </c>
      <c r="S1097" t="s">
        <v>19</v>
      </c>
      <c r="T1097" t="s">
        <v>19</v>
      </c>
    </row>
    <row r="1098" spans="1:21" ht="15" customHeight="1" x14ac:dyDescent="0.25">
      <c r="A1098" t="s">
        <v>19</v>
      </c>
      <c r="B1098" t="s">
        <v>20</v>
      </c>
      <c r="C1098" t="s">
        <v>307</v>
      </c>
      <c r="D1098">
        <v>3</v>
      </c>
      <c r="E1098" t="s">
        <v>98</v>
      </c>
      <c r="F1098" t="s">
        <v>373</v>
      </c>
      <c r="G1098">
        <v>3</v>
      </c>
      <c r="H1098">
        <v>1</v>
      </c>
      <c r="I1098">
        <f>G1098+H1098</f>
        <v>4</v>
      </c>
      <c r="J1098">
        <f>100-G1098-H1098</f>
        <v>96</v>
      </c>
      <c r="K1098" t="s">
        <v>19</v>
      </c>
      <c r="L1098" t="s">
        <v>19</v>
      </c>
      <c r="M1098" t="s">
        <v>19</v>
      </c>
      <c r="N1098" t="s">
        <v>19</v>
      </c>
      <c r="O1098" t="s">
        <v>19</v>
      </c>
      <c r="P1098" t="s">
        <v>19</v>
      </c>
      <c r="Q1098">
        <f>I1098</f>
        <v>4</v>
      </c>
      <c r="R1098" t="s">
        <v>19</v>
      </c>
      <c r="S1098" t="s">
        <v>19</v>
      </c>
      <c r="T1098" t="s">
        <v>19</v>
      </c>
    </row>
    <row r="1099" spans="1:21" ht="15" customHeight="1" x14ac:dyDescent="0.25">
      <c r="A1099" s="2">
        <v>45253.727083333331</v>
      </c>
      <c r="B1099" t="s">
        <v>309</v>
      </c>
      <c r="C1099" t="s">
        <v>213</v>
      </c>
      <c r="D1099">
        <v>3</v>
      </c>
      <c r="E1099" t="s">
        <v>98</v>
      </c>
      <c r="F1099" t="s">
        <v>373</v>
      </c>
      <c r="G1099">
        <v>39.529914529999999</v>
      </c>
      <c r="H1099">
        <v>0</v>
      </c>
      <c r="I1099">
        <v>39.529914529999999</v>
      </c>
      <c r="J1099">
        <v>60.470085470000001</v>
      </c>
      <c r="K1099">
        <v>0.8</v>
      </c>
      <c r="L1099">
        <v>0.2</v>
      </c>
      <c r="M1099">
        <v>0.7</v>
      </c>
      <c r="N1099">
        <v>283</v>
      </c>
      <c r="O1099">
        <v>185</v>
      </c>
      <c r="P1099">
        <v>0</v>
      </c>
      <c r="Q1099">
        <v>39.53</v>
      </c>
      <c r="R1099" t="s">
        <v>236</v>
      </c>
      <c r="S1099">
        <v>2.89</v>
      </c>
      <c r="T1099">
        <v>3.08</v>
      </c>
    </row>
    <row r="1100" spans="1:21" ht="15" customHeight="1" x14ac:dyDescent="0.25">
      <c r="A1100" s="2">
        <v>45253.933333333334</v>
      </c>
      <c r="B1100" t="s">
        <v>309</v>
      </c>
      <c r="C1100" t="s">
        <v>215</v>
      </c>
      <c r="D1100">
        <v>2</v>
      </c>
      <c r="E1100" t="s">
        <v>98</v>
      </c>
      <c r="F1100" t="s">
        <v>373</v>
      </c>
      <c r="G1100">
        <v>30.381679389999999</v>
      </c>
      <c r="H1100">
        <v>0</v>
      </c>
      <c r="I1100">
        <v>30.381679389999999</v>
      </c>
      <c r="J1100">
        <v>69.618320609999998</v>
      </c>
      <c r="K1100">
        <v>0.8</v>
      </c>
      <c r="L1100">
        <v>0.2</v>
      </c>
      <c r="M1100">
        <v>0.7</v>
      </c>
      <c r="N1100">
        <v>456</v>
      </c>
      <c r="O1100">
        <v>199</v>
      </c>
      <c r="P1100">
        <v>0</v>
      </c>
      <c r="Q1100">
        <v>30.38</v>
      </c>
      <c r="R1100" t="s">
        <v>225</v>
      </c>
      <c r="S1100">
        <v>0.7</v>
      </c>
      <c r="T1100">
        <v>0.76</v>
      </c>
    </row>
    <row r="1101" spans="1:21" ht="15" customHeight="1" x14ac:dyDescent="0.25">
      <c r="A1101" s="2">
        <v>45254.107638888891</v>
      </c>
      <c r="B1101" t="s">
        <v>309</v>
      </c>
      <c r="C1101" t="s">
        <v>217</v>
      </c>
      <c r="D1101">
        <v>2</v>
      </c>
      <c r="E1101" t="s">
        <v>98</v>
      </c>
      <c r="F1101" t="s">
        <v>373</v>
      </c>
      <c r="G1101">
        <v>42.480620160000001</v>
      </c>
      <c r="H1101">
        <v>0</v>
      </c>
      <c r="I1101">
        <v>42.480620160000001</v>
      </c>
      <c r="J1101">
        <v>57.519379839999999</v>
      </c>
      <c r="K1101">
        <v>0.8</v>
      </c>
      <c r="L1101">
        <v>0.2</v>
      </c>
      <c r="M1101">
        <v>0.7</v>
      </c>
      <c r="N1101">
        <v>371</v>
      </c>
      <c r="O1101">
        <v>274</v>
      </c>
      <c r="P1101">
        <v>0</v>
      </c>
      <c r="Q1101">
        <v>42.48</v>
      </c>
      <c r="R1101" t="s">
        <v>237</v>
      </c>
      <c r="S1101">
        <v>1</v>
      </c>
      <c r="T1101">
        <v>1.05</v>
      </c>
    </row>
    <row r="1102" spans="1:21" ht="15" customHeight="1" x14ac:dyDescent="0.25">
      <c r="A1102" s="2">
        <v>45316.443749999999</v>
      </c>
      <c r="B1102" t="s">
        <v>309</v>
      </c>
      <c r="C1102" t="s">
        <v>219</v>
      </c>
      <c r="D1102">
        <v>3</v>
      </c>
      <c r="E1102" t="s">
        <v>98</v>
      </c>
      <c r="F1102" t="s">
        <v>373</v>
      </c>
      <c r="G1102">
        <v>29.064039409999999</v>
      </c>
      <c r="H1102">
        <v>4.6798029559999996</v>
      </c>
      <c r="I1102">
        <v>33.743842360000002</v>
      </c>
      <c r="J1102">
        <v>66.256157639999998</v>
      </c>
      <c r="K1102">
        <v>0.8</v>
      </c>
      <c r="L1102">
        <v>0.2</v>
      </c>
      <c r="M1102">
        <v>0.7</v>
      </c>
      <c r="N1102">
        <v>269</v>
      </c>
      <c r="O1102">
        <v>118</v>
      </c>
      <c r="P1102">
        <v>19</v>
      </c>
      <c r="Q1102">
        <v>33.74</v>
      </c>
      <c r="R1102" t="s">
        <v>222</v>
      </c>
      <c r="S1102">
        <v>3.23</v>
      </c>
      <c r="T1102">
        <v>4.13</v>
      </c>
    </row>
    <row r="1103" spans="1:21" ht="15" customHeight="1" x14ac:dyDescent="0.25">
      <c r="A1103" s="2">
        <v>45320.966666666667</v>
      </c>
      <c r="B1103" t="s">
        <v>309</v>
      </c>
      <c r="C1103" t="s">
        <v>221</v>
      </c>
      <c r="D1103">
        <v>2</v>
      </c>
      <c r="E1103" t="s">
        <v>98</v>
      </c>
      <c r="F1103" t="s">
        <v>373</v>
      </c>
      <c r="G1103">
        <v>47.176079729999998</v>
      </c>
      <c r="H1103">
        <v>0</v>
      </c>
      <c r="I1103">
        <v>47.176079729999998</v>
      </c>
      <c r="J1103">
        <v>52.823920270000002</v>
      </c>
      <c r="K1103">
        <v>0.8</v>
      </c>
      <c r="L1103">
        <v>0.3</v>
      </c>
      <c r="M1103">
        <v>0.7</v>
      </c>
      <c r="N1103">
        <v>318</v>
      </c>
      <c r="O1103">
        <v>284</v>
      </c>
      <c r="P1103">
        <v>0</v>
      </c>
      <c r="Q1103">
        <v>47.18</v>
      </c>
      <c r="R1103" t="s">
        <v>273</v>
      </c>
      <c r="S1103">
        <v>1.22</v>
      </c>
      <c r="T1103">
        <v>1.29</v>
      </c>
    </row>
    <row r="1104" spans="1:21" ht="15" customHeight="1" x14ac:dyDescent="0.25">
      <c r="A1104" t="s">
        <v>19</v>
      </c>
      <c r="B1104" t="s">
        <v>20</v>
      </c>
      <c r="C1104" t="s">
        <v>320</v>
      </c>
      <c r="D1104">
        <v>3</v>
      </c>
      <c r="E1104" t="s">
        <v>98</v>
      </c>
      <c r="F1104" t="s">
        <v>373</v>
      </c>
      <c r="G1104">
        <v>0</v>
      </c>
      <c r="H1104">
        <v>0</v>
      </c>
      <c r="I1104">
        <f>100-J1104</f>
        <v>0</v>
      </c>
      <c r="J1104">
        <f>100-G1104-H1104</f>
        <v>100</v>
      </c>
      <c r="K1104" t="s">
        <v>19</v>
      </c>
      <c r="L1104" t="s">
        <v>19</v>
      </c>
      <c r="M1104" t="s">
        <v>19</v>
      </c>
      <c r="N1104" t="s">
        <v>19</v>
      </c>
      <c r="O1104" t="s">
        <v>19</v>
      </c>
      <c r="P1104" t="s">
        <v>19</v>
      </c>
      <c r="Q1104">
        <f>I1104</f>
        <v>0</v>
      </c>
      <c r="R1104" t="s">
        <v>19</v>
      </c>
      <c r="S1104" t="s">
        <v>19</v>
      </c>
      <c r="T1104" t="s">
        <v>19</v>
      </c>
    </row>
    <row r="1105" spans="1:21" ht="15" customHeight="1" x14ac:dyDescent="0.25">
      <c r="A1105" s="2">
        <v>45323.571701388886</v>
      </c>
      <c r="B1105" t="s">
        <v>309</v>
      </c>
      <c r="C1105" t="s">
        <v>322</v>
      </c>
      <c r="D1105">
        <v>3</v>
      </c>
      <c r="E1105" t="s">
        <v>98</v>
      </c>
      <c r="F1105" t="s">
        <v>373</v>
      </c>
      <c r="G1105">
        <f>(O1105/(N1105+O1105+P1105))*100</f>
        <v>50.610820244328103</v>
      </c>
      <c r="H1105">
        <f>(P1105/(O1105+P1105+N1105))*100</f>
        <v>0.17452006980802792</v>
      </c>
      <c r="I1105">
        <f>((O1105+P1105)/(P1105+O1105+N1105))*100</f>
        <v>50.785340314136128</v>
      </c>
      <c r="J1105">
        <f>(N1105/(P1105+O1105+N1105))*100</f>
        <v>49.214659685863879</v>
      </c>
      <c r="K1105">
        <v>0.8</v>
      </c>
      <c r="L1105">
        <v>0.3</v>
      </c>
      <c r="M1105">
        <v>0.7</v>
      </c>
      <c r="N1105">
        <v>282</v>
      </c>
      <c r="O1105">
        <v>290</v>
      </c>
      <c r="P1105">
        <v>1</v>
      </c>
      <c r="Q1105">
        <v>50.79</v>
      </c>
      <c r="R1105" t="s">
        <v>330</v>
      </c>
      <c r="S1105">
        <v>2.54</v>
      </c>
      <c r="T1105">
        <v>3.19</v>
      </c>
      <c r="U1105">
        <v>114</v>
      </c>
    </row>
    <row r="1106" spans="1:21" ht="15" customHeight="1" x14ac:dyDescent="0.25">
      <c r="A1106" s="2">
        <v>45323.574490740742</v>
      </c>
      <c r="B1106" t="s">
        <v>309</v>
      </c>
      <c r="C1106" t="s">
        <v>322</v>
      </c>
      <c r="D1106">
        <v>3</v>
      </c>
      <c r="E1106" t="s">
        <v>98</v>
      </c>
      <c r="F1106" t="s">
        <v>373</v>
      </c>
      <c r="G1106">
        <f>(O1106/(N1106+O1106+P1106))*100</f>
        <v>53.377265238879737</v>
      </c>
      <c r="H1106">
        <f>(P1106/(O1106+P1106+N1106))*100</f>
        <v>0.16474464579901155</v>
      </c>
      <c r="I1106">
        <f>((O1106+P1106)/(P1106+O1106+N1106))*100</f>
        <v>53.542009884678741</v>
      </c>
      <c r="J1106">
        <f>(N1106/(P1106+O1106+N1106))*100</f>
        <v>46.457990115321252</v>
      </c>
      <c r="K1106">
        <v>0.7</v>
      </c>
      <c r="L1106">
        <v>0.3</v>
      </c>
      <c r="M1106">
        <v>0.7</v>
      </c>
      <c r="N1106">
        <v>282</v>
      </c>
      <c r="O1106">
        <v>324</v>
      </c>
      <c r="P1106">
        <v>1</v>
      </c>
      <c r="Q1106">
        <v>53.54</v>
      </c>
      <c r="R1106" t="s">
        <v>296</v>
      </c>
      <c r="S1106">
        <v>2.54</v>
      </c>
      <c r="T1106">
        <v>3.19</v>
      </c>
      <c r="U1106">
        <v>80</v>
      </c>
    </row>
    <row r="1107" spans="1:21" ht="15" customHeight="1" x14ac:dyDescent="0.25">
      <c r="A1107" s="2">
        <v>45325.14303240741</v>
      </c>
      <c r="B1107" t="s">
        <v>309</v>
      </c>
      <c r="C1107" t="s">
        <v>368</v>
      </c>
      <c r="D1107">
        <v>2</v>
      </c>
      <c r="E1107" t="s">
        <v>98</v>
      </c>
      <c r="F1107" t="s">
        <v>373</v>
      </c>
      <c r="G1107">
        <f>(O1107/(N1107+O1107+P1107))*100</f>
        <v>54.2713567839196</v>
      </c>
      <c r="H1107">
        <f>(P1107/(O1107+P1107+N1107))*100</f>
        <v>0</v>
      </c>
      <c r="I1107">
        <v>54.27</v>
      </c>
      <c r="J1107">
        <f>(N1107/(P1107+O1107+N1107))*100</f>
        <v>45.7286432160804</v>
      </c>
      <c r="K1107">
        <v>0.8</v>
      </c>
      <c r="L1107">
        <v>0.3</v>
      </c>
      <c r="M1107">
        <v>0.7</v>
      </c>
      <c r="N1107">
        <v>273</v>
      </c>
      <c r="O1107">
        <v>324</v>
      </c>
      <c r="P1107">
        <v>0</v>
      </c>
      <c r="Q1107">
        <v>54.27</v>
      </c>
      <c r="R1107" t="s">
        <v>238</v>
      </c>
      <c r="S1107">
        <v>1.28</v>
      </c>
      <c r="T1107">
        <v>1.37</v>
      </c>
    </row>
    <row r="1108" spans="1:21" ht="15" customHeight="1" x14ac:dyDescent="0.25">
      <c r="A1108" t="s">
        <v>19</v>
      </c>
      <c r="B1108" t="s">
        <v>20</v>
      </c>
      <c r="C1108" t="s">
        <v>308</v>
      </c>
      <c r="D1108">
        <v>3</v>
      </c>
      <c r="E1108" t="s">
        <v>99</v>
      </c>
      <c r="F1108" t="s">
        <v>388</v>
      </c>
      <c r="G1108">
        <v>15</v>
      </c>
      <c r="H1108">
        <v>45</v>
      </c>
      <c r="I1108">
        <f>G1108+H1108</f>
        <v>60</v>
      </c>
      <c r="J1108">
        <f>100-G1108-H1108</f>
        <v>40</v>
      </c>
      <c r="K1108" t="s">
        <v>19</v>
      </c>
      <c r="L1108" t="s">
        <v>19</v>
      </c>
      <c r="M1108" t="s">
        <v>19</v>
      </c>
      <c r="N1108" t="s">
        <v>19</v>
      </c>
      <c r="O1108" t="s">
        <v>19</v>
      </c>
      <c r="P1108" t="s">
        <v>19</v>
      </c>
      <c r="Q1108">
        <f>I1108</f>
        <v>60</v>
      </c>
      <c r="R1108" t="s">
        <v>19</v>
      </c>
      <c r="S1108" t="s">
        <v>19</v>
      </c>
      <c r="T1108" t="s">
        <v>19</v>
      </c>
    </row>
    <row r="1109" spans="1:21" ht="15" customHeight="1" x14ac:dyDescent="0.25">
      <c r="A1109" t="s">
        <v>19</v>
      </c>
      <c r="B1109" t="s">
        <v>20</v>
      </c>
      <c r="C1109" t="s">
        <v>22</v>
      </c>
      <c r="D1109">
        <v>3</v>
      </c>
      <c r="E1109" t="s">
        <v>99</v>
      </c>
      <c r="F1109" t="s">
        <v>388</v>
      </c>
      <c r="G1109">
        <v>5</v>
      </c>
      <c r="H1109">
        <v>40</v>
      </c>
      <c r="I1109">
        <f>G1109+H1109</f>
        <v>45</v>
      </c>
      <c r="J1109">
        <f>100-G1109-H1109</f>
        <v>55</v>
      </c>
      <c r="K1109" t="s">
        <v>19</v>
      </c>
      <c r="L1109" t="s">
        <v>19</v>
      </c>
      <c r="M1109" t="s">
        <v>19</v>
      </c>
      <c r="N1109" t="s">
        <v>19</v>
      </c>
      <c r="O1109" t="s">
        <v>19</v>
      </c>
      <c r="P1109" t="s">
        <v>19</v>
      </c>
      <c r="Q1109">
        <f>I1109</f>
        <v>45</v>
      </c>
      <c r="R1109" t="s">
        <v>19</v>
      </c>
      <c r="S1109" t="s">
        <v>19</v>
      </c>
      <c r="T1109" t="s">
        <v>19</v>
      </c>
    </row>
    <row r="1110" spans="1:21" ht="15" customHeight="1" x14ac:dyDescent="0.25">
      <c r="A1110" t="s">
        <v>19</v>
      </c>
      <c r="B1110" t="s">
        <v>20</v>
      </c>
      <c r="C1110" t="s">
        <v>305</v>
      </c>
      <c r="D1110">
        <v>3</v>
      </c>
      <c r="E1110" t="s">
        <v>99</v>
      </c>
      <c r="F1110" t="s">
        <v>388</v>
      </c>
      <c r="G1110">
        <v>20</v>
      </c>
      <c r="H1110">
        <v>40</v>
      </c>
      <c r="I1110">
        <f>G1110+H1110</f>
        <v>60</v>
      </c>
      <c r="J1110">
        <f>100-G1110-H1110</f>
        <v>40</v>
      </c>
      <c r="K1110" t="s">
        <v>19</v>
      </c>
      <c r="L1110" t="s">
        <v>19</v>
      </c>
      <c r="M1110" t="s">
        <v>19</v>
      </c>
      <c r="N1110" t="s">
        <v>19</v>
      </c>
      <c r="O1110" t="s">
        <v>19</v>
      </c>
      <c r="P1110" t="s">
        <v>19</v>
      </c>
      <c r="Q1110">
        <f>I1110</f>
        <v>60</v>
      </c>
      <c r="R1110" t="s">
        <v>19</v>
      </c>
      <c r="S1110" t="s">
        <v>19</v>
      </c>
      <c r="T1110" t="s">
        <v>19</v>
      </c>
    </row>
    <row r="1111" spans="1:21" ht="15" customHeight="1" x14ac:dyDescent="0.25">
      <c r="A1111" t="s">
        <v>19</v>
      </c>
      <c r="B1111" t="s">
        <v>20</v>
      </c>
      <c r="C1111" t="s">
        <v>307</v>
      </c>
      <c r="D1111">
        <v>3</v>
      </c>
      <c r="E1111" t="s">
        <v>99</v>
      </c>
      <c r="F1111" t="s">
        <v>388</v>
      </c>
      <c r="G1111">
        <v>10</v>
      </c>
      <c r="H1111">
        <v>35</v>
      </c>
      <c r="I1111">
        <f>G1111+H1111</f>
        <v>45</v>
      </c>
      <c r="J1111">
        <f>100-G1111-H1111</f>
        <v>55</v>
      </c>
      <c r="K1111" t="s">
        <v>19</v>
      </c>
      <c r="L1111" t="s">
        <v>19</v>
      </c>
      <c r="M1111" t="s">
        <v>19</v>
      </c>
      <c r="N1111" t="s">
        <v>19</v>
      </c>
      <c r="O1111" t="s">
        <v>19</v>
      </c>
      <c r="P1111" t="s">
        <v>19</v>
      </c>
      <c r="Q1111">
        <f>I1111</f>
        <v>45</v>
      </c>
      <c r="R1111" t="s">
        <v>19</v>
      </c>
      <c r="S1111" t="s">
        <v>19</v>
      </c>
      <c r="T1111" t="s">
        <v>19</v>
      </c>
    </row>
    <row r="1112" spans="1:21" ht="15" customHeight="1" x14ac:dyDescent="0.25">
      <c r="A1112" s="2">
        <v>45253.563194444447</v>
      </c>
      <c r="B1112" t="s">
        <v>309</v>
      </c>
      <c r="C1112" t="s">
        <v>213</v>
      </c>
      <c r="D1112">
        <v>3</v>
      </c>
      <c r="E1112" t="s">
        <v>99</v>
      </c>
      <c r="F1112" t="s">
        <v>388</v>
      </c>
      <c r="G1112">
        <v>1.0273972600000001</v>
      </c>
      <c r="H1112">
        <v>61.301369860000001</v>
      </c>
      <c r="I1112">
        <v>62.328767120000002</v>
      </c>
      <c r="J1112">
        <v>37.671232879999998</v>
      </c>
      <c r="K1112">
        <v>0.8</v>
      </c>
      <c r="L1112">
        <v>0.2</v>
      </c>
      <c r="M1112">
        <v>0.7</v>
      </c>
      <c r="N1112">
        <v>220</v>
      </c>
      <c r="O1112">
        <v>6</v>
      </c>
      <c r="P1112">
        <v>358</v>
      </c>
      <c r="Q1112">
        <v>62.33</v>
      </c>
      <c r="R1112" t="s">
        <v>223</v>
      </c>
      <c r="S1112">
        <v>2.76</v>
      </c>
      <c r="T1112">
        <v>3.7</v>
      </c>
    </row>
    <row r="1113" spans="1:21" ht="15" customHeight="1" x14ac:dyDescent="0.25">
      <c r="A1113" s="2">
        <v>45253.84652777778</v>
      </c>
      <c r="B1113" t="s">
        <v>309</v>
      </c>
      <c r="C1113" t="s">
        <v>215</v>
      </c>
      <c r="D1113">
        <v>2</v>
      </c>
      <c r="E1113" t="s">
        <v>99</v>
      </c>
      <c r="F1113" t="s">
        <v>388</v>
      </c>
      <c r="G1113">
        <v>26.964560859999999</v>
      </c>
      <c r="H1113">
        <v>0</v>
      </c>
      <c r="I1113">
        <v>26.964560859999999</v>
      </c>
      <c r="J1113">
        <v>73.035439139999994</v>
      </c>
      <c r="K1113">
        <v>0.8</v>
      </c>
      <c r="L1113">
        <v>0.2</v>
      </c>
      <c r="M1113">
        <v>0.7</v>
      </c>
      <c r="N1113">
        <v>474</v>
      </c>
      <c r="O1113">
        <v>175</v>
      </c>
      <c r="P1113">
        <v>0</v>
      </c>
      <c r="Q1113">
        <v>26.96</v>
      </c>
      <c r="R1113" t="s">
        <v>226</v>
      </c>
      <c r="S1113">
        <v>0.67</v>
      </c>
      <c r="T1113">
        <v>0.74</v>
      </c>
    </row>
    <row r="1114" spans="1:21" ht="15" customHeight="1" x14ac:dyDescent="0.25">
      <c r="A1114" s="2">
        <v>45254.013888888891</v>
      </c>
      <c r="B1114" t="s">
        <v>309</v>
      </c>
      <c r="C1114" t="s">
        <v>217</v>
      </c>
      <c r="D1114">
        <v>2</v>
      </c>
      <c r="E1114" t="s">
        <v>99</v>
      </c>
      <c r="F1114" t="s">
        <v>388</v>
      </c>
      <c r="G1114">
        <v>33.383458650000001</v>
      </c>
      <c r="H1114">
        <v>0</v>
      </c>
      <c r="I1114">
        <v>33.383458650000001</v>
      </c>
      <c r="J1114">
        <v>66.616541350000006</v>
      </c>
      <c r="K1114">
        <v>0.8</v>
      </c>
      <c r="L1114">
        <v>0.2</v>
      </c>
      <c r="M1114">
        <v>0.7</v>
      </c>
      <c r="N1114">
        <v>443</v>
      </c>
      <c r="O1114">
        <v>222</v>
      </c>
      <c r="P1114">
        <v>0</v>
      </c>
      <c r="Q1114">
        <v>33.380000000000003</v>
      </c>
      <c r="R1114" t="s">
        <v>232</v>
      </c>
      <c r="S1114">
        <v>0.87</v>
      </c>
      <c r="T1114">
        <v>0.93</v>
      </c>
    </row>
    <row r="1115" spans="1:21" ht="15" customHeight="1" x14ac:dyDescent="0.25">
      <c r="A1115" s="2">
        <v>45316.525694444441</v>
      </c>
      <c r="B1115" t="s">
        <v>309</v>
      </c>
      <c r="C1115" t="s">
        <v>219</v>
      </c>
      <c r="D1115">
        <v>3</v>
      </c>
      <c r="E1115" t="s">
        <v>99</v>
      </c>
      <c r="F1115" t="s">
        <v>388</v>
      </c>
      <c r="G1115">
        <v>6.9324090119999999</v>
      </c>
      <c r="H1115">
        <v>63.258232239999998</v>
      </c>
      <c r="I1115">
        <v>70.190641249999999</v>
      </c>
      <c r="J1115">
        <v>29.809358750000001</v>
      </c>
      <c r="K1115">
        <v>0.8</v>
      </c>
      <c r="L1115">
        <v>0.2</v>
      </c>
      <c r="M1115">
        <v>0.7</v>
      </c>
      <c r="N1115">
        <v>172</v>
      </c>
      <c r="O1115">
        <v>40</v>
      </c>
      <c r="P1115">
        <v>365</v>
      </c>
      <c r="Q1115">
        <v>70.19</v>
      </c>
      <c r="R1115" t="s">
        <v>235</v>
      </c>
      <c r="S1115">
        <v>3.12</v>
      </c>
      <c r="T1115">
        <v>4.4000000000000004</v>
      </c>
    </row>
    <row r="1116" spans="1:21" ht="15" customHeight="1" x14ac:dyDescent="0.25">
      <c r="A1116" s="2">
        <v>45320.865277777775</v>
      </c>
      <c r="B1116" t="s">
        <v>309</v>
      </c>
      <c r="C1116" t="s">
        <v>221</v>
      </c>
      <c r="D1116">
        <v>2</v>
      </c>
      <c r="E1116" t="s">
        <v>99</v>
      </c>
      <c r="F1116" t="s">
        <v>388</v>
      </c>
      <c r="G1116">
        <v>80.030721970000002</v>
      </c>
      <c r="H1116">
        <v>0</v>
      </c>
      <c r="I1116">
        <v>80.030721970000002</v>
      </c>
      <c r="J1116">
        <v>19.969278030000002</v>
      </c>
      <c r="K1116">
        <v>0.8</v>
      </c>
      <c r="L1116">
        <v>0.3</v>
      </c>
      <c r="M1116">
        <v>0.7</v>
      </c>
      <c r="N1116">
        <v>130</v>
      </c>
      <c r="O1116">
        <v>521</v>
      </c>
      <c r="P1116">
        <v>0</v>
      </c>
      <c r="Q1116">
        <v>80.03</v>
      </c>
      <c r="R1116" t="s">
        <v>273</v>
      </c>
      <c r="S1116">
        <v>2.04</v>
      </c>
      <c r="T1116">
        <v>2.23</v>
      </c>
    </row>
    <row r="1117" spans="1:21" ht="15" customHeight="1" x14ac:dyDescent="0.25">
      <c r="A1117" t="s">
        <v>19</v>
      </c>
      <c r="B1117" t="s">
        <v>20</v>
      </c>
      <c r="C1117" t="s">
        <v>306</v>
      </c>
      <c r="D1117">
        <v>3</v>
      </c>
      <c r="E1117" t="s">
        <v>99</v>
      </c>
      <c r="F1117" t="s">
        <v>388</v>
      </c>
      <c r="G1117">
        <v>45</v>
      </c>
      <c r="H1117">
        <v>50</v>
      </c>
      <c r="I1117">
        <f>G1117+H1117</f>
        <v>95</v>
      </c>
      <c r="J1117">
        <f>100-G1117-H1117</f>
        <v>5</v>
      </c>
      <c r="K1117" t="s">
        <v>19</v>
      </c>
      <c r="L1117" t="s">
        <v>19</v>
      </c>
      <c r="M1117" t="s">
        <v>19</v>
      </c>
      <c r="N1117" t="s">
        <v>19</v>
      </c>
      <c r="O1117" t="s">
        <v>19</v>
      </c>
      <c r="P1117" t="s">
        <v>19</v>
      </c>
      <c r="Q1117">
        <f>I1117</f>
        <v>95</v>
      </c>
      <c r="R1117" t="s">
        <v>19</v>
      </c>
      <c r="S1117" t="s">
        <v>19</v>
      </c>
      <c r="T1117" t="s">
        <v>19</v>
      </c>
    </row>
    <row r="1118" spans="1:21" ht="15" customHeight="1" x14ac:dyDescent="0.25">
      <c r="A1118" t="s">
        <v>19</v>
      </c>
      <c r="B1118" t="s">
        <v>20</v>
      </c>
      <c r="C1118" t="s">
        <v>320</v>
      </c>
      <c r="D1118">
        <v>3</v>
      </c>
      <c r="E1118" t="s">
        <v>99</v>
      </c>
      <c r="F1118" t="s">
        <v>388</v>
      </c>
      <c r="G1118">
        <v>5</v>
      </c>
      <c r="H1118">
        <v>50</v>
      </c>
      <c r="I1118">
        <f>100-J1118</f>
        <v>55</v>
      </c>
      <c r="J1118">
        <f>100-G1118-H1118</f>
        <v>45</v>
      </c>
      <c r="K1118" t="s">
        <v>19</v>
      </c>
      <c r="L1118" t="s">
        <v>19</v>
      </c>
      <c r="M1118" t="s">
        <v>19</v>
      </c>
      <c r="N1118" t="s">
        <v>19</v>
      </c>
      <c r="O1118" t="s">
        <v>19</v>
      </c>
      <c r="P1118" t="s">
        <v>19</v>
      </c>
      <c r="Q1118">
        <f>I1118</f>
        <v>55</v>
      </c>
      <c r="R1118" t="s">
        <v>19</v>
      </c>
      <c r="S1118" t="s">
        <v>19</v>
      </c>
      <c r="T1118" t="s">
        <v>19</v>
      </c>
    </row>
    <row r="1119" spans="1:21" ht="15" customHeight="1" x14ac:dyDescent="0.25">
      <c r="A1119" s="2">
        <v>45323.571967592594</v>
      </c>
      <c r="B1119" t="s">
        <v>309</v>
      </c>
      <c r="C1119" t="s">
        <v>322</v>
      </c>
      <c r="D1119">
        <v>3</v>
      </c>
      <c r="E1119" t="s">
        <v>99</v>
      </c>
      <c r="F1119" t="s">
        <v>388</v>
      </c>
      <c r="G1119">
        <f t="shared" ref="G1119:G1127" si="5">(O1119/(N1119+O1119+P1119))*100</f>
        <v>14.308681672025724</v>
      </c>
      <c r="H1119">
        <f t="shared" ref="H1119:H1127" si="6">(P1119/(O1119+P1119+N1119))*100</f>
        <v>55.144694533762063</v>
      </c>
      <c r="I1119">
        <v>69.45</v>
      </c>
      <c r="J1119">
        <f t="shared" ref="J1119:J1127" si="7">(N1119/(P1119+O1119+N1119))*100</f>
        <v>30.54662379421222</v>
      </c>
      <c r="K1119">
        <v>0.8</v>
      </c>
      <c r="L1119">
        <v>0.3</v>
      </c>
      <c r="M1119">
        <v>0.7</v>
      </c>
      <c r="N1119">
        <v>190</v>
      </c>
      <c r="O1119">
        <v>89</v>
      </c>
      <c r="P1119">
        <v>343</v>
      </c>
      <c r="Q1119">
        <v>69.45</v>
      </c>
      <c r="R1119" t="s">
        <v>230</v>
      </c>
      <c r="S1119">
        <v>2.66</v>
      </c>
      <c r="T1119">
        <v>4.38</v>
      </c>
      <c r="U1119">
        <v>82</v>
      </c>
    </row>
    <row r="1120" spans="1:21" ht="15" customHeight="1" x14ac:dyDescent="0.25">
      <c r="A1120" s="2">
        <v>45323.569745370369</v>
      </c>
      <c r="B1120" t="s">
        <v>309</v>
      </c>
      <c r="C1120" t="s">
        <v>322</v>
      </c>
      <c r="D1120">
        <v>3</v>
      </c>
      <c r="E1120" t="s">
        <v>99</v>
      </c>
      <c r="F1120" t="s">
        <v>388</v>
      </c>
      <c r="G1120">
        <f t="shared" si="5"/>
        <v>16.848673946957877</v>
      </c>
      <c r="H1120">
        <f t="shared" si="6"/>
        <v>56.006240249609988</v>
      </c>
      <c r="I1120">
        <v>72.849999999999994</v>
      </c>
      <c r="J1120">
        <f t="shared" si="7"/>
        <v>27.145085803432139</v>
      </c>
      <c r="K1120">
        <v>0.7</v>
      </c>
      <c r="L1120">
        <v>0.3</v>
      </c>
      <c r="M1120">
        <v>0.7</v>
      </c>
      <c r="N1120">
        <v>174</v>
      </c>
      <c r="O1120">
        <v>108</v>
      </c>
      <c r="P1120">
        <v>359</v>
      </c>
      <c r="Q1120">
        <v>72.849999999999994</v>
      </c>
      <c r="R1120" t="s">
        <v>333</v>
      </c>
      <c r="S1120">
        <v>2.66</v>
      </c>
      <c r="T1120">
        <v>4.38</v>
      </c>
      <c r="U1120">
        <v>63</v>
      </c>
    </row>
    <row r="1121" spans="1:21" ht="15" customHeight="1" x14ac:dyDescent="0.25">
      <c r="A1121" s="2">
        <v>45324.99324074074</v>
      </c>
      <c r="B1121" t="s">
        <v>309</v>
      </c>
      <c r="C1121" t="s">
        <v>368</v>
      </c>
      <c r="D1121">
        <v>2</v>
      </c>
      <c r="E1121" t="s">
        <v>99</v>
      </c>
      <c r="F1121" t="s">
        <v>388</v>
      </c>
      <c r="G1121">
        <f t="shared" si="5"/>
        <v>81.873111782477338</v>
      </c>
      <c r="H1121">
        <f t="shared" si="6"/>
        <v>0</v>
      </c>
      <c r="I1121">
        <v>81.87</v>
      </c>
      <c r="J1121">
        <f t="shared" si="7"/>
        <v>18.126888217522659</v>
      </c>
      <c r="K1121">
        <v>0.8</v>
      </c>
      <c r="L1121">
        <v>0.3</v>
      </c>
      <c r="M1121">
        <v>0.7</v>
      </c>
      <c r="N1121">
        <v>120</v>
      </c>
      <c r="O1121">
        <v>542</v>
      </c>
      <c r="P1121">
        <v>0</v>
      </c>
      <c r="Q1121">
        <v>81.87</v>
      </c>
      <c r="R1121" t="s">
        <v>330</v>
      </c>
      <c r="S1121">
        <v>1.88</v>
      </c>
      <c r="T1121">
        <v>2.11</v>
      </c>
    </row>
    <row r="1122" spans="1:21" ht="15" customHeight="1" x14ac:dyDescent="0.25">
      <c r="A1122" s="2">
        <v>45323.573622685188</v>
      </c>
      <c r="B1122" t="s">
        <v>309</v>
      </c>
      <c r="C1122" t="s">
        <v>322</v>
      </c>
      <c r="D1122">
        <v>3</v>
      </c>
      <c r="E1122" t="s">
        <v>324</v>
      </c>
      <c r="F1122" t="s">
        <v>388</v>
      </c>
      <c r="G1122">
        <f t="shared" si="5"/>
        <v>13.957055214723926</v>
      </c>
      <c r="H1122">
        <f t="shared" si="6"/>
        <v>6.9018404907975466</v>
      </c>
      <c r="I1122">
        <v>20.86</v>
      </c>
      <c r="J1122">
        <f t="shared" si="7"/>
        <v>79.141104294478524</v>
      </c>
      <c r="K1122">
        <v>0.8</v>
      </c>
      <c r="L1122">
        <v>0.3</v>
      </c>
      <c r="M1122">
        <v>0.7</v>
      </c>
      <c r="N1122">
        <v>516</v>
      </c>
      <c r="O1122">
        <v>91</v>
      </c>
      <c r="P1122">
        <v>45</v>
      </c>
      <c r="Q1122">
        <v>20.86</v>
      </c>
      <c r="R1122" t="s">
        <v>354</v>
      </c>
      <c r="S1122">
        <v>2.59</v>
      </c>
      <c r="T1122">
        <v>3.18</v>
      </c>
      <c r="U1122">
        <v>83</v>
      </c>
    </row>
    <row r="1123" spans="1:21" ht="15" customHeight="1" x14ac:dyDescent="0.25">
      <c r="A1123" s="2">
        <v>45323.571469907409</v>
      </c>
      <c r="B1123" t="s">
        <v>309</v>
      </c>
      <c r="C1123" t="s">
        <v>322</v>
      </c>
      <c r="D1123">
        <v>3</v>
      </c>
      <c r="E1123" t="s">
        <v>324</v>
      </c>
      <c r="F1123" t="s">
        <v>388</v>
      </c>
      <c r="G1123">
        <f t="shared" si="5"/>
        <v>15.765765765765765</v>
      </c>
      <c r="H1123">
        <f t="shared" si="6"/>
        <v>8.408408408408409</v>
      </c>
      <c r="I1123">
        <v>24.17</v>
      </c>
      <c r="J1123">
        <f t="shared" si="7"/>
        <v>75.825825825825817</v>
      </c>
      <c r="K1123">
        <v>0.7</v>
      </c>
      <c r="L1123">
        <v>0.3</v>
      </c>
      <c r="M1123">
        <v>0.7</v>
      </c>
      <c r="N1123">
        <v>505</v>
      </c>
      <c r="O1123">
        <v>105</v>
      </c>
      <c r="P1123">
        <v>56</v>
      </c>
      <c r="Q1123">
        <v>24.17</v>
      </c>
      <c r="R1123" t="s">
        <v>341</v>
      </c>
      <c r="S1123">
        <v>2.59</v>
      </c>
      <c r="T1123">
        <v>3.18</v>
      </c>
      <c r="U1123">
        <v>69</v>
      </c>
    </row>
    <row r="1124" spans="1:21" ht="15" customHeight="1" x14ac:dyDescent="0.25">
      <c r="A1124" s="2">
        <v>45324.994884259257</v>
      </c>
      <c r="B1124" t="s">
        <v>309</v>
      </c>
      <c r="C1124" t="s">
        <v>368</v>
      </c>
      <c r="D1124">
        <v>2</v>
      </c>
      <c r="E1124" t="s">
        <v>324</v>
      </c>
      <c r="F1124" t="s">
        <v>388</v>
      </c>
      <c r="G1124">
        <f t="shared" si="5"/>
        <v>26.194144838212637</v>
      </c>
      <c r="H1124">
        <f t="shared" si="6"/>
        <v>0</v>
      </c>
      <c r="I1124">
        <v>26.19</v>
      </c>
      <c r="J1124">
        <f t="shared" si="7"/>
        <v>73.805855161787377</v>
      </c>
      <c r="K1124">
        <v>0.8</v>
      </c>
      <c r="L1124">
        <v>0.3</v>
      </c>
      <c r="M1124">
        <v>0.7</v>
      </c>
      <c r="N1124">
        <v>479</v>
      </c>
      <c r="O1124">
        <v>170</v>
      </c>
      <c r="P1124">
        <v>0</v>
      </c>
      <c r="Q1124">
        <v>26.19</v>
      </c>
      <c r="R1124" t="s">
        <v>279</v>
      </c>
      <c r="S1124">
        <v>0.74</v>
      </c>
      <c r="T1124">
        <v>0.8</v>
      </c>
    </row>
    <row r="1125" spans="1:21" ht="15" customHeight="1" x14ac:dyDescent="0.25">
      <c r="A1125" s="2">
        <v>45323.573344907411</v>
      </c>
      <c r="B1125" t="s">
        <v>309</v>
      </c>
      <c r="C1125" t="s">
        <v>322</v>
      </c>
      <c r="D1125">
        <v>3</v>
      </c>
      <c r="E1125" t="s">
        <v>324</v>
      </c>
      <c r="F1125" t="s">
        <v>373</v>
      </c>
      <c r="G1125">
        <f t="shared" si="5"/>
        <v>22.512234910277325</v>
      </c>
      <c r="H1125">
        <f t="shared" si="6"/>
        <v>0.32626427406199021</v>
      </c>
      <c r="I1125">
        <f>((O1125+P1125)/(P1125+O1125+N1125))*100</f>
        <v>22.838499184339316</v>
      </c>
      <c r="J1125">
        <f t="shared" si="7"/>
        <v>77.161500815660688</v>
      </c>
      <c r="K1125">
        <v>0.8</v>
      </c>
      <c r="L1125">
        <v>0.3</v>
      </c>
      <c r="M1125">
        <v>0.7</v>
      </c>
      <c r="N1125">
        <v>473</v>
      </c>
      <c r="O1125">
        <v>138</v>
      </c>
      <c r="P1125">
        <v>2</v>
      </c>
      <c r="Q1125">
        <v>22.84</v>
      </c>
      <c r="R1125" t="s">
        <v>342</v>
      </c>
      <c r="S1125">
        <v>2.75</v>
      </c>
      <c r="T1125">
        <v>3.06</v>
      </c>
      <c r="U1125">
        <v>110</v>
      </c>
    </row>
    <row r="1126" spans="1:21" ht="15" customHeight="1" x14ac:dyDescent="0.25">
      <c r="A1126" s="2">
        <v>45323.576099537036</v>
      </c>
      <c r="B1126" t="s">
        <v>309</v>
      </c>
      <c r="C1126" t="s">
        <v>322</v>
      </c>
      <c r="D1126">
        <v>3</v>
      </c>
      <c r="E1126" t="s">
        <v>324</v>
      </c>
      <c r="F1126" t="s">
        <v>373</v>
      </c>
      <c r="G1126">
        <f t="shared" si="5"/>
        <v>25.196850393700785</v>
      </c>
      <c r="H1126">
        <f t="shared" si="6"/>
        <v>0.31496062992125984</v>
      </c>
      <c r="I1126">
        <f>((O1126+P1126)/(P1126+O1126+N1126))*100</f>
        <v>25.511811023622048</v>
      </c>
      <c r="J1126">
        <f t="shared" si="7"/>
        <v>74.488188976377955</v>
      </c>
      <c r="K1126">
        <v>0.7</v>
      </c>
      <c r="L1126">
        <v>0.3</v>
      </c>
      <c r="M1126">
        <v>0.7</v>
      </c>
      <c r="N1126">
        <v>473</v>
      </c>
      <c r="O1126">
        <v>160</v>
      </c>
      <c r="P1126">
        <v>2</v>
      </c>
      <c r="Q1126">
        <v>25.51</v>
      </c>
      <c r="R1126" t="s">
        <v>349</v>
      </c>
      <c r="S1126">
        <v>2.75</v>
      </c>
      <c r="T1126">
        <v>3.06</v>
      </c>
      <c r="U1126">
        <v>88</v>
      </c>
    </row>
    <row r="1127" spans="1:21" ht="15" customHeight="1" x14ac:dyDescent="0.25">
      <c r="A1127" s="2">
        <v>45325.144525462965</v>
      </c>
      <c r="B1127" t="s">
        <v>309</v>
      </c>
      <c r="C1127" t="s">
        <v>368</v>
      </c>
      <c r="D1127">
        <v>2</v>
      </c>
      <c r="E1127" t="s">
        <v>324</v>
      </c>
      <c r="F1127" t="s">
        <v>373</v>
      </c>
      <c r="G1127">
        <f t="shared" si="5"/>
        <v>29.818780889621088</v>
      </c>
      <c r="H1127">
        <f t="shared" si="6"/>
        <v>0</v>
      </c>
      <c r="I1127">
        <v>29.82</v>
      </c>
      <c r="J1127">
        <f t="shared" si="7"/>
        <v>70.181219110378919</v>
      </c>
      <c r="K1127">
        <v>0.8</v>
      </c>
      <c r="L1127">
        <v>0.3</v>
      </c>
      <c r="M1127">
        <v>0.7</v>
      </c>
      <c r="N1127">
        <v>426</v>
      </c>
      <c r="O1127">
        <v>181</v>
      </c>
      <c r="P1127">
        <v>0</v>
      </c>
      <c r="Q1127">
        <v>29.82</v>
      </c>
      <c r="R1127" t="s">
        <v>248</v>
      </c>
      <c r="S1127">
        <v>0.9</v>
      </c>
      <c r="T1127">
        <v>0.95</v>
      </c>
    </row>
    <row r="1128" spans="1:21" ht="15" customHeight="1" x14ac:dyDescent="0.25">
      <c r="A1128" t="s">
        <v>19</v>
      </c>
      <c r="B1128" t="s">
        <v>20</v>
      </c>
      <c r="C1128" t="s">
        <v>308</v>
      </c>
      <c r="D1128">
        <v>3</v>
      </c>
      <c r="E1128" t="s">
        <v>312</v>
      </c>
      <c r="F1128" t="s">
        <v>388</v>
      </c>
      <c r="G1128">
        <v>5</v>
      </c>
      <c r="H1128">
        <v>15</v>
      </c>
      <c r="I1128">
        <f>G1128+H1128</f>
        <v>20</v>
      </c>
      <c r="J1128">
        <f>100-G1128-H1128</f>
        <v>80</v>
      </c>
      <c r="K1128" t="s">
        <v>19</v>
      </c>
      <c r="L1128" t="s">
        <v>19</v>
      </c>
      <c r="M1128" t="s">
        <v>19</v>
      </c>
      <c r="N1128" t="s">
        <v>19</v>
      </c>
      <c r="O1128" t="s">
        <v>19</v>
      </c>
      <c r="P1128" t="s">
        <v>19</v>
      </c>
      <c r="Q1128">
        <f>I1128</f>
        <v>20</v>
      </c>
      <c r="R1128" t="s">
        <v>19</v>
      </c>
      <c r="S1128" t="s">
        <v>19</v>
      </c>
      <c r="T1128" t="s">
        <v>19</v>
      </c>
    </row>
    <row r="1129" spans="1:21" ht="15" customHeight="1" x14ac:dyDescent="0.25">
      <c r="A1129" t="s">
        <v>19</v>
      </c>
      <c r="B1129" t="s">
        <v>20</v>
      </c>
      <c r="C1129" t="s">
        <v>22</v>
      </c>
      <c r="D1129">
        <v>3</v>
      </c>
      <c r="E1129" t="s">
        <v>312</v>
      </c>
      <c r="F1129" t="s">
        <v>388</v>
      </c>
      <c r="G1129">
        <v>20</v>
      </c>
      <c r="H1129">
        <v>5</v>
      </c>
      <c r="I1129">
        <f>G1129+H1129</f>
        <v>25</v>
      </c>
      <c r="J1129">
        <f>100-G1129-H1129</f>
        <v>75</v>
      </c>
      <c r="K1129" t="s">
        <v>19</v>
      </c>
      <c r="L1129" t="s">
        <v>19</v>
      </c>
      <c r="M1129" t="s">
        <v>19</v>
      </c>
      <c r="N1129" t="s">
        <v>19</v>
      </c>
      <c r="O1129" t="s">
        <v>19</v>
      </c>
      <c r="P1129" t="s">
        <v>19</v>
      </c>
      <c r="Q1129">
        <f>I1129</f>
        <v>25</v>
      </c>
      <c r="R1129" t="s">
        <v>19</v>
      </c>
      <c r="S1129" t="s">
        <v>19</v>
      </c>
      <c r="T1129" t="s">
        <v>19</v>
      </c>
    </row>
    <row r="1130" spans="1:21" ht="15" customHeight="1" x14ac:dyDescent="0.25">
      <c r="A1130" t="s">
        <v>19</v>
      </c>
      <c r="B1130" t="s">
        <v>20</v>
      </c>
      <c r="C1130" t="s">
        <v>305</v>
      </c>
      <c r="D1130">
        <v>3</v>
      </c>
      <c r="E1130" t="s">
        <v>312</v>
      </c>
      <c r="F1130" t="s">
        <v>388</v>
      </c>
      <c r="G1130">
        <v>15</v>
      </c>
      <c r="H1130">
        <v>10</v>
      </c>
      <c r="I1130">
        <f>G1130+H1130</f>
        <v>25</v>
      </c>
      <c r="J1130">
        <f>100-G1130-H1130</f>
        <v>75</v>
      </c>
      <c r="K1130" t="s">
        <v>19</v>
      </c>
      <c r="L1130" t="s">
        <v>19</v>
      </c>
      <c r="M1130" t="s">
        <v>19</v>
      </c>
      <c r="N1130" t="s">
        <v>19</v>
      </c>
      <c r="O1130" t="s">
        <v>19</v>
      </c>
      <c r="P1130" t="s">
        <v>19</v>
      </c>
      <c r="Q1130">
        <f>I1130</f>
        <v>25</v>
      </c>
      <c r="R1130" t="s">
        <v>19</v>
      </c>
      <c r="S1130" t="s">
        <v>19</v>
      </c>
      <c r="T1130" t="s">
        <v>19</v>
      </c>
    </row>
    <row r="1131" spans="1:21" ht="15" customHeight="1" x14ac:dyDescent="0.25">
      <c r="A1131" t="s">
        <v>19</v>
      </c>
      <c r="B1131" t="s">
        <v>20</v>
      </c>
      <c r="C1131" t="s">
        <v>307</v>
      </c>
      <c r="D1131">
        <v>3</v>
      </c>
      <c r="E1131" t="s">
        <v>312</v>
      </c>
      <c r="F1131" t="s">
        <v>388</v>
      </c>
      <c r="G1131">
        <v>6</v>
      </c>
      <c r="H1131">
        <v>2</v>
      </c>
      <c r="I1131">
        <f>G1131+H1131</f>
        <v>8</v>
      </c>
      <c r="J1131">
        <f>100-G1131-H1131</f>
        <v>92</v>
      </c>
      <c r="K1131" t="s">
        <v>19</v>
      </c>
      <c r="L1131" t="s">
        <v>19</v>
      </c>
      <c r="M1131" t="s">
        <v>19</v>
      </c>
      <c r="N1131" t="s">
        <v>19</v>
      </c>
      <c r="O1131" t="s">
        <v>19</v>
      </c>
      <c r="P1131" t="s">
        <v>19</v>
      </c>
      <c r="Q1131">
        <f>I1131</f>
        <v>8</v>
      </c>
      <c r="R1131" t="s">
        <v>19</v>
      </c>
      <c r="S1131" t="s">
        <v>19</v>
      </c>
      <c r="T1131" t="s">
        <v>19</v>
      </c>
    </row>
    <row r="1132" spans="1:21" ht="15" customHeight="1" x14ac:dyDescent="0.25">
      <c r="A1132" s="2">
        <v>45253.564583333333</v>
      </c>
      <c r="B1132" t="s">
        <v>309</v>
      </c>
      <c r="C1132" t="s">
        <v>213</v>
      </c>
      <c r="D1132">
        <v>3</v>
      </c>
      <c r="E1132" t="s">
        <v>312</v>
      </c>
      <c r="F1132" t="s">
        <v>388</v>
      </c>
      <c r="G1132">
        <v>9.1883614090000005</v>
      </c>
      <c r="H1132">
        <v>12.4042879</v>
      </c>
      <c r="I1132">
        <v>21.592649309999999</v>
      </c>
      <c r="J1132">
        <v>78.407350690000001</v>
      </c>
      <c r="K1132">
        <v>0.8</v>
      </c>
      <c r="L1132">
        <v>0.2</v>
      </c>
      <c r="M1132">
        <v>0.7</v>
      </c>
      <c r="N1132">
        <v>512</v>
      </c>
      <c r="O1132">
        <v>60</v>
      </c>
      <c r="P1132">
        <v>81</v>
      </c>
      <c r="Q1132">
        <v>21.59</v>
      </c>
      <c r="R1132" t="s">
        <v>236</v>
      </c>
      <c r="S1132">
        <v>2.75</v>
      </c>
      <c r="T1132">
        <v>2.99</v>
      </c>
    </row>
    <row r="1133" spans="1:21" ht="15" customHeight="1" x14ac:dyDescent="0.25">
      <c r="A1133" s="2">
        <v>45253.847222222219</v>
      </c>
      <c r="B1133" t="s">
        <v>309</v>
      </c>
      <c r="C1133" t="s">
        <v>215</v>
      </c>
      <c r="D1133">
        <v>2</v>
      </c>
      <c r="E1133" t="s">
        <v>312</v>
      </c>
      <c r="F1133" t="s">
        <v>388</v>
      </c>
      <c r="G1133">
        <v>28.046989719999999</v>
      </c>
      <c r="H1133">
        <v>0</v>
      </c>
      <c r="I1133">
        <v>28.046989719999999</v>
      </c>
      <c r="J1133">
        <v>71.953010280000001</v>
      </c>
      <c r="K1133">
        <v>0.8</v>
      </c>
      <c r="L1133">
        <v>0.2</v>
      </c>
      <c r="M1133">
        <v>0.7</v>
      </c>
      <c r="N1133">
        <v>490</v>
      </c>
      <c r="O1133">
        <v>191</v>
      </c>
      <c r="P1133">
        <v>0</v>
      </c>
      <c r="Q1133">
        <v>28.05</v>
      </c>
      <c r="R1133" t="s">
        <v>225</v>
      </c>
      <c r="S1133">
        <v>0.65</v>
      </c>
      <c r="T1133">
        <v>0.7</v>
      </c>
    </row>
    <row r="1134" spans="1:21" ht="15" customHeight="1" x14ac:dyDescent="0.25">
      <c r="A1134" s="2">
        <v>45254.01458333333</v>
      </c>
      <c r="B1134" t="s">
        <v>309</v>
      </c>
      <c r="C1134" t="s">
        <v>217</v>
      </c>
      <c r="D1134">
        <v>2</v>
      </c>
      <c r="E1134" t="s">
        <v>312</v>
      </c>
      <c r="F1134" t="s">
        <v>388</v>
      </c>
      <c r="G1134">
        <v>29.737609330000002</v>
      </c>
      <c r="H1134">
        <v>0</v>
      </c>
      <c r="I1134">
        <v>29.737609330000002</v>
      </c>
      <c r="J1134">
        <v>70.262390670000002</v>
      </c>
      <c r="K1134">
        <v>0.8</v>
      </c>
      <c r="L1134">
        <v>0.2</v>
      </c>
      <c r="M1134">
        <v>0.7</v>
      </c>
      <c r="N1134">
        <v>482</v>
      </c>
      <c r="O1134">
        <v>204</v>
      </c>
      <c r="P1134">
        <v>0</v>
      </c>
      <c r="Q1134">
        <v>29.74</v>
      </c>
      <c r="R1134" t="s">
        <v>222</v>
      </c>
      <c r="S1134">
        <v>0.79</v>
      </c>
      <c r="T1134">
        <v>0.85</v>
      </c>
    </row>
    <row r="1135" spans="1:21" ht="15" customHeight="1" x14ac:dyDescent="0.25">
      <c r="A1135" s="2">
        <v>45316.526388888888</v>
      </c>
      <c r="B1135" t="s">
        <v>309</v>
      </c>
      <c r="C1135" t="s">
        <v>219</v>
      </c>
      <c r="D1135">
        <v>3</v>
      </c>
      <c r="E1135" t="s">
        <v>312</v>
      </c>
      <c r="F1135" t="s">
        <v>388</v>
      </c>
      <c r="G1135">
        <v>4.9822064060000004</v>
      </c>
      <c r="H1135">
        <v>14.0569395</v>
      </c>
      <c r="I1135">
        <v>19.039145909999998</v>
      </c>
      <c r="J1135">
        <v>80.960854089999998</v>
      </c>
      <c r="K1135">
        <v>0.8</v>
      </c>
      <c r="L1135">
        <v>0.2</v>
      </c>
      <c r="M1135">
        <v>0.7</v>
      </c>
      <c r="N1135">
        <v>455</v>
      </c>
      <c r="O1135">
        <v>28</v>
      </c>
      <c r="P1135">
        <v>79</v>
      </c>
      <c r="Q1135">
        <v>19.04</v>
      </c>
      <c r="R1135" t="s">
        <v>220</v>
      </c>
      <c r="S1135">
        <v>3.1</v>
      </c>
      <c r="T1135">
        <v>4.51</v>
      </c>
    </row>
    <row r="1136" spans="1:21" ht="15" customHeight="1" x14ac:dyDescent="0.25">
      <c r="A1136" s="2">
        <v>45320.865972222222</v>
      </c>
      <c r="B1136" t="s">
        <v>309</v>
      </c>
      <c r="C1136" t="s">
        <v>221</v>
      </c>
      <c r="D1136">
        <v>2</v>
      </c>
      <c r="E1136" t="s">
        <v>312</v>
      </c>
      <c r="F1136" t="s">
        <v>388</v>
      </c>
      <c r="G1136">
        <v>24.68553459</v>
      </c>
      <c r="H1136">
        <v>0</v>
      </c>
      <c r="I1136">
        <v>24.68553459</v>
      </c>
      <c r="J1136">
        <v>75.314465409999997</v>
      </c>
      <c r="K1136">
        <v>0.8</v>
      </c>
      <c r="L1136">
        <v>0.3</v>
      </c>
      <c r="M1136">
        <v>0.7</v>
      </c>
      <c r="N1136">
        <v>479</v>
      </c>
      <c r="O1136">
        <v>157</v>
      </c>
      <c r="P1136">
        <v>0</v>
      </c>
      <c r="Q1136">
        <v>24.69</v>
      </c>
      <c r="R1136" t="s">
        <v>229</v>
      </c>
      <c r="S1136">
        <v>0.76</v>
      </c>
      <c r="T1136">
        <v>0.8</v>
      </c>
    </row>
    <row r="1137" spans="1:20" ht="15" customHeight="1" x14ac:dyDescent="0.25">
      <c r="A1137" t="s">
        <v>19</v>
      </c>
      <c r="B1137" t="s">
        <v>20</v>
      </c>
      <c r="C1137" t="s">
        <v>306</v>
      </c>
      <c r="D1137">
        <v>3</v>
      </c>
      <c r="E1137" t="s">
        <v>312</v>
      </c>
      <c r="F1137" t="s">
        <v>388</v>
      </c>
      <c r="G1137">
        <v>45</v>
      </c>
      <c r="H1137">
        <v>15</v>
      </c>
      <c r="I1137">
        <v>70</v>
      </c>
      <c r="J1137">
        <v>30</v>
      </c>
      <c r="K1137" t="s">
        <v>19</v>
      </c>
      <c r="L1137" t="s">
        <v>19</v>
      </c>
      <c r="M1137" t="s">
        <v>19</v>
      </c>
      <c r="N1137" t="s">
        <v>19</v>
      </c>
      <c r="O1137" t="s">
        <v>19</v>
      </c>
      <c r="P1137" t="s">
        <v>19</v>
      </c>
      <c r="Q1137">
        <f t="shared" ref="Q1137:Q1143" si="8">I1137</f>
        <v>70</v>
      </c>
      <c r="R1137" t="s">
        <v>19</v>
      </c>
      <c r="S1137" t="s">
        <v>19</v>
      </c>
      <c r="T1137" t="s">
        <v>19</v>
      </c>
    </row>
    <row r="1138" spans="1:20" ht="15" customHeight="1" x14ac:dyDescent="0.25">
      <c r="A1138" t="s">
        <v>19</v>
      </c>
      <c r="B1138" t="s">
        <v>20</v>
      </c>
      <c r="C1138" t="s">
        <v>320</v>
      </c>
      <c r="D1138">
        <v>3</v>
      </c>
      <c r="E1138" t="s">
        <v>312</v>
      </c>
      <c r="F1138" t="s">
        <v>388</v>
      </c>
      <c r="G1138">
        <v>10</v>
      </c>
      <c r="H1138">
        <v>10</v>
      </c>
      <c r="I1138">
        <f>100-J1138</f>
        <v>20</v>
      </c>
      <c r="J1138">
        <f t="shared" ref="J1138:J1143" si="9">100-G1138-H1138</f>
        <v>80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  <c r="P1138" t="s">
        <v>19</v>
      </c>
      <c r="Q1138">
        <f t="shared" si="8"/>
        <v>20</v>
      </c>
      <c r="R1138" t="s">
        <v>19</v>
      </c>
      <c r="S1138" t="s">
        <v>19</v>
      </c>
      <c r="T1138" t="s">
        <v>19</v>
      </c>
    </row>
    <row r="1139" spans="1:20" ht="15" customHeight="1" x14ac:dyDescent="0.25">
      <c r="A1139" t="s">
        <v>19</v>
      </c>
      <c r="B1139" t="s">
        <v>20</v>
      </c>
      <c r="C1139" t="s">
        <v>306</v>
      </c>
      <c r="D1139">
        <v>3</v>
      </c>
      <c r="E1139" t="s">
        <v>313</v>
      </c>
      <c r="F1139" t="s">
        <v>373</v>
      </c>
      <c r="G1139">
        <v>37</v>
      </c>
      <c r="H1139">
        <v>3</v>
      </c>
      <c r="I1139">
        <f>G1139+H1139</f>
        <v>40</v>
      </c>
      <c r="J1139">
        <f t="shared" si="9"/>
        <v>60</v>
      </c>
      <c r="K1139" t="s">
        <v>19</v>
      </c>
      <c r="L1139" t="s">
        <v>19</v>
      </c>
      <c r="M1139" t="s">
        <v>19</v>
      </c>
      <c r="N1139" t="s">
        <v>19</v>
      </c>
      <c r="O1139" t="s">
        <v>19</v>
      </c>
      <c r="P1139" t="s">
        <v>19</v>
      </c>
      <c r="Q1139">
        <f t="shared" si="8"/>
        <v>40</v>
      </c>
      <c r="R1139" t="s">
        <v>19</v>
      </c>
      <c r="S1139" t="s">
        <v>19</v>
      </c>
      <c r="T1139" t="s">
        <v>19</v>
      </c>
    </row>
    <row r="1140" spans="1:20" ht="15" customHeight="1" x14ac:dyDescent="0.25">
      <c r="A1140" t="s">
        <v>19</v>
      </c>
      <c r="B1140" t="s">
        <v>20</v>
      </c>
      <c r="C1140" t="s">
        <v>308</v>
      </c>
      <c r="D1140">
        <v>3</v>
      </c>
      <c r="E1140" t="s">
        <v>313</v>
      </c>
      <c r="F1140" t="s">
        <v>373</v>
      </c>
      <c r="G1140">
        <v>18</v>
      </c>
      <c r="H1140">
        <v>1</v>
      </c>
      <c r="I1140">
        <f>G1140+H1140</f>
        <v>19</v>
      </c>
      <c r="J1140">
        <f t="shared" si="9"/>
        <v>81</v>
      </c>
      <c r="K1140" t="s">
        <v>19</v>
      </c>
      <c r="L1140" t="s">
        <v>19</v>
      </c>
      <c r="M1140" t="s">
        <v>19</v>
      </c>
      <c r="N1140" t="s">
        <v>19</v>
      </c>
      <c r="O1140" t="s">
        <v>19</v>
      </c>
      <c r="P1140" t="s">
        <v>19</v>
      </c>
      <c r="Q1140">
        <f t="shared" si="8"/>
        <v>19</v>
      </c>
      <c r="R1140" t="s">
        <v>19</v>
      </c>
      <c r="S1140" t="s">
        <v>19</v>
      </c>
      <c r="T1140" t="s">
        <v>19</v>
      </c>
    </row>
    <row r="1141" spans="1:20" ht="15" customHeight="1" x14ac:dyDescent="0.25">
      <c r="A1141" t="s">
        <v>19</v>
      </c>
      <c r="B1141" t="s">
        <v>20</v>
      </c>
      <c r="C1141" t="s">
        <v>22</v>
      </c>
      <c r="D1141">
        <v>3</v>
      </c>
      <c r="E1141" t="s">
        <v>313</v>
      </c>
      <c r="F1141" t="s">
        <v>373</v>
      </c>
      <c r="G1141">
        <v>50</v>
      </c>
      <c r="H1141">
        <v>0</v>
      </c>
      <c r="I1141">
        <f>G1141+H1141</f>
        <v>50</v>
      </c>
      <c r="J1141">
        <f t="shared" si="9"/>
        <v>50</v>
      </c>
      <c r="K1141" t="s">
        <v>19</v>
      </c>
      <c r="L1141" t="s">
        <v>19</v>
      </c>
      <c r="M1141" t="s">
        <v>19</v>
      </c>
      <c r="N1141" t="s">
        <v>19</v>
      </c>
      <c r="O1141" t="s">
        <v>19</v>
      </c>
      <c r="P1141" t="s">
        <v>19</v>
      </c>
      <c r="Q1141">
        <f t="shared" si="8"/>
        <v>50</v>
      </c>
      <c r="R1141" t="s">
        <v>19</v>
      </c>
      <c r="S1141" t="s">
        <v>19</v>
      </c>
      <c r="T1141" t="s">
        <v>19</v>
      </c>
    </row>
    <row r="1142" spans="1:20" ht="15" customHeight="1" x14ac:dyDescent="0.25">
      <c r="A1142" t="s">
        <v>19</v>
      </c>
      <c r="B1142" t="s">
        <v>20</v>
      </c>
      <c r="C1142" t="s">
        <v>305</v>
      </c>
      <c r="D1142">
        <v>3</v>
      </c>
      <c r="E1142" t="s">
        <v>313</v>
      </c>
      <c r="F1142" t="s">
        <v>373</v>
      </c>
      <c r="G1142">
        <v>15</v>
      </c>
      <c r="H1142">
        <v>1</v>
      </c>
      <c r="I1142">
        <f>G1142+H1142</f>
        <v>16</v>
      </c>
      <c r="J1142">
        <f t="shared" si="9"/>
        <v>84</v>
      </c>
      <c r="K1142" t="s">
        <v>19</v>
      </c>
      <c r="L1142" t="s">
        <v>19</v>
      </c>
      <c r="M1142" t="s">
        <v>19</v>
      </c>
      <c r="N1142" t="s">
        <v>19</v>
      </c>
      <c r="O1142" t="s">
        <v>19</v>
      </c>
      <c r="P1142" t="s">
        <v>19</v>
      </c>
      <c r="Q1142">
        <f t="shared" si="8"/>
        <v>16</v>
      </c>
      <c r="R1142" t="s">
        <v>19</v>
      </c>
      <c r="S1142" t="s">
        <v>19</v>
      </c>
      <c r="T1142" t="s">
        <v>19</v>
      </c>
    </row>
    <row r="1143" spans="1:20" ht="15" customHeight="1" x14ac:dyDescent="0.25">
      <c r="A1143" t="s">
        <v>19</v>
      </c>
      <c r="B1143" t="s">
        <v>20</v>
      </c>
      <c r="C1143" t="s">
        <v>307</v>
      </c>
      <c r="D1143">
        <v>3</v>
      </c>
      <c r="E1143" t="s">
        <v>313</v>
      </c>
      <c r="F1143" t="s">
        <v>373</v>
      </c>
      <c r="G1143">
        <v>6</v>
      </c>
      <c r="H1143">
        <v>2</v>
      </c>
      <c r="I1143">
        <f>G1143+H1143</f>
        <v>8</v>
      </c>
      <c r="J1143">
        <f t="shared" si="9"/>
        <v>92</v>
      </c>
      <c r="K1143" t="s">
        <v>19</v>
      </c>
      <c r="L1143" t="s">
        <v>19</v>
      </c>
      <c r="M1143" t="s">
        <v>19</v>
      </c>
      <c r="N1143" t="s">
        <v>19</v>
      </c>
      <c r="O1143" t="s">
        <v>19</v>
      </c>
      <c r="P1143" t="s">
        <v>19</v>
      </c>
      <c r="Q1143">
        <f t="shared" si="8"/>
        <v>8</v>
      </c>
      <c r="R1143" t="s">
        <v>19</v>
      </c>
      <c r="S1143" t="s">
        <v>19</v>
      </c>
      <c r="T1143" t="s">
        <v>19</v>
      </c>
    </row>
    <row r="1144" spans="1:20" ht="15" customHeight="1" x14ac:dyDescent="0.25">
      <c r="A1144" s="2">
        <v>45253.728472222225</v>
      </c>
      <c r="B1144" t="s">
        <v>309</v>
      </c>
      <c r="C1144" t="s">
        <v>213</v>
      </c>
      <c r="D1144">
        <v>3</v>
      </c>
      <c r="E1144" t="s">
        <v>313</v>
      </c>
      <c r="F1144" t="s">
        <v>373</v>
      </c>
      <c r="G1144">
        <v>21.875</v>
      </c>
      <c r="H1144">
        <v>0</v>
      </c>
      <c r="I1144">
        <v>21.875</v>
      </c>
      <c r="J1144">
        <v>78.125</v>
      </c>
      <c r="K1144">
        <v>0.8</v>
      </c>
      <c r="L1144">
        <v>0.2</v>
      </c>
      <c r="M1144">
        <v>0.7</v>
      </c>
      <c r="N1144">
        <v>450</v>
      </c>
      <c r="O1144">
        <v>126</v>
      </c>
      <c r="P1144">
        <v>0</v>
      </c>
      <c r="Q1144">
        <v>21.88</v>
      </c>
      <c r="R1144" t="s">
        <v>240</v>
      </c>
      <c r="S1144">
        <v>2.92</v>
      </c>
      <c r="T1144">
        <v>3.21</v>
      </c>
    </row>
    <row r="1145" spans="1:20" ht="15" customHeight="1" x14ac:dyDescent="0.25">
      <c r="A1145" s="2">
        <v>45253.934027777781</v>
      </c>
      <c r="B1145" t="s">
        <v>309</v>
      </c>
      <c r="C1145" t="s">
        <v>215</v>
      </c>
      <c r="D1145">
        <v>2</v>
      </c>
      <c r="E1145" t="s">
        <v>313</v>
      </c>
      <c r="F1145" t="s">
        <v>373</v>
      </c>
      <c r="G1145">
        <v>2.1459227470000002</v>
      </c>
      <c r="H1145">
        <v>0</v>
      </c>
      <c r="I1145">
        <v>2.1459227470000002</v>
      </c>
      <c r="J1145">
        <v>97.854077250000003</v>
      </c>
      <c r="K1145">
        <v>0.8</v>
      </c>
      <c r="L1145">
        <v>0.2</v>
      </c>
      <c r="M1145">
        <v>0.7</v>
      </c>
      <c r="N1145">
        <v>684</v>
      </c>
      <c r="O1145">
        <v>15</v>
      </c>
      <c r="P1145">
        <v>0</v>
      </c>
      <c r="Q1145">
        <v>2.15</v>
      </c>
      <c r="R1145" t="s">
        <v>243</v>
      </c>
      <c r="S1145">
        <v>0.11</v>
      </c>
      <c r="T1145">
        <v>0.12</v>
      </c>
    </row>
    <row r="1146" spans="1:20" ht="15" customHeight="1" x14ac:dyDescent="0.25">
      <c r="A1146" s="2">
        <v>45254.10833333333</v>
      </c>
      <c r="B1146" t="s">
        <v>309</v>
      </c>
      <c r="C1146" t="s">
        <v>217</v>
      </c>
      <c r="D1146">
        <v>2</v>
      </c>
      <c r="E1146" t="s">
        <v>313</v>
      </c>
      <c r="F1146" t="s">
        <v>373</v>
      </c>
      <c r="G1146">
        <v>8.8791848620000007</v>
      </c>
      <c r="H1146">
        <v>0</v>
      </c>
      <c r="I1146">
        <v>8.8791848620000007</v>
      </c>
      <c r="J1146">
        <v>91.120815140000005</v>
      </c>
      <c r="K1146">
        <v>0.8</v>
      </c>
      <c r="L1146">
        <v>0.2</v>
      </c>
      <c r="M1146">
        <v>0.7</v>
      </c>
      <c r="N1146">
        <v>626</v>
      </c>
      <c r="O1146">
        <v>61</v>
      </c>
      <c r="P1146">
        <v>0</v>
      </c>
      <c r="Q1146">
        <v>8.8800000000000008</v>
      </c>
      <c r="R1146" t="s">
        <v>225</v>
      </c>
      <c r="S1146">
        <v>0.28000000000000003</v>
      </c>
      <c r="T1146">
        <v>0.3</v>
      </c>
    </row>
    <row r="1147" spans="1:20" ht="15" customHeight="1" x14ac:dyDescent="0.25">
      <c r="A1147" s="2">
        <v>45316.445138888892</v>
      </c>
      <c r="B1147" t="s">
        <v>309</v>
      </c>
      <c r="C1147" t="s">
        <v>219</v>
      </c>
      <c r="D1147">
        <v>3</v>
      </c>
      <c r="E1147" t="s">
        <v>313</v>
      </c>
      <c r="F1147" t="s">
        <v>373</v>
      </c>
      <c r="G1147">
        <v>24.396135269999998</v>
      </c>
      <c r="H1147">
        <v>0.24154589400000001</v>
      </c>
      <c r="I1147">
        <v>24.63768116</v>
      </c>
      <c r="J1147">
        <v>75.36231884</v>
      </c>
      <c r="K1147">
        <v>0.8</v>
      </c>
      <c r="L1147">
        <v>0.2</v>
      </c>
      <c r="M1147">
        <v>0.7</v>
      </c>
      <c r="N1147">
        <v>312</v>
      </c>
      <c r="O1147">
        <v>101</v>
      </c>
      <c r="P1147">
        <v>1</v>
      </c>
      <c r="Q1147">
        <v>24.64</v>
      </c>
      <c r="R1147" t="s">
        <v>222</v>
      </c>
      <c r="S1147">
        <v>3.17</v>
      </c>
      <c r="T1147">
        <v>4.42</v>
      </c>
    </row>
    <row r="1148" spans="1:20" ht="15" customHeight="1" x14ac:dyDescent="0.25">
      <c r="A1148" s="2">
        <v>45320.967361111114</v>
      </c>
      <c r="B1148" t="s">
        <v>309</v>
      </c>
      <c r="C1148" t="s">
        <v>221</v>
      </c>
      <c r="D1148">
        <v>2</v>
      </c>
      <c r="E1148" t="s">
        <v>313</v>
      </c>
      <c r="F1148" t="s">
        <v>373</v>
      </c>
      <c r="G1148">
        <v>21.273291929999999</v>
      </c>
      <c r="H1148">
        <v>0</v>
      </c>
      <c r="I1148">
        <v>21.273291929999999</v>
      </c>
      <c r="J1148">
        <v>78.726708070000001</v>
      </c>
      <c r="K1148">
        <v>0.8</v>
      </c>
      <c r="L1148">
        <v>0.3</v>
      </c>
      <c r="M1148">
        <v>0.7</v>
      </c>
      <c r="N1148">
        <v>507</v>
      </c>
      <c r="O1148">
        <v>137</v>
      </c>
      <c r="P1148">
        <v>0</v>
      </c>
      <c r="Q1148">
        <v>21.27</v>
      </c>
      <c r="R1148" t="s">
        <v>237</v>
      </c>
      <c r="S1148">
        <v>0.67</v>
      </c>
      <c r="T1148">
        <v>0.7</v>
      </c>
    </row>
    <row r="1149" spans="1:20" ht="15" customHeight="1" x14ac:dyDescent="0.25">
      <c r="A1149" t="s">
        <v>19</v>
      </c>
      <c r="B1149" t="s">
        <v>20</v>
      </c>
      <c r="C1149" t="s">
        <v>320</v>
      </c>
      <c r="D1149">
        <v>3</v>
      </c>
      <c r="E1149" t="s">
        <v>313</v>
      </c>
      <c r="F1149" t="s">
        <v>373</v>
      </c>
      <c r="G1149">
        <v>0</v>
      </c>
      <c r="H1149">
        <v>0</v>
      </c>
      <c r="I1149">
        <f>100-J1149</f>
        <v>0</v>
      </c>
      <c r="J1149">
        <f t="shared" ref="J1149:J1154" si="10">100-G1149-H1149</f>
        <v>100</v>
      </c>
      <c r="K1149" t="s">
        <v>19</v>
      </c>
      <c r="L1149" t="s">
        <v>19</v>
      </c>
      <c r="M1149" t="s">
        <v>19</v>
      </c>
      <c r="N1149" t="s">
        <v>19</v>
      </c>
      <c r="O1149" t="s">
        <v>19</v>
      </c>
      <c r="P1149" t="s">
        <v>19</v>
      </c>
      <c r="Q1149">
        <f t="shared" ref="Q1149:Q1154" si="11">I1149</f>
        <v>0</v>
      </c>
      <c r="R1149" t="s">
        <v>19</v>
      </c>
      <c r="S1149" t="s">
        <v>19</v>
      </c>
      <c r="T1149" t="s">
        <v>19</v>
      </c>
    </row>
    <row r="1150" spans="1:20" ht="15" customHeight="1" x14ac:dyDescent="0.25">
      <c r="A1150" t="s">
        <v>19</v>
      </c>
      <c r="B1150" t="s">
        <v>20</v>
      </c>
      <c r="C1150" t="s">
        <v>306</v>
      </c>
      <c r="D1150">
        <v>3</v>
      </c>
      <c r="E1150" t="s">
        <v>100</v>
      </c>
      <c r="F1150" t="s">
        <v>373</v>
      </c>
      <c r="G1150">
        <v>88</v>
      </c>
      <c r="H1150">
        <v>0</v>
      </c>
      <c r="I1150">
        <f>G1150+H1150</f>
        <v>88</v>
      </c>
      <c r="J1150">
        <f t="shared" si="10"/>
        <v>12</v>
      </c>
      <c r="K1150" t="s">
        <v>19</v>
      </c>
      <c r="L1150" t="s">
        <v>19</v>
      </c>
      <c r="M1150" t="s">
        <v>19</v>
      </c>
      <c r="N1150" t="s">
        <v>19</v>
      </c>
      <c r="O1150" t="s">
        <v>19</v>
      </c>
      <c r="P1150" t="s">
        <v>19</v>
      </c>
      <c r="Q1150">
        <f t="shared" si="11"/>
        <v>88</v>
      </c>
      <c r="R1150" t="s">
        <v>19</v>
      </c>
      <c r="S1150" t="s">
        <v>19</v>
      </c>
      <c r="T1150" t="s">
        <v>19</v>
      </c>
    </row>
    <row r="1151" spans="1:20" ht="15" customHeight="1" x14ac:dyDescent="0.25">
      <c r="A1151" t="s">
        <v>19</v>
      </c>
      <c r="B1151" t="s">
        <v>20</v>
      </c>
      <c r="C1151" t="s">
        <v>308</v>
      </c>
      <c r="D1151">
        <v>3</v>
      </c>
      <c r="E1151" t="s">
        <v>100</v>
      </c>
      <c r="F1151" t="s">
        <v>373</v>
      </c>
      <c r="G1151">
        <v>79</v>
      </c>
      <c r="H1151">
        <v>1</v>
      </c>
      <c r="I1151">
        <f>G1151+H1151</f>
        <v>80</v>
      </c>
      <c r="J1151">
        <f t="shared" si="10"/>
        <v>20</v>
      </c>
      <c r="K1151" t="s">
        <v>19</v>
      </c>
      <c r="L1151" t="s">
        <v>19</v>
      </c>
      <c r="M1151" t="s">
        <v>19</v>
      </c>
      <c r="N1151" t="s">
        <v>19</v>
      </c>
      <c r="O1151" t="s">
        <v>19</v>
      </c>
      <c r="P1151" t="s">
        <v>19</v>
      </c>
      <c r="Q1151">
        <f t="shared" si="11"/>
        <v>80</v>
      </c>
      <c r="R1151" t="s">
        <v>19</v>
      </c>
      <c r="S1151" t="s">
        <v>19</v>
      </c>
      <c r="T1151" t="s">
        <v>19</v>
      </c>
    </row>
    <row r="1152" spans="1:20" ht="15" customHeight="1" x14ac:dyDescent="0.25">
      <c r="A1152" t="s">
        <v>19</v>
      </c>
      <c r="B1152" t="s">
        <v>20</v>
      </c>
      <c r="C1152" t="s">
        <v>22</v>
      </c>
      <c r="D1152">
        <v>3</v>
      </c>
      <c r="E1152" t="s">
        <v>100</v>
      </c>
      <c r="F1152" t="s">
        <v>373</v>
      </c>
      <c r="G1152">
        <v>90</v>
      </c>
      <c r="H1152">
        <v>0</v>
      </c>
      <c r="I1152">
        <f>G1152+H1152</f>
        <v>90</v>
      </c>
      <c r="J1152">
        <f t="shared" si="10"/>
        <v>10</v>
      </c>
      <c r="K1152" t="s">
        <v>19</v>
      </c>
      <c r="L1152" t="s">
        <v>19</v>
      </c>
      <c r="M1152" t="s">
        <v>19</v>
      </c>
      <c r="N1152" t="s">
        <v>19</v>
      </c>
      <c r="O1152" t="s">
        <v>19</v>
      </c>
      <c r="P1152" t="s">
        <v>19</v>
      </c>
      <c r="Q1152">
        <f t="shared" si="11"/>
        <v>90</v>
      </c>
      <c r="R1152" t="s">
        <v>19</v>
      </c>
      <c r="S1152" t="s">
        <v>19</v>
      </c>
      <c r="T1152" t="s">
        <v>19</v>
      </c>
    </row>
    <row r="1153" spans="1:21" ht="15" customHeight="1" x14ac:dyDescent="0.25">
      <c r="A1153" t="s">
        <v>19</v>
      </c>
      <c r="B1153" t="s">
        <v>20</v>
      </c>
      <c r="C1153" t="s">
        <v>305</v>
      </c>
      <c r="D1153">
        <v>3</v>
      </c>
      <c r="E1153" t="s">
        <v>100</v>
      </c>
      <c r="F1153" t="s">
        <v>373</v>
      </c>
      <c r="G1153">
        <v>60</v>
      </c>
      <c r="H1153">
        <v>0</v>
      </c>
      <c r="I1153">
        <f>G1153+H1153</f>
        <v>60</v>
      </c>
      <c r="J1153">
        <f t="shared" si="10"/>
        <v>40</v>
      </c>
      <c r="K1153" t="s">
        <v>19</v>
      </c>
      <c r="L1153" t="s">
        <v>19</v>
      </c>
      <c r="M1153" t="s">
        <v>19</v>
      </c>
      <c r="N1153" t="s">
        <v>19</v>
      </c>
      <c r="O1153" t="s">
        <v>19</v>
      </c>
      <c r="P1153" t="s">
        <v>19</v>
      </c>
      <c r="Q1153">
        <f t="shared" si="11"/>
        <v>60</v>
      </c>
      <c r="R1153" t="s">
        <v>19</v>
      </c>
      <c r="S1153" t="s">
        <v>19</v>
      </c>
      <c r="T1153" t="s">
        <v>19</v>
      </c>
    </row>
    <row r="1154" spans="1:21" ht="15" customHeight="1" x14ac:dyDescent="0.25">
      <c r="A1154" t="s">
        <v>19</v>
      </c>
      <c r="B1154" t="s">
        <v>20</v>
      </c>
      <c r="C1154" t="s">
        <v>307</v>
      </c>
      <c r="D1154">
        <v>3</v>
      </c>
      <c r="E1154" t="s">
        <v>100</v>
      </c>
      <c r="F1154" t="s">
        <v>373</v>
      </c>
      <c r="G1154">
        <v>28</v>
      </c>
      <c r="H1154">
        <v>2</v>
      </c>
      <c r="I1154">
        <f>G1154+H1154</f>
        <v>30</v>
      </c>
      <c r="J1154">
        <f t="shared" si="10"/>
        <v>70</v>
      </c>
      <c r="K1154" t="s">
        <v>19</v>
      </c>
      <c r="L1154" t="s">
        <v>19</v>
      </c>
      <c r="M1154" t="s">
        <v>19</v>
      </c>
      <c r="N1154" t="s">
        <v>19</v>
      </c>
      <c r="O1154" t="s">
        <v>19</v>
      </c>
      <c r="P1154" t="s">
        <v>19</v>
      </c>
      <c r="Q1154">
        <f t="shared" si="11"/>
        <v>30</v>
      </c>
      <c r="R1154" t="s">
        <v>19</v>
      </c>
      <c r="S1154" t="s">
        <v>19</v>
      </c>
      <c r="T1154" t="s">
        <v>19</v>
      </c>
    </row>
    <row r="1155" spans="1:21" ht="15" customHeight="1" x14ac:dyDescent="0.25">
      <c r="A1155" s="2">
        <v>45253.729861111111</v>
      </c>
      <c r="B1155" t="s">
        <v>309</v>
      </c>
      <c r="C1155" t="s">
        <v>213</v>
      </c>
      <c r="D1155">
        <v>3</v>
      </c>
      <c r="E1155" t="s">
        <v>100</v>
      </c>
      <c r="F1155" t="s">
        <v>373</v>
      </c>
      <c r="G1155">
        <v>84.119496859999998</v>
      </c>
      <c r="H1155">
        <v>0</v>
      </c>
      <c r="I1155">
        <v>84.119496859999998</v>
      </c>
      <c r="J1155">
        <v>15.88050314</v>
      </c>
      <c r="K1155">
        <v>0.8</v>
      </c>
      <c r="L1155">
        <v>0.2</v>
      </c>
      <c r="M1155">
        <v>0.7</v>
      </c>
      <c r="N1155">
        <v>101</v>
      </c>
      <c r="O1155">
        <v>535</v>
      </c>
      <c r="P1155">
        <v>0</v>
      </c>
      <c r="Q1155">
        <v>84.12</v>
      </c>
      <c r="R1155" t="s">
        <v>223</v>
      </c>
      <c r="S1155">
        <v>2.82</v>
      </c>
      <c r="T1155">
        <v>3.01</v>
      </c>
    </row>
    <row r="1156" spans="1:21" ht="15" customHeight="1" x14ac:dyDescent="0.25">
      <c r="A1156" s="2">
        <v>45253.93472222222</v>
      </c>
      <c r="B1156" t="s">
        <v>309</v>
      </c>
      <c r="C1156" t="s">
        <v>215</v>
      </c>
      <c r="D1156">
        <v>2</v>
      </c>
      <c r="E1156" t="s">
        <v>100</v>
      </c>
      <c r="F1156" t="s">
        <v>373</v>
      </c>
      <c r="G1156">
        <v>60.917431190000002</v>
      </c>
      <c r="H1156">
        <v>0</v>
      </c>
      <c r="I1156">
        <v>60.917431190000002</v>
      </c>
      <c r="J1156">
        <v>39.082568809999998</v>
      </c>
      <c r="K1156">
        <v>0.8</v>
      </c>
      <c r="L1156">
        <v>0.2</v>
      </c>
      <c r="M1156">
        <v>0.7</v>
      </c>
      <c r="N1156">
        <v>213</v>
      </c>
      <c r="O1156">
        <v>332</v>
      </c>
      <c r="P1156">
        <v>0</v>
      </c>
      <c r="Q1156">
        <v>60.92</v>
      </c>
      <c r="R1156" t="s">
        <v>229</v>
      </c>
      <c r="S1156">
        <v>1.3</v>
      </c>
      <c r="T1156">
        <v>1.41</v>
      </c>
    </row>
    <row r="1157" spans="1:21" ht="15" customHeight="1" x14ac:dyDescent="0.25">
      <c r="A1157" s="2">
        <v>45254.109722222223</v>
      </c>
      <c r="B1157" t="s">
        <v>309</v>
      </c>
      <c r="C1157" t="s">
        <v>217</v>
      </c>
      <c r="D1157">
        <v>2</v>
      </c>
      <c r="E1157" t="s">
        <v>100</v>
      </c>
      <c r="F1157" t="s">
        <v>373</v>
      </c>
      <c r="G1157">
        <v>75.153374229999997</v>
      </c>
      <c r="H1157">
        <v>0</v>
      </c>
      <c r="I1157">
        <v>75.153374229999997</v>
      </c>
      <c r="J1157">
        <v>24.846625769999999</v>
      </c>
      <c r="K1157">
        <v>0.8</v>
      </c>
      <c r="L1157">
        <v>0.2</v>
      </c>
      <c r="M1157">
        <v>0.7</v>
      </c>
      <c r="N1157">
        <v>162</v>
      </c>
      <c r="O1157">
        <v>490</v>
      </c>
      <c r="P1157">
        <v>0</v>
      </c>
      <c r="Q1157">
        <v>75.150000000000006</v>
      </c>
      <c r="R1157" t="s">
        <v>281</v>
      </c>
      <c r="S1157">
        <v>1.78</v>
      </c>
      <c r="T1157">
        <v>1.89</v>
      </c>
    </row>
    <row r="1158" spans="1:21" ht="15" customHeight="1" x14ac:dyDescent="0.25">
      <c r="A1158" s="2">
        <v>45316.445833333331</v>
      </c>
      <c r="B1158" t="s">
        <v>309</v>
      </c>
      <c r="C1158" t="s">
        <v>219</v>
      </c>
      <c r="D1158">
        <v>3</v>
      </c>
      <c r="E1158" t="s">
        <v>100</v>
      </c>
      <c r="F1158" t="s">
        <v>373</v>
      </c>
      <c r="G1158">
        <v>74.395161290000004</v>
      </c>
      <c r="H1158">
        <v>0.40322580600000002</v>
      </c>
      <c r="I1158">
        <v>74.798387099999999</v>
      </c>
      <c r="J1158">
        <v>25.201612900000001</v>
      </c>
      <c r="K1158">
        <v>0.8</v>
      </c>
      <c r="L1158">
        <v>0.2</v>
      </c>
      <c r="M1158">
        <v>0.7</v>
      </c>
      <c r="N1158">
        <v>125</v>
      </c>
      <c r="O1158">
        <v>369</v>
      </c>
      <c r="P1158">
        <v>2</v>
      </c>
      <c r="Q1158">
        <v>74.8</v>
      </c>
      <c r="R1158" t="s">
        <v>235</v>
      </c>
      <c r="S1158">
        <v>3.02</v>
      </c>
      <c r="T1158">
        <v>4.01</v>
      </c>
    </row>
    <row r="1159" spans="1:21" ht="15" customHeight="1" x14ac:dyDescent="0.25">
      <c r="A1159" s="2">
        <v>45320.96875</v>
      </c>
      <c r="B1159" t="s">
        <v>309</v>
      </c>
      <c r="C1159" t="s">
        <v>221</v>
      </c>
      <c r="D1159">
        <v>2</v>
      </c>
      <c r="E1159" t="s">
        <v>100</v>
      </c>
      <c r="F1159" t="s">
        <v>373</v>
      </c>
      <c r="G1159">
        <v>77.709923660000001</v>
      </c>
      <c r="H1159">
        <v>0</v>
      </c>
      <c r="I1159">
        <v>77.709923660000001</v>
      </c>
      <c r="J1159">
        <v>22.290076339999999</v>
      </c>
      <c r="K1159">
        <v>0.8</v>
      </c>
      <c r="L1159">
        <v>0.3</v>
      </c>
      <c r="M1159">
        <v>0.7</v>
      </c>
      <c r="N1159">
        <v>146</v>
      </c>
      <c r="O1159">
        <v>509</v>
      </c>
      <c r="P1159">
        <v>0</v>
      </c>
      <c r="Q1159">
        <v>77.709999999999994</v>
      </c>
      <c r="R1159" t="s">
        <v>233</v>
      </c>
      <c r="S1159">
        <v>2.0099999999999998</v>
      </c>
      <c r="T1159">
        <v>2.13</v>
      </c>
    </row>
    <row r="1160" spans="1:21" ht="15" customHeight="1" x14ac:dyDescent="0.25">
      <c r="A1160" t="s">
        <v>19</v>
      </c>
      <c r="B1160" t="s">
        <v>20</v>
      </c>
      <c r="C1160" t="s">
        <v>320</v>
      </c>
      <c r="D1160">
        <v>3</v>
      </c>
      <c r="E1160" t="s">
        <v>100</v>
      </c>
      <c r="F1160" t="s">
        <v>373</v>
      </c>
      <c r="G1160">
        <v>0</v>
      </c>
      <c r="H1160">
        <v>0</v>
      </c>
      <c r="I1160">
        <f>100-J1160</f>
        <v>0</v>
      </c>
      <c r="J1160">
        <f>100-G1160-H1160</f>
        <v>100</v>
      </c>
      <c r="K1160" t="s">
        <v>19</v>
      </c>
      <c r="L1160" t="s">
        <v>19</v>
      </c>
      <c r="M1160" t="s">
        <v>19</v>
      </c>
      <c r="N1160" t="s">
        <v>19</v>
      </c>
      <c r="O1160" t="s">
        <v>19</v>
      </c>
      <c r="P1160" t="s">
        <v>19</v>
      </c>
      <c r="Q1160">
        <f>I1160</f>
        <v>0</v>
      </c>
      <c r="R1160" t="s">
        <v>19</v>
      </c>
      <c r="S1160" t="s">
        <v>19</v>
      </c>
      <c r="T1160" t="s">
        <v>19</v>
      </c>
    </row>
    <row r="1161" spans="1:21" ht="15" customHeight="1" x14ac:dyDescent="0.25">
      <c r="A1161" s="2">
        <v>45323.575046296297</v>
      </c>
      <c r="B1161" t="s">
        <v>309</v>
      </c>
      <c r="C1161" t="s">
        <v>322</v>
      </c>
      <c r="D1161">
        <v>3</v>
      </c>
      <c r="E1161" t="s">
        <v>100</v>
      </c>
      <c r="F1161" t="s">
        <v>373</v>
      </c>
      <c r="G1161">
        <f>(O1161/(N1161+O1161+P1161))*100</f>
        <v>77.8125</v>
      </c>
      <c r="H1161">
        <f>(P1161/(O1161+P1161+N1161))*100</f>
        <v>0</v>
      </c>
      <c r="I1161">
        <f>((O1161+P1161)/(P1161+O1161+N1161))*100</f>
        <v>77.8125</v>
      </c>
      <c r="J1161">
        <f>(N1161/(P1161+O1161+N1161))*100</f>
        <v>22.1875</v>
      </c>
      <c r="K1161">
        <v>0.8</v>
      </c>
      <c r="L1161">
        <v>0.3</v>
      </c>
      <c r="M1161">
        <v>0.7</v>
      </c>
      <c r="N1161">
        <v>142</v>
      </c>
      <c r="O1161">
        <v>498</v>
      </c>
      <c r="P1161">
        <v>0</v>
      </c>
      <c r="Q1161">
        <v>77.81</v>
      </c>
      <c r="R1161" t="s">
        <v>333</v>
      </c>
      <c r="S1161">
        <v>2.64</v>
      </c>
      <c r="T1161">
        <v>3.02</v>
      </c>
      <c r="U1161">
        <v>85</v>
      </c>
    </row>
    <row r="1162" spans="1:21" ht="15" customHeight="1" x14ac:dyDescent="0.25">
      <c r="A1162" s="2">
        <v>45323.5780787037</v>
      </c>
      <c r="B1162" t="s">
        <v>309</v>
      </c>
      <c r="C1162" t="s">
        <v>322</v>
      </c>
      <c r="D1162">
        <v>3</v>
      </c>
      <c r="E1162" t="s">
        <v>100</v>
      </c>
      <c r="F1162" t="s">
        <v>373</v>
      </c>
      <c r="G1162">
        <f>(O1162/(N1162+O1162+P1162))*100</f>
        <v>78.86904761904762</v>
      </c>
      <c r="H1162">
        <f>(P1162/(O1162+P1162+N1162))*100</f>
        <v>0</v>
      </c>
      <c r="I1162">
        <f>((O1162+P1162)/(P1162+O1162+N1162))*100</f>
        <v>78.86904761904762</v>
      </c>
      <c r="J1162">
        <f>(N1162/(P1162+O1162+N1162))*100</f>
        <v>21.13095238095238</v>
      </c>
      <c r="K1162">
        <v>0.7</v>
      </c>
      <c r="L1162">
        <v>0.3</v>
      </c>
      <c r="M1162">
        <v>0.7</v>
      </c>
      <c r="N1162">
        <v>142</v>
      </c>
      <c r="O1162">
        <v>530</v>
      </c>
      <c r="P1162">
        <v>0</v>
      </c>
      <c r="Q1162">
        <v>78.87</v>
      </c>
      <c r="R1162" t="s">
        <v>333</v>
      </c>
      <c r="S1162">
        <v>2.64</v>
      </c>
      <c r="T1162">
        <v>3.02</v>
      </c>
      <c r="U1162">
        <v>53</v>
      </c>
    </row>
    <row r="1163" spans="1:21" ht="15" customHeight="1" x14ac:dyDescent="0.25">
      <c r="A1163" s="2">
        <v>45325.146006944444</v>
      </c>
      <c r="B1163" t="s">
        <v>309</v>
      </c>
      <c r="C1163" t="s">
        <v>368</v>
      </c>
      <c r="D1163">
        <v>2</v>
      </c>
      <c r="E1163" t="s">
        <v>100</v>
      </c>
      <c r="F1163" t="s">
        <v>373</v>
      </c>
      <c r="G1163">
        <f>(O1163/(N1163+O1163+P1163))*100</f>
        <v>71.224165341812395</v>
      </c>
      <c r="H1163">
        <f>(P1163/(O1163+P1163+N1163))*100</f>
        <v>0</v>
      </c>
      <c r="I1163">
        <v>71.22</v>
      </c>
      <c r="J1163">
        <f>(N1163/(P1163+O1163+N1163))*100</f>
        <v>28.775834658187598</v>
      </c>
      <c r="K1163">
        <v>0.8</v>
      </c>
      <c r="L1163">
        <v>0.3</v>
      </c>
      <c r="M1163">
        <v>0.7</v>
      </c>
      <c r="N1163">
        <v>181</v>
      </c>
      <c r="O1163">
        <v>448</v>
      </c>
      <c r="P1163">
        <v>0</v>
      </c>
      <c r="Q1163">
        <v>71.22</v>
      </c>
      <c r="R1163" t="s">
        <v>296</v>
      </c>
      <c r="S1163">
        <v>1.74</v>
      </c>
      <c r="T1163">
        <v>1.87</v>
      </c>
    </row>
    <row r="1164" spans="1:21" ht="15" customHeight="1" x14ac:dyDescent="0.25">
      <c r="A1164" t="s">
        <v>19</v>
      </c>
      <c r="B1164" t="s">
        <v>20</v>
      </c>
      <c r="C1164" t="s">
        <v>308</v>
      </c>
      <c r="D1164">
        <v>3</v>
      </c>
      <c r="E1164" t="s">
        <v>101</v>
      </c>
      <c r="F1164" t="s">
        <v>388</v>
      </c>
      <c r="G1164">
        <v>15</v>
      </c>
      <c r="H1164">
        <v>60</v>
      </c>
      <c r="I1164">
        <f>G1164+H1164</f>
        <v>75</v>
      </c>
      <c r="J1164">
        <f>100-G1164-H1164</f>
        <v>25</v>
      </c>
      <c r="K1164" t="s">
        <v>19</v>
      </c>
      <c r="L1164" t="s">
        <v>19</v>
      </c>
      <c r="M1164" t="s">
        <v>19</v>
      </c>
      <c r="N1164" t="s">
        <v>19</v>
      </c>
      <c r="O1164" t="s">
        <v>19</v>
      </c>
      <c r="P1164" t="s">
        <v>19</v>
      </c>
      <c r="Q1164">
        <f>I1164</f>
        <v>75</v>
      </c>
      <c r="R1164" t="s">
        <v>19</v>
      </c>
      <c r="S1164" t="s">
        <v>19</v>
      </c>
      <c r="T1164" t="s">
        <v>19</v>
      </c>
    </row>
    <row r="1165" spans="1:21" ht="15" customHeight="1" x14ac:dyDescent="0.25">
      <c r="A1165" t="s">
        <v>19</v>
      </c>
      <c r="B1165" t="s">
        <v>20</v>
      </c>
      <c r="C1165" t="s">
        <v>22</v>
      </c>
      <c r="D1165">
        <v>3</v>
      </c>
      <c r="E1165" t="s">
        <v>101</v>
      </c>
      <c r="F1165" t="s">
        <v>388</v>
      </c>
      <c r="G1165">
        <v>20</v>
      </c>
      <c r="H1165">
        <v>50</v>
      </c>
      <c r="I1165">
        <f>G1165+H1165</f>
        <v>70</v>
      </c>
      <c r="J1165">
        <f>100-G1165-H1165</f>
        <v>30</v>
      </c>
      <c r="K1165" t="s">
        <v>19</v>
      </c>
      <c r="L1165" t="s">
        <v>19</v>
      </c>
      <c r="M1165" t="s">
        <v>19</v>
      </c>
      <c r="N1165" t="s">
        <v>19</v>
      </c>
      <c r="O1165" t="s">
        <v>19</v>
      </c>
      <c r="P1165" t="s">
        <v>19</v>
      </c>
      <c r="Q1165">
        <f>I1165</f>
        <v>70</v>
      </c>
      <c r="R1165" t="s">
        <v>19</v>
      </c>
      <c r="S1165" t="s">
        <v>19</v>
      </c>
      <c r="T1165" t="s">
        <v>19</v>
      </c>
    </row>
    <row r="1166" spans="1:21" ht="15" customHeight="1" x14ac:dyDescent="0.25">
      <c r="A1166" t="s">
        <v>19</v>
      </c>
      <c r="B1166" t="s">
        <v>20</v>
      </c>
      <c r="C1166" t="s">
        <v>305</v>
      </c>
      <c r="D1166">
        <v>3</v>
      </c>
      <c r="E1166" t="s">
        <v>101</v>
      </c>
      <c r="F1166" t="s">
        <v>388</v>
      </c>
      <c r="G1166">
        <v>25</v>
      </c>
      <c r="H1166">
        <v>55</v>
      </c>
      <c r="I1166">
        <f>G1166+H1166</f>
        <v>80</v>
      </c>
      <c r="J1166">
        <f>100-G1166-H1166</f>
        <v>20</v>
      </c>
      <c r="K1166" t="s">
        <v>19</v>
      </c>
      <c r="L1166" t="s">
        <v>19</v>
      </c>
      <c r="M1166" t="s">
        <v>19</v>
      </c>
      <c r="N1166" t="s">
        <v>19</v>
      </c>
      <c r="O1166" t="s">
        <v>19</v>
      </c>
      <c r="P1166" t="s">
        <v>19</v>
      </c>
      <c r="Q1166">
        <f>I1166</f>
        <v>80</v>
      </c>
      <c r="R1166" t="s">
        <v>19</v>
      </c>
      <c r="S1166" t="s">
        <v>19</v>
      </c>
      <c r="T1166" t="s">
        <v>19</v>
      </c>
    </row>
    <row r="1167" spans="1:21" ht="15" customHeight="1" x14ac:dyDescent="0.25">
      <c r="A1167" t="s">
        <v>19</v>
      </c>
      <c r="B1167" t="s">
        <v>20</v>
      </c>
      <c r="C1167" t="s">
        <v>307</v>
      </c>
      <c r="D1167">
        <v>3</v>
      </c>
      <c r="E1167" t="s">
        <v>101</v>
      </c>
      <c r="F1167" t="s">
        <v>388</v>
      </c>
      <c r="G1167">
        <v>10</v>
      </c>
      <c r="H1167">
        <v>50</v>
      </c>
      <c r="I1167">
        <f>G1167+H1167</f>
        <v>60</v>
      </c>
      <c r="J1167">
        <f>100-G1167-H1167</f>
        <v>40</v>
      </c>
      <c r="K1167" t="s">
        <v>19</v>
      </c>
      <c r="L1167" t="s">
        <v>19</v>
      </c>
      <c r="M1167" t="s">
        <v>19</v>
      </c>
      <c r="N1167" t="s">
        <v>19</v>
      </c>
      <c r="O1167" t="s">
        <v>19</v>
      </c>
      <c r="P1167" t="s">
        <v>19</v>
      </c>
      <c r="Q1167">
        <f>I1167</f>
        <v>60</v>
      </c>
      <c r="R1167" t="s">
        <v>19</v>
      </c>
      <c r="S1167" t="s">
        <v>19</v>
      </c>
      <c r="T1167" t="s">
        <v>19</v>
      </c>
    </row>
    <row r="1168" spans="1:21" ht="15" customHeight="1" x14ac:dyDescent="0.25">
      <c r="A1168" s="2">
        <v>45253.565972222219</v>
      </c>
      <c r="B1168" t="s">
        <v>309</v>
      </c>
      <c r="C1168" t="s">
        <v>213</v>
      </c>
      <c r="D1168">
        <v>3</v>
      </c>
      <c r="E1168" t="s">
        <v>101</v>
      </c>
      <c r="F1168" t="s">
        <v>388</v>
      </c>
      <c r="G1168">
        <v>2.1943573669999998</v>
      </c>
      <c r="H1168">
        <v>75.078369910000006</v>
      </c>
      <c r="I1168">
        <v>77.272727270000004</v>
      </c>
      <c r="J1168">
        <v>22.727272729999999</v>
      </c>
      <c r="K1168">
        <v>0.8</v>
      </c>
      <c r="L1168">
        <v>0.2</v>
      </c>
      <c r="M1168">
        <v>0.7</v>
      </c>
      <c r="N1168">
        <v>145</v>
      </c>
      <c r="O1168">
        <v>14</v>
      </c>
      <c r="P1168">
        <v>479</v>
      </c>
      <c r="Q1168">
        <v>77.27</v>
      </c>
      <c r="R1168" t="s">
        <v>223</v>
      </c>
      <c r="S1168">
        <v>2.74</v>
      </c>
      <c r="T1168">
        <v>3.74</v>
      </c>
    </row>
    <row r="1169" spans="1:21" ht="15" customHeight="1" x14ac:dyDescent="0.25">
      <c r="A1169" s="2">
        <v>45253.847916666666</v>
      </c>
      <c r="B1169" t="s">
        <v>309</v>
      </c>
      <c r="C1169" t="s">
        <v>215</v>
      </c>
      <c r="D1169">
        <v>2</v>
      </c>
      <c r="E1169" t="s">
        <v>101</v>
      </c>
      <c r="F1169" t="s">
        <v>388</v>
      </c>
      <c r="G1169">
        <v>16.74418605</v>
      </c>
      <c r="H1169">
        <v>0</v>
      </c>
      <c r="I1169">
        <v>16.74418605</v>
      </c>
      <c r="J1169">
        <v>83.255813950000004</v>
      </c>
      <c r="K1169">
        <v>0.8</v>
      </c>
      <c r="L1169">
        <v>0.2</v>
      </c>
      <c r="M1169">
        <v>0.7</v>
      </c>
      <c r="N1169">
        <v>537</v>
      </c>
      <c r="O1169">
        <v>108</v>
      </c>
      <c r="P1169">
        <v>0</v>
      </c>
      <c r="Q1169">
        <v>16.739999999999998</v>
      </c>
      <c r="R1169" t="s">
        <v>231</v>
      </c>
      <c r="S1169">
        <v>0.48</v>
      </c>
      <c r="T1169">
        <v>0.54</v>
      </c>
    </row>
    <row r="1170" spans="1:21" ht="15" customHeight="1" x14ac:dyDescent="0.25">
      <c r="A1170" s="2">
        <v>45254.015972222223</v>
      </c>
      <c r="B1170" t="s">
        <v>309</v>
      </c>
      <c r="C1170" t="s">
        <v>217</v>
      </c>
      <c r="D1170">
        <v>2</v>
      </c>
      <c r="E1170" t="s">
        <v>101</v>
      </c>
      <c r="F1170" t="s">
        <v>388</v>
      </c>
      <c r="G1170">
        <v>22.796352580000001</v>
      </c>
      <c r="H1170">
        <v>0</v>
      </c>
      <c r="I1170">
        <v>22.796352580000001</v>
      </c>
      <c r="J1170">
        <v>77.203647419999996</v>
      </c>
      <c r="K1170">
        <v>0.8</v>
      </c>
      <c r="L1170">
        <v>0.2</v>
      </c>
      <c r="M1170">
        <v>0.7</v>
      </c>
      <c r="N1170">
        <v>508</v>
      </c>
      <c r="O1170">
        <v>150</v>
      </c>
      <c r="P1170">
        <v>0</v>
      </c>
      <c r="Q1170">
        <v>22.8</v>
      </c>
      <c r="R1170" t="s">
        <v>229</v>
      </c>
      <c r="S1170">
        <v>0.66</v>
      </c>
      <c r="T1170">
        <v>0.7</v>
      </c>
    </row>
    <row r="1171" spans="1:21" ht="15" customHeight="1" x14ac:dyDescent="0.25">
      <c r="A1171" s="2">
        <v>45316.527083333334</v>
      </c>
      <c r="B1171" t="s">
        <v>309</v>
      </c>
      <c r="C1171" t="s">
        <v>219</v>
      </c>
      <c r="D1171">
        <v>3</v>
      </c>
      <c r="E1171" t="s">
        <v>101</v>
      </c>
      <c r="F1171" t="s">
        <v>388</v>
      </c>
      <c r="G1171">
        <v>2.9079159940000001</v>
      </c>
      <c r="H1171">
        <v>72.697899840000005</v>
      </c>
      <c r="I1171">
        <v>75.605815829999997</v>
      </c>
      <c r="J1171">
        <v>24.394184169999999</v>
      </c>
      <c r="K1171">
        <v>0.8</v>
      </c>
      <c r="L1171">
        <v>0.2</v>
      </c>
      <c r="M1171">
        <v>0.7</v>
      </c>
      <c r="N1171">
        <v>151</v>
      </c>
      <c r="O1171">
        <v>18</v>
      </c>
      <c r="P1171">
        <v>450</v>
      </c>
      <c r="Q1171">
        <v>75.61</v>
      </c>
      <c r="R1171" t="s">
        <v>227</v>
      </c>
      <c r="S1171">
        <v>3.01</v>
      </c>
      <c r="T1171">
        <v>4.25</v>
      </c>
    </row>
    <row r="1172" spans="1:21" ht="15" customHeight="1" x14ac:dyDescent="0.25">
      <c r="A1172" s="2">
        <v>45320.867361111108</v>
      </c>
      <c r="B1172" t="s">
        <v>309</v>
      </c>
      <c r="C1172" t="s">
        <v>221</v>
      </c>
      <c r="D1172">
        <v>2</v>
      </c>
      <c r="E1172" t="s">
        <v>101</v>
      </c>
      <c r="F1172" t="s">
        <v>388</v>
      </c>
      <c r="G1172">
        <v>92.058346839999999</v>
      </c>
      <c r="H1172">
        <v>0</v>
      </c>
      <c r="I1172">
        <v>92.058346839999999</v>
      </c>
      <c r="J1172">
        <v>7.9416531600000004</v>
      </c>
      <c r="K1172">
        <v>0.8</v>
      </c>
      <c r="L1172">
        <v>0.3</v>
      </c>
      <c r="M1172">
        <v>0.7</v>
      </c>
      <c r="N1172">
        <v>49</v>
      </c>
      <c r="O1172">
        <v>568</v>
      </c>
      <c r="P1172">
        <v>0</v>
      </c>
      <c r="Q1172">
        <v>92.06</v>
      </c>
      <c r="R1172" t="s">
        <v>250</v>
      </c>
      <c r="S1172">
        <v>2.31</v>
      </c>
      <c r="T1172">
        <v>2.4900000000000002</v>
      </c>
    </row>
    <row r="1173" spans="1:21" ht="15" customHeight="1" x14ac:dyDescent="0.25">
      <c r="A1173" t="s">
        <v>19</v>
      </c>
      <c r="B1173" t="s">
        <v>20</v>
      </c>
      <c r="C1173" t="s">
        <v>306</v>
      </c>
      <c r="D1173">
        <v>3</v>
      </c>
      <c r="E1173" t="s">
        <v>101</v>
      </c>
      <c r="F1173" t="s">
        <v>388</v>
      </c>
      <c r="G1173">
        <v>36</v>
      </c>
      <c r="H1173">
        <v>60</v>
      </c>
      <c r="I1173">
        <f>G1173+H1173</f>
        <v>96</v>
      </c>
      <c r="J1173">
        <f>100-G1173-H1173</f>
        <v>4</v>
      </c>
      <c r="K1173" t="s">
        <v>19</v>
      </c>
      <c r="L1173" t="s">
        <v>19</v>
      </c>
      <c r="M1173" t="s">
        <v>19</v>
      </c>
      <c r="N1173" t="s">
        <v>19</v>
      </c>
      <c r="O1173" t="s">
        <v>19</v>
      </c>
      <c r="P1173" t="s">
        <v>19</v>
      </c>
      <c r="Q1173">
        <f>I1173</f>
        <v>96</v>
      </c>
      <c r="R1173" t="s">
        <v>19</v>
      </c>
      <c r="S1173" t="s">
        <v>19</v>
      </c>
      <c r="T1173" t="s">
        <v>19</v>
      </c>
    </row>
    <row r="1174" spans="1:21" ht="15" customHeight="1" x14ac:dyDescent="0.25">
      <c r="A1174" t="s">
        <v>19</v>
      </c>
      <c r="B1174" t="s">
        <v>20</v>
      </c>
      <c r="C1174" t="s">
        <v>320</v>
      </c>
      <c r="D1174">
        <v>3</v>
      </c>
      <c r="E1174" t="s">
        <v>101</v>
      </c>
      <c r="F1174" t="s">
        <v>388</v>
      </c>
      <c r="G1174">
        <v>10</v>
      </c>
      <c r="H1174">
        <v>80</v>
      </c>
      <c r="I1174">
        <f>100-J1174</f>
        <v>90</v>
      </c>
      <c r="J1174">
        <f>100-G1174-H1174</f>
        <v>10</v>
      </c>
      <c r="K1174" t="s">
        <v>19</v>
      </c>
      <c r="L1174" t="s">
        <v>19</v>
      </c>
      <c r="M1174" t="s">
        <v>19</v>
      </c>
      <c r="N1174" t="s">
        <v>19</v>
      </c>
      <c r="O1174" t="s">
        <v>19</v>
      </c>
      <c r="P1174" t="s">
        <v>19</v>
      </c>
      <c r="Q1174">
        <f>I1174</f>
        <v>90</v>
      </c>
      <c r="R1174" t="s">
        <v>19</v>
      </c>
      <c r="S1174" t="s">
        <v>19</v>
      </c>
      <c r="T1174" t="s">
        <v>19</v>
      </c>
    </row>
    <row r="1175" spans="1:21" ht="15" customHeight="1" x14ac:dyDescent="0.25">
      <c r="A1175" s="2">
        <v>45323.57545138889</v>
      </c>
      <c r="B1175" t="s">
        <v>309</v>
      </c>
      <c r="C1175" t="s">
        <v>322</v>
      </c>
      <c r="D1175">
        <v>3</v>
      </c>
      <c r="E1175" t="s">
        <v>101</v>
      </c>
      <c r="F1175" t="s">
        <v>388</v>
      </c>
      <c r="G1175">
        <f>(O1175/(N1175+O1175+P1175))*100</f>
        <v>12.390924956369982</v>
      </c>
      <c r="H1175">
        <f>(P1175/(O1175+P1175+N1175))*100</f>
        <v>66.317626527050606</v>
      </c>
      <c r="I1175">
        <v>78.709999999999994</v>
      </c>
      <c r="J1175">
        <f>(N1175/(P1175+O1175+N1175))*100</f>
        <v>21.291448516579408</v>
      </c>
      <c r="K1175">
        <v>0.8</v>
      </c>
      <c r="L1175">
        <v>0.3</v>
      </c>
      <c r="M1175">
        <v>0.7</v>
      </c>
      <c r="N1175">
        <v>122</v>
      </c>
      <c r="O1175">
        <v>71</v>
      </c>
      <c r="P1175">
        <v>380</v>
      </c>
      <c r="Q1175">
        <v>78.709999999999994</v>
      </c>
      <c r="R1175" t="s">
        <v>341</v>
      </c>
      <c r="S1175">
        <v>2.7</v>
      </c>
      <c r="T1175">
        <v>4.0599999999999996</v>
      </c>
      <c r="U1175">
        <v>82</v>
      </c>
    </row>
    <row r="1176" spans="1:21" ht="15" customHeight="1" x14ac:dyDescent="0.25">
      <c r="A1176" s="2">
        <v>45323.573148148149</v>
      </c>
      <c r="B1176" t="s">
        <v>309</v>
      </c>
      <c r="C1176" t="s">
        <v>322</v>
      </c>
      <c r="D1176">
        <v>3</v>
      </c>
      <c r="E1176" t="s">
        <v>101</v>
      </c>
      <c r="F1176" t="s">
        <v>388</v>
      </c>
      <c r="G1176">
        <f>(O1176/(N1176+O1176+P1176))*100</f>
        <v>15.059221658206429</v>
      </c>
      <c r="H1176">
        <f>(P1176/(O1176+P1176+N1176))*100</f>
        <v>68.866328257191199</v>
      </c>
      <c r="I1176">
        <v>83.93</v>
      </c>
      <c r="J1176">
        <f>(N1176/(P1176+O1176+N1176))*100</f>
        <v>16.074450084602368</v>
      </c>
      <c r="K1176">
        <v>0.7</v>
      </c>
      <c r="L1176">
        <v>0.3</v>
      </c>
      <c r="M1176">
        <v>0.7</v>
      </c>
      <c r="N1176">
        <v>95</v>
      </c>
      <c r="O1176">
        <v>89</v>
      </c>
      <c r="P1176">
        <v>407</v>
      </c>
      <c r="Q1176">
        <v>83.93</v>
      </c>
      <c r="R1176" t="s">
        <v>255</v>
      </c>
      <c r="S1176">
        <v>2.7</v>
      </c>
      <c r="T1176">
        <v>4.0599999999999996</v>
      </c>
      <c r="U1176">
        <v>64</v>
      </c>
    </row>
    <row r="1177" spans="1:21" ht="15" customHeight="1" x14ac:dyDescent="0.25">
      <c r="A1177" s="2">
        <v>45324.996296296296</v>
      </c>
      <c r="B1177" t="s">
        <v>309</v>
      </c>
      <c r="C1177" t="s">
        <v>368</v>
      </c>
      <c r="D1177">
        <v>2</v>
      </c>
      <c r="E1177" t="s">
        <v>101</v>
      </c>
      <c r="F1177" t="s">
        <v>388</v>
      </c>
      <c r="G1177">
        <f>(O1177/(N1177+O1177+P1177))*100</f>
        <v>91.720779220779221</v>
      </c>
      <c r="H1177">
        <f>(P1177/(O1177+P1177+N1177))*100</f>
        <v>0</v>
      </c>
      <c r="I1177">
        <v>91.72</v>
      </c>
      <c r="J1177">
        <f>(N1177/(P1177+O1177+N1177))*100</f>
        <v>8.279220779220779</v>
      </c>
      <c r="K1177">
        <v>0.8</v>
      </c>
      <c r="L1177">
        <v>0.3</v>
      </c>
      <c r="M1177">
        <v>0.7</v>
      </c>
      <c r="N1177">
        <v>51</v>
      </c>
      <c r="O1177">
        <v>565</v>
      </c>
      <c r="P1177">
        <v>0</v>
      </c>
      <c r="Q1177">
        <v>91.72</v>
      </c>
      <c r="R1177" t="s">
        <v>333</v>
      </c>
      <c r="S1177">
        <v>2.15</v>
      </c>
      <c r="T1177">
        <v>2.37</v>
      </c>
    </row>
    <row r="1178" spans="1:21" ht="15" customHeight="1" x14ac:dyDescent="0.25">
      <c r="A1178" t="s">
        <v>19</v>
      </c>
      <c r="B1178" t="s">
        <v>20</v>
      </c>
      <c r="C1178" t="s">
        <v>308</v>
      </c>
      <c r="D1178">
        <v>3</v>
      </c>
      <c r="E1178" t="s">
        <v>102</v>
      </c>
      <c r="F1178" t="s">
        <v>388</v>
      </c>
      <c r="G1178">
        <v>10</v>
      </c>
      <c r="H1178">
        <v>25</v>
      </c>
      <c r="I1178">
        <f>G1178+H1178</f>
        <v>35</v>
      </c>
      <c r="J1178">
        <f>100-G1178-H1178</f>
        <v>65</v>
      </c>
      <c r="K1178" t="s">
        <v>19</v>
      </c>
      <c r="L1178" t="s">
        <v>19</v>
      </c>
      <c r="M1178" t="s">
        <v>19</v>
      </c>
      <c r="N1178" t="s">
        <v>19</v>
      </c>
      <c r="O1178" t="s">
        <v>19</v>
      </c>
      <c r="P1178" t="s">
        <v>19</v>
      </c>
      <c r="Q1178">
        <f>I1178</f>
        <v>35</v>
      </c>
      <c r="R1178" t="s">
        <v>19</v>
      </c>
      <c r="S1178" t="s">
        <v>19</v>
      </c>
      <c r="T1178" t="s">
        <v>19</v>
      </c>
    </row>
    <row r="1179" spans="1:21" ht="15" customHeight="1" x14ac:dyDescent="0.25">
      <c r="A1179" t="s">
        <v>19</v>
      </c>
      <c r="B1179" t="s">
        <v>20</v>
      </c>
      <c r="C1179" t="s">
        <v>22</v>
      </c>
      <c r="D1179">
        <v>3</v>
      </c>
      <c r="E1179" t="s">
        <v>102</v>
      </c>
      <c r="F1179" t="s">
        <v>388</v>
      </c>
      <c r="G1179">
        <v>5</v>
      </c>
      <c r="H1179">
        <v>30</v>
      </c>
      <c r="I1179">
        <f>G1179+H1179</f>
        <v>35</v>
      </c>
      <c r="J1179">
        <f>100-G1179-H1179</f>
        <v>65</v>
      </c>
      <c r="K1179" t="s">
        <v>19</v>
      </c>
      <c r="L1179" t="s">
        <v>19</v>
      </c>
      <c r="M1179" t="s">
        <v>19</v>
      </c>
      <c r="N1179" t="s">
        <v>19</v>
      </c>
      <c r="O1179" t="s">
        <v>19</v>
      </c>
      <c r="P1179" t="s">
        <v>19</v>
      </c>
      <c r="Q1179">
        <f>I1179</f>
        <v>35</v>
      </c>
      <c r="R1179" t="s">
        <v>19</v>
      </c>
      <c r="S1179" t="s">
        <v>19</v>
      </c>
      <c r="T1179" t="s">
        <v>19</v>
      </c>
    </row>
    <row r="1180" spans="1:21" ht="15" customHeight="1" x14ac:dyDescent="0.25">
      <c r="A1180" t="s">
        <v>19</v>
      </c>
      <c r="B1180" t="s">
        <v>20</v>
      </c>
      <c r="C1180" t="s">
        <v>305</v>
      </c>
      <c r="D1180">
        <v>3</v>
      </c>
      <c r="E1180" t="s">
        <v>102</v>
      </c>
      <c r="F1180" t="s">
        <v>388</v>
      </c>
      <c r="G1180">
        <v>20</v>
      </c>
      <c r="H1180">
        <v>30</v>
      </c>
      <c r="I1180">
        <f>G1180+H1180</f>
        <v>50</v>
      </c>
      <c r="J1180">
        <f>100-G1180-H1180</f>
        <v>50</v>
      </c>
      <c r="K1180" t="s">
        <v>19</v>
      </c>
      <c r="L1180" t="s">
        <v>19</v>
      </c>
      <c r="M1180" t="s">
        <v>19</v>
      </c>
      <c r="N1180" t="s">
        <v>19</v>
      </c>
      <c r="O1180" t="s">
        <v>19</v>
      </c>
      <c r="P1180" t="s">
        <v>19</v>
      </c>
      <c r="Q1180">
        <f>I1180</f>
        <v>50</v>
      </c>
      <c r="R1180" t="s">
        <v>19</v>
      </c>
      <c r="S1180" t="s">
        <v>19</v>
      </c>
      <c r="T1180" t="s">
        <v>19</v>
      </c>
    </row>
    <row r="1181" spans="1:21" ht="15" customHeight="1" x14ac:dyDescent="0.25">
      <c r="A1181" t="s">
        <v>19</v>
      </c>
      <c r="B1181" t="s">
        <v>20</v>
      </c>
      <c r="C1181" t="s">
        <v>307</v>
      </c>
      <c r="D1181">
        <v>3</v>
      </c>
      <c r="E1181" t="s">
        <v>102</v>
      </c>
      <c r="F1181" t="s">
        <v>388</v>
      </c>
      <c r="G1181">
        <v>10</v>
      </c>
      <c r="H1181">
        <v>20</v>
      </c>
      <c r="I1181">
        <f>G1181+H1181</f>
        <v>30</v>
      </c>
      <c r="J1181">
        <f>100-G1181-H1181</f>
        <v>70</v>
      </c>
      <c r="K1181" t="s">
        <v>19</v>
      </c>
      <c r="L1181" t="s">
        <v>19</v>
      </c>
      <c r="M1181" t="s">
        <v>19</v>
      </c>
      <c r="N1181" t="s">
        <v>19</v>
      </c>
      <c r="O1181" t="s">
        <v>19</v>
      </c>
      <c r="P1181" t="s">
        <v>19</v>
      </c>
      <c r="Q1181">
        <f>I1181</f>
        <v>30</v>
      </c>
      <c r="R1181" t="s">
        <v>19</v>
      </c>
      <c r="S1181" t="s">
        <v>19</v>
      </c>
      <c r="T1181" t="s">
        <v>19</v>
      </c>
    </row>
    <row r="1182" spans="1:21" ht="15" customHeight="1" x14ac:dyDescent="0.25">
      <c r="A1182" s="2">
        <v>45253.567361111112</v>
      </c>
      <c r="B1182" t="s">
        <v>309</v>
      </c>
      <c r="C1182" t="s">
        <v>213</v>
      </c>
      <c r="D1182">
        <v>3</v>
      </c>
      <c r="E1182" t="s">
        <v>102</v>
      </c>
      <c r="F1182" t="s">
        <v>388</v>
      </c>
      <c r="G1182">
        <v>4.2016806720000002</v>
      </c>
      <c r="H1182">
        <v>23.025210080000001</v>
      </c>
      <c r="I1182">
        <v>27.22689076</v>
      </c>
      <c r="J1182">
        <v>72.773109239999997</v>
      </c>
      <c r="K1182">
        <v>0.8</v>
      </c>
      <c r="L1182">
        <v>0.2</v>
      </c>
      <c r="M1182">
        <v>0.7</v>
      </c>
      <c r="N1182">
        <v>433</v>
      </c>
      <c r="O1182">
        <v>25</v>
      </c>
      <c r="P1182">
        <v>137</v>
      </c>
      <c r="Q1182">
        <v>27.23</v>
      </c>
      <c r="R1182" t="s">
        <v>253</v>
      </c>
      <c r="S1182">
        <v>2.81</v>
      </c>
      <c r="T1182">
        <v>3.43</v>
      </c>
    </row>
    <row r="1183" spans="1:21" ht="15" customHeight="1" x14ac:dyDescent="0.25">
      <c r="A1183" s="2">
        <v>45253.848611111112</v>
      </c>
      <c r="B1183" t="s">
        <v>309</v>
      </c>
      <c r="C1183" t="s">
        <v>215</v>
      </c>
      <c r="D1183">
        <v>2</v>
      </c>
      <c r="E1183" t="s">
        <v>102</v>
      </c>
      <c r="F1183" t="s">
        <v>388</v>
      </c>
      <c r="G1183">
        <v>7.5822603720000004</v>
      </c>
      <c r="H1183">
        <v>0</v>
      </c>
      <c r="I1183">
        <v>7.5822603720000004</v>
      </c>
      <c r="J1183">
        <v>92.41773963</v>
      </c>
      <c r="K1183">
        <v>0.8</v>
      </c>
      <c r="L1183">
        <v>0.2</v>
      </c>
      <c r="M1183">
        <v>0.7</v>
      </c>
      <c r="N1183">
        <v>646</v>
      </c>
      <c r="O1183">
        <v>53</v>
      </c>
      <c r="P1183">
        <v>0</v>
      </c>
      <c r="Q1183">
        <v>7.58</v>
      </c>
      <c r="R1183" t="s">
        <v>216</v>
      </c>
      <c r="S1183">
        <v>0.23</v>
      </c>
      <c r="T1183">
        <v>0.25</v>
      </c>
    </row>
    <row r="1184" spans="1:21" ht="15" customHeight="1" x14ac:dyDescent="0.25">
      <c r="A1184" s="2">
        <v>45254.01666666667</v>
      </c>
      <c r="B1184" t="s">
        <v>309</v>
      </c>
      <c r="C1184" t="s">
        <v>217</v>
      </c>
      <c r="D1184">
        <v>2</v>
      </c>
      <c r="E1184" t="s">
        <v>102</v>
      </c>
      <c r="F1184" t="s">
        <v>388</v>
      </c>
      <c r="G1184">
        <v>6.6951566949999997</v>
      </c>
      <c r="H1184">
        <v>0</v>
      </c>
      <c r="I1184">
        <v>6.6951566949999997</v>
      </c>
      <c r="J1184">
        <v>93.304843300000002</v>
      </c>
      <c r="K1184">
        <v>0.8</v>
      </c>
      <c r="L1184">
        <v>0.2</v>
      </c>
      <c r="M1184">
        <v>0.7</v>
      </c>
      <c r="N1184">
        <v>655</v>
      </c>
      <c r="O1184">
        <v>47</v>
      </c>
      <c r="P1184">
        <v>0</v>
      </c>
      <c r="Q1184">
        <v>6.7</v>
      </c>
      <c r="R1184" t="s">
        <v>226</v>
      </c>
      <c r="S1184">
        <v>0.23</v>
      </c>
      <c r="T1184">
        <v>0.25</v>
      </c>
    </row>
    <row r="1185" spans="1:21" ht="15" customHeight="1" x14ac:dyDescent="0.25">
      <c r="A1185" s="2">
        <v>45316.527777777781</v>
      </c>
      <c r="B1185" t="s">
        <v>309</v>
      </c>
      <c r="C1185" t="s">
        <v>219</v>
      </c>
      <c r="D1185">
        <v>3</v>
      </c>
      <c r="E1185" t="s">
        <v>102</v>
      </c>
      <c r="F1185" t="s">
        <v>388</v>
      </c>
      <c r="G1185">
        <v>6.1120543290000002</v>
      </c>
      <c r="H1185">
        <v>23.089983019999998</v>
      </c>
      <c r="I1185">
        <v>29.202037350000001</v>
      </c>
      <c r="J1185">
        <v>70.797962650000002</v>
      </c>
      <c r="K1185">
        <v>0.8</v>
      </c>
      <c r="L1185">
        <v>0.2</v>
      </c>
      <c r="M1185">
        <v>0.7</v>
      </c>
      <c r="N1185">
        <v>417</v>
      </c>
      <c r="O1185">
        <v>36</v>
      </c>
      <c r="P1185">
        <v>136</v>
      </c>
      <c r="Q1185">
        <v>29.2</v>
      </c>
      <c r="R1185" t="s">
        <v>226</v>
      </c>
      <c r="S1185">
        <v>3.12</v>
      </c>
      <c r="T1185">
        <v>4.8499999999999996</v>
      </c>
    </row>
    <row r="1186" spans="1:21" ht="15" customHeight="1" x14ac:dyDescent="0.25">
      <c r="A1186" s="2">
        <v>45320.868055555555</v>
      </c>
      <c r="B1186" t="s">
        <v>309</v>
      </c>
      <c r="C1186" t="s">
        <v>221</v>
      </c>
      <c r="D1186">
        <v>2</v>
      </c>
      <c r="E1186" t="s">
        <v>102</v>
      </c>
      <c r="F1186" t="s">
        <v>388</v>
      </c>
      <c r="G1186">
        <v>47.29493892</v>
      </c>
      <c r="H1186">
        <v>0</v>
      </c>
      <c r="I1186">
        <v>47.29493892</v>
      </c>
      <c r="J1186">
        <v>52.70506108</v>
      </c>
      <c r="K1186">
        <v>0.8</v>
      </c>
      <c r="L1186">
        <v>0.3</v>
      </c>
      <c r="M1186">
        <v>0.7</v>
      </c>
      <c r="N1186">
        <v>302</v>
      </c>
      <c r="O1186">
        <v>271</v>
      </c>
      <c r="P1186">
        <v>0</v>
      </c>
      <c r="Q1186">
        <v>47.29</v>
      </c>
      <c r="R1186" t="s">
        <v>228</v>
      </c>
      <c r="S1186">
        <v>1.31</v>
      </c>
      <c r="T1186">
        <v>1.41</v>
      </c>
    </row>
    <row r="1187" spans="1:21" ht="15" customHeight="1" x14ac:dyDescent="0.25">
      <c r="A1187" t="s">
        <v>19</v>
      </c>
      <c r="B1187" t="s">
        <v>20</v>
      </c>
      <c r="C1187" t="s">
        <v>306</v>
      </c>
      <c r="D1187">
        <v>3</v>
      </c>
      <c r="E1187" t="s">
        <v>102</v>
      </c>
      <c r="F1187" t="s">
        <v>388</v>
      </c>
      <c r="G1187">
        <v>30</v>
      </c>
      <c r="H1187">
        <v>20</v>
      </c>
      <c r="I1187">
        <f>G1187+H1187</f>
        <v>50</v>
      </c>
      <c r="J1187">
        <f>100-G1187-H1187</f>
        <v>50</v>
      </c>
      <c r="K1187" t="s">
        <v>19</v>
      </c>
      <c r="L1187" t="s">
        <v>19</v>
      </c>
      <c r="M1187" t="s">
        <v>19</v>
      </c>
      <c r="N1187" t="s">
        <v>19</v>
      </c>
      <c r="O1187" t="s">
        <v>19</v>
      </c>
      <c r="P1187" t="s">
        <v>19</v>
      </c>
      <c r="Q1187">
        <f>I1187</f>
        <v>50</v>
      </c>
      <c r="R1187" t="s">
        <v>19</v>
      </c>
      <c r="S1187" t="s">
        <v>19</v>
      </c>
      <c r="T1187" t="s">
        <v>19</v>
      </c>
    </row>
    <row r="1188" spans="1:21" ht="15" customHeight="1" x14ac:dyDescent="0.25">
      <c r="A1188" t="s">
        <v>19</v>
      </c>
      <c r="B1188" t="s">
        <v>20</v>
      </c>
      <c r="C1188" t="s">
        <v>320</v>
      </c>
      <c r="D1188">
        <v>3</v>
      </c>
      <c r="E1188" t="s">
        <v>102</v>
      </c>
      <c r="F1188" t="s">
        <v>388</v>
      </c>
      <c r="G1188">
        <v>15</v>
      </c>
      <c r="H1188">
        <v>40</v>
      </c>
      <c r="I1188">
        <f>100-J1188</f>
        <v>55</v>
      </c>
      <c r="J1188">
        <f>100-G1188-H1188</f>
        <v>45</v>
      </c>
      <c r="K1188" t="s">
        <v>19</v>
      </c>
      <c r="L1188" t="s">
        <v>19</v>
      </c>
      <c r="M1188" t="s">
        <v>19</v>
      </c>
      <c r="N1188" t="s">
        <v>19</v>
      </c>
      <c r="O1188" t="s">
        <v>19</v>
      </c>
      <c r="P1188" t="s">
        <v>19</v>
      </c>
      <c r="Q1188">
        <f>I1188</f>
        <v>55</v>
      </c>
      <c r="R1188" t="s">
        <v>19</v>
      </c>
      <c r="S1188" t="s">
        <v>19</v>
      </c>
      <c r="T1188" t="s">
        <v>19</v>
      </c>
    </row>
    <row r="1189" spans="1:21" ht="15" customHeight="1" x14ac:dyDescent="0.25">
      <c r="A1189" s="2">
        <v>45323.577118055553</v>
      </c>
      <c r="B1189" t="s">
        <v>309</v>
      </c>
      <c r="C1189" t="s">
        <v>322</v>
      </c>
      <c r="D1189">
        <v>3</v>
      </c>
      <c r="E1189" t="s">
        <v>102</v>
      </c>
      <c r="F1189" t="s">
        <v>388</v>
      </c>
      <c r="G1189">
        <f>(O1189/(N1189+O1189+P1189))*100</f>
        <v>21.897810218978105</v>
      </c>
      <c r="H1189">
        <f>(P1189/(O1189+P1189+N1189))*100</f>
        <v>17.335766423357665</v>
      </c>
      <c r="I1189">
        <v>39.229999999999997</v>
      </c>
      <c r="J1189">
        <f>(N1189/(P1189+O1189+N1189))*100</f>
        <v>60.766423357664237</v>
      </c>
      <c r="K1189">
        <v>0.8</v>
      </c>
      <c r="L1189">
        <v>0.3</v>
      </c>
      <c r="M1189">
        <v>0.7</v>
      </c>
      <c r="N1189">
        <v>333</v>
      </c>
      <c r="O1189">
        <v>120</v>
      </c>
      <c r="P1189">
        <v>95</v>
      </c>
      <c r="Q1189">
        <v>39.229999999999997</v>
      </c>
      <c r="R1189" t="s">
        <v>245</v>
      </c>
      <c r="S1189">
        <v>2.58</v>
      </c>
      <c r="T1189">
        <v>3.56</v>
      </c>
      <c r="U1189">
        <v>117</v>
      </c>
    </row>
    <row r="1190" spans="1:21" ht="15" customHeight="1" x14ac:dyDescent="0.25">
      <c r="A1190" s="2">
        <v>45323.57471064815</v>
      </c>
      <c r="B1190" t="s">
        <v>309</v>
      </c>
      <c r="C1190" t="s">
        <v>322</v>
      </c>
      <c r="D1190">
        <v>3</v>
      </c>
      <c r="E1190" t="s">
        <v>102</v>
      </c>
      <c r="F1190" t="s">
        <v>388</v>
      </c>
      <c r="G1190">
        <f>(O1190/(N1190+O1190+P1190))*100</f>
        <v>25.565217391304344</v>
      </c>
      <c r="H1190">
        <f>(P1190/(O1190+P1190+N1190))*100</f>
        <v>17.391304347826086</v>
      </c>
      <c r="I1190">
        <v>42.96</v>
      </c>
      <c r="J1190">
        <f>(N1190/(P1190+O1190+N1190))*100</f>
        <v>57.043478260869563</v>
      </c>
      <c r="K1190">
        <v>0.7</v>
      </c>
      <c r="L1190">
        <v>0.3</v>
      </c>
      <c r="M1190">
        <v>0.7</v>
      </c>
      <c r="N1190">
        <v>328</v>
      </c>
      <c r="O1190">
        <v>147</v>
      </c>
      <c r="P1190">
        <v>100</v>
      </c>
      <c r="Q1190">
        <v>42.96</v>
      </c>
      <c r="R1190" t="s">
        <v>288</v>
      </c>
      <c r="S1190">
        <v>2.58</v>
      </c>
      <c r="T1190">
        <v>3.56</v>
      </c>
      <c r="U1190">
        <v>90</v>
      </c>
    </row>
    <row r="1191" spans="1:21" ht="15" customHeight="1" x14ac:dyDescent="0.25">
      <c r="A1191" s="2">
        <v>45324.998020833336</v>
      </c>
      <c r="B1191" t="s">
        <v>309</v>
      </c>
      <c r="C1191" t="s">
        <v>368</v>
      </c>
      <c r="D1191">
        <v>2</v>
      </c>
      <c r="E1191" t="s">
        <v>102</v>
      </c>
      <c r="F1191" t="s">
        <v>388</v>
      </c>
      <c r="G1191">
        <f>(O1191/(N1191+O1191+P1191))*100</f>
        <v>45.469522240527183</v>
      </c>
      <c r="H1191">
        <f>(P1191/(O1191+P1191+N1191))*100</f>
        <v>0</v>
      </c>
      <c r="I1191">
        <v>45.47</v>
      </c>
      <c r="J1191">
        <f>(N1191/(P1191+O1191+N1191))*100</f>
        <v>54.530477759472817</v>
      </c>
      <c r="K1191">
        <v>0.8</v>
      </c>
      <c r="L1191">
        <v>0.3</v>
      </c>
      <c r="M1191">
        <v>0.7</v>
      </c>
      <c r="N1191">
        <v>331</v>
      </c>
      <c r="O1191">
        <v>276</v>
      </c>
      <c r="P1191">
        <v>0</v>
      </c>
      <c r="Q1191">
        <v>45.47</v>
      </c>
      <c r="R1191" t="s">
        <v>234</v>
      </c>
      <c r="S1191">
        <v>1.1499999999999999</v>
      </c>
      <c r="T1191">
        <v>1.26</v>
      </c>
    </row>
    <row r="1192" spans="1:21" ht="15" customHeight="1" x14ac:dyDescent="0.25">
      <c r="A1192" t="s">
        <v>19</v>
      </c>
      <c r="B1192" t="s">
        <v>20</v>
      </c>
      <c r="C1192" t="s">
        <v>308</v>
      </c>
      <c r="D1192">
        <v>3</v>
      </c>
      <c r="E1192" t="s">
        <v>103</v>
      </c>
      <c r="F1192" t="s">
        <v>388</v>
      </c>
      <c r="G1192">
        <v>40</v>
      </c>
      <c r="H1192">
        <v>20</v>
      </c>
      <c r="I1192">
        <f>G1192+H1192</f>
        <v>60</v>
      </c>
      <c r="J1192">
        <f>100-G1192-H1192</f>
        <v>40</v>
      </c>
      <c r="K1192" t="s">
        <v>19</v>
      </c>
      <c r="L1192" t="s">
        <v>19</v>
      </c>
      <c r="M1192" t="s">
        <v>19</v>
      </c>
      <c r="N1192" t="s">
        <v>19</v>
      </c>
      <c r="O1192" t="s">
        <v>19</v>
      </c>
      <c r="P1192" t="s">
        <v>19</v>
      </c>
      <c r="Q1192">
        <f>I1192</f>
        <v>60</v>
      </c>
      <c r="R1192" t="s">
        <v>19</v>
      </c>
      <c r="S1192" t="s">
        <v>19</v>
      </c>
      <c r="T1192" t="s">
        <v>19</v>
      </c>
    </row>
    <row r="1193" spans="1:21" ht="15" customHeight="1" x14ac:dyDescent="0.25">
      <c r="A1193" t="s">
        <v>19</v>
      </c>
      <c r="B1193" t="s">
        <v>20</v>
      </c>
      <c r="C1193" t="s">
        <v>22</v>
      </c>
      <c r="D1193">
        <v>3</v>
      </c>
      <c r="E1193" t="s">
        <v>103</v>
      </c>
      <c r="F1193" t="s">
        <v>388</v>
      </c>
      <c r="G1193">
        <v>20</v>
      </c>
      <c r="H1193">
        <v>10</v>
      </c>
      <c r="I1193">
        <f>G1193+H1193</f>
        <v>30</v>
      </c>
      <c r="J1193">
        <f>100-G1193-H1193</f>
        <v>70</v>
      </c>
      <c r="K1193" t="s">
        <v>19</v>
      </c>
      <c r="L1193" t="s">
        <v>19</v>
      </c>
      <c r="M1193" t="s">
        <v>19</v>
      </c>
      <c r="N1193" t="s">
        <v>19</v>
      </c>
      <c r="O1193" t="s">
        <v>19</v>
      </c>
      <c r="P1193" t="s">
        <v>19</v>
      </c>
      <c r="Q1193">
        <f>I1193</f>
        <v>30</v>
      </c>
      <c r="R1193" t="s">
        <v>19</v>
      </c>
      <c r="S1193" t="s">
        <v>19</v>
      </c>
      <c r="T1193" t="s">
        <v>19</v>
      </c>
    </row>
    <row r="1194" spans="1:21" ht="15" customHeight="1" x14ac:dyDescent="0.25">
      <c r="A1194" t="s">
        <v>19</v>
      </c>
      <c r="B1194" t="s">
        <v>20</v>
      </c>
      <c r="C1194" t="s">
        <v>305</v>
      </c>
      <c r="D1194">
        <v>3</v>
      </c>
      <c r="E1194" t="s">
        <v>103</v>
      </c>
      <c r="F1194" t="s">
        <v>388</v>
      </c>
      <c r="G1194">
        <v>55</v>
      </c>
      <c r="H1194">
        <v>15</v>
      </c>
      <c r="I1194">
        <f>G1194+H1194</f>
        <v>70</v>
      </c>
      <c r="J1194">
        <f>100-G1194-H1194</f>
        <v>30</v>
      </c>
      <c r="K1194" t="s">
        <v>19</v>
      </c>
      <c r="L1194" t="s">
        <v>19</v>
      </c>
      <c r="M1194" t="s">
        <v>19</v>
      </c>
      <c r="N1194" t="s">
        <v>19</v>
      </c>
      <c r="O1194" t="s">
        <v>19</v>
      </c>
      <c r="P1194" t="s">
        <v>19</v>
      </c>
      <c r="Q1194">
        <f>I1194</f>
        <v>70</v>
      </c>
      <c r="R1194" t="s">
        <v>19</v>
      </c>
      <c r="S1194" t="s">
        <v>19</v>
      </c>
      <c r="T1194" t="s">
        <v>19</v>
      </c>
    </row>
    <row r="1195" spans="1:21" ht="15" customHeight="1" x14ac:dyDescent="0.25">
      <c r="A1195" t="s">
        <v>19</v>
      </c>
      <c r="B1195" t="s">
        <v>20</v>
      </c>
      <c r="C1195" t="s">
        <v>307</v>
      </c>
      <c r="D1195">
        <v>3</v>
      </c>
      <c r="E1195" t="s">
        <v>103</v>
      </c>
      <c r="F1195" t="s">
        <v>388</v>
      </c>
      <c r="G1195">
        <v>40</v>
      </c>
      <c r="H1195">
        <v>10</v>
      </c>
      <c r="I1195">
        <f>G1195+H1195</f>
        <v>50</v>
      </c>
      <c r="J1195">
        <f>100-G1195-H1195</f>
        <v>50</v>
      </c>
      <c r="K1195" t="s">
        <v>19</v>
      </c>
      <c r="L1195" t="s">
        <v>19</v>
      </c>
      <c r="M1195" t="s">
        <v>19</v>
      </c>
      <c r="N1195" t="s">
        <v>19</v>
      </c>
      <c r="O1195" t="s">
        <v>19</v>
      </c>
      <c r="P1195" t="s">
        <v>19</v>
      </c>
      <c r="Q1195">
        <f>I1195</f>
        <v>50</v>
      </c>
      <c r="R1195" t="s">
        <v>19</v>
      </c>
      <c r="S1195" t="s">
        <v>19</v>
      </c>
      <c r="T1195" t="s">
        <v>19</v>
      </c>
    </row>
    <row r="1196" spans="1:21" ht="15" customHeight="1" x14ac:dyDescent="0.25">
      <c r="A1196" s="2">
        <v>45253.568749999999</v>
      </c>
      <c r="B1196" t="s">
        <v>309</v>
      </c>
      <c r="C1196" t="s">
        <v>213</v>
      </c>
      <c r="D1196">
        <v>3</v>
      </c>
      <c r="E1196" t="s">
        <v>103</v>
      </c>
      <c r="F1196" t="s">
        <v>388</v>
      </c>
      <c r="G1196">
        <v>12.92246521</v>
      </c>
      <c r="H1196">
        <v>22.06759443</v>
      </c>
      <c r="I1196">
        <v>34.990059639999998</v>
      </c>
      <c r="J1196">
        <v>65.009940360000002</v>
      </c>
      <c r="K1196">
        <v>0.8</v>
      </c>
      <c r="L1196">
        <v>0.2</v>
      </c>
      <c r="M1196">
        <v>0.7</v>
      </c>
      <c r="N1196">
        <v>327</v>
      </c>
      <c r="O1196">
        <v>65</v>
      </c>
      <c r="P1196">
        <v>111</v>
      </c>
      <c r="Q1196">
        <v>34.99</v>
      </c>
      <c r="R1196" t="s">
        <v>255</v>
      </c>
      <c r="S1196">
        <v>2.56</v>
      </c>
      <c r="T1196">
        <v>2.87</v>
      </c>
    </row>
    <row r="1197" spans="1:21" ht="15" customHeight="1" x14ac:dyDescent="0.25">
      <c r="A1197" s="2">
        <v>45253.849305555559</v>
      </c>
      <c r="B1197" t="s">
        <v>309</v>
      </c>
      <c r="C1197" t="s">
        <v>215</v>
      </c>
      <c r="D1197">
        <v>2</v>
      </c>
      <c r="E1197" t="s">
        <v>103</v>
      </c>
      <c r="F1197" t="s">
        <v>388</v>
      </c>
      <c r="G1197">
        <v>51.851851850000003</v>
      </c>
      <c r="H1197">
        <v>0</v>
      </c>
      <c r="I1197">
        <v>51.851851850000003</v>
      </c>
      <c r="J1197">
        <v>48.148148149999997</v>
      </c>
      <c r="K1197">
        <v>0.8</v>
      </c>
      <c r="L1197">
        <v>0.2</v>
      </c>
      <c r="M1197">
        <v>0.7</v>
      </c>
      <c r="N1197">
        <v>299</v>
      </c>
      <c r="O1197">
        <v>322</v>
      </c>
      <c r="P1197">
        <v>0</v>
      </c>
      <c r="Q1197">
        <v>51.85</v>
      </c>
      <c r="R1197" t="s">
        <v>235</v>
      </c>
      <c r="S1197">
        <v>1.21</v>
      </c>
      <c r="T1197">
        <v>1.32</v>
      </c>
    </row>
    <row r="1198" spans="1:21" ht="15" customHeight="1" x14ac:dyDescent="0.25">
      <c r="A1198" s="2">
        <v>45254.017361111109</v>
      </c>
      <c r="B1198" t="s">
        <v>309</v>
      </c>
      <c r="C1198" t="s">
        <v>217</v>
      </c>
      <c r="D1198">
        <v>2</v>
      </c>
      <c r="E1198" t="s">
        <v>103</v>
      </c>
      <c r="F1198" t="s">
        <v>388</v>
      </c>
      <c r="G1198">
        <v>54.458598729999999</v>
      </c>
      <c r="H1198">
        <v>0</v>
      </c>
      <c r="I1198">
        <v>54.458598729999999</v>
      </c>
      <c r="J1198">
        <v>45.541401270000001</v>
      </c>
      <c r="K1198">
        <v>0.8</v>
      </c>
      <c r="L1198">
        <v>0.2</v>
      </c>
      <c r="M1198">
        <v>0.7</v>
      </c>
      <c r="N1198">
        <v>286</v>
      </c>
      <c r="O1198">
        <v>342</v>
      </c>
      <c r="P1198">
        <v>0</v>
      </c>
      <c r="Q1198">
        <v>54.46</v>
      </c>
      <c r="R1198" t="s">
        <v>267</v>
      </c>
      <c r="S1198">
        <v>1.35</v>
      </c>
      <c r="T1198">
        <v>1.46</v>
      </c>
    </row>
    <row r="1199" spans="1:21" ht="15" customHeight="1" x14ac:dyDescent="0.25">
      <c r="A1199" s="2">
        <v>45316.529166666667</v>
      </c>
      <c r="B1199" t="s">
        <v>309</v>
      </c>
      <c r="C1199" t="s">
        <v>219</v>
      </c>
      <c r="D1199">
        <v>3</v>
      </c>
      <c r="E1199" t="s">
        <v>103</v>
      </c>
      <c r="F1199" t="s">
        <v>388</v>
      </c>
      <c r="G1199">
        <v>17.61904762</v>
      </c>
      <c r="H1199">
        <v>14.28571429</v>
      </c>
      <c r="I1199">
        <v>31.9047619</v>
      </c>
      <c r="J1199">
        <v>68.095238100000003</v>
      </c>
      <c r="K1199">
        <v>0.8</v>
      </c>
      <c r="L1199">
        <v>0.2</v>
      </c>
      <c r="M1199">
        <v>0.7</v>
      </c>
      <c r="N1199">
        <v>286</v>
      </c>
      <c r="O1199">
        <v>74</v>
      </c>
      <c r="P1199">
        <v>60</v>
      </c>
      <c r="Q1199">
        <v>31.9</v>
      </c>
      <c r="R1199" t="s">
        <v>225</v>
      </c>
      <c r="S1199">
        <v>3.1</v>
      </c>
      <c r="T1199">
        <v>4.3899999999999997</v>
      </c>
    </row>
    <row r="1200" spans="1:21" ht="15" customHeight="1" x14ac:dyDescent="0.25">
      <c r="A1200" s="2">
        <v>45320.869444444441</v>
      </c>
      <c r="B1200" t="s">
        <v>309</v>
      </c>
      <c r="C1200" t="s">
        <v>221</v>
      </c>
      <c r="D1200">
        <v>2</v>
      </c>
      <c r="E1200" t="s">
        <v>103</v>
      </c>
      <c r="F1200" t="s">
        <v>388</v>
      </c>
      <c r="G1200">
        <v>68.214285709999999</v>
      </c>
      <c r="H1200">
        <v>0</v>
      </c>
      <c r="I1200">
        <v>68.214285709999999</v>
      </c>
      <c r="J1200">
        <v>31.785714290000001</v>
      </c>
      <c r="K1200">
        <v>0.8</v>
      </c>
      <c r="L1200">
        <v>0.3</v>
      </c>
      <c r="M1200">
        <v>0.7</v>
      </c>
      <c r="N1200">
        <v>178</v>
      </c>
      <c r="O1200">
        <v>382</v>
      </c>
      <c r="P1200">
        <v>0</v>
      </c>
      <c r="Q1200">
        <v>68.209999999999994</v>
      </c>
      <c r="R1200" t="s">
        <v>241</v>
      </c>
      <c r="S1200">
        <v>1.7</v>
      </c>
      <c r="T1200">
        <v>1.89</v>
      </c>
    </row>
    <row r="1201" spans="1:21" ht="15" customHeight="1" x14ac:dyDescent="0.25">
      <c r="A1201" t="s">
        <v>19</v>
      </c>
      <c r="B1201" t="s">
        <v>20</v>
      </c>
      <c r="C1201" t="s">
        <v>306</v>
      </c>
      <c r="D1201">
        <v>3</v>
      </c>
      <c r="E1201" t="s">
        <v>103</v>
      </c>
      <c r="F1201" t="s">
        <v>388</v>
      </c>
      <c r="G1201">
        <v>55</v>
      </c>
      <c r="H1201">
        <v>30</v>
      </c>
      <c r="I1201">
        <v>85</v>
      </c>
      <c r="J1201">
        <v>15</v>
      </c>
      <c r="K1201" t="s">
        <v>19</v>
      </c>
      <c r="L1201" t="s">
        <v>19</v>
      </c>
      <c r="M1201" t="s">
        <v>19</v>
      </c>
      <c r="N1201" t="s">
        <v>19</v>
      </c>
      <c r="O1201" t="s">
        <v>19</v>
      </c>
      <c r="P1201" t="s">
        <v>19</v>
      </c>
      <c r="Q1201">
        <f>I1201</f>
        <v>85</v>
      </c>
      <c r="R1201" t="s">
        <v>19</v>
      </c>
      <c r="S1201" t="s">
        <v>19</v>
      </c>
      <c r="T1201" t="s">
        <v>19</v>
      </c>
    </row>
    <row r="1202" spans="1:21" ht="15" customHeight="1" x14ac:dyDescent="0.25">
      <c r="A1202" t="s">
        <v>19</v>
      </c>
      <c r="B1202" t="s">
        <v>20</v>
      </c>
      <c r="C1202" t="s">
        <v>320</v>
      </c>
      <c r="D1202">
        <v>3</v>
      </c>
      <c r="E1202" t="s">
        <v>103</v>
      </c>
      <c r="F1202" t="s">
        <v>388</v>
      </c>
      <c r="G1202">
        <v>15</v>
      </c>
      <c r="H1202">
        <v>10</v>
      </c>
      <c r="I1202">
        <f>100-J1202</f>
        <v>25</v>
      </c>
      <c r="J1202">
        <f>100-G1202-H1202</f>
        <v>75</v>
      </c>
      <c r="K1202" t="s">
        <v>19</v>
      </c>
      <c r="L1202" t="s">
        <v>19</v>
      </c>
      <c r="M1202" t="s">
        <v>19</v>
      </c>
      <c r="N1202" t="s">
        <v>19</v>
      </c>
      <c r="O1202" t="s">
        <v>19</v>
      </c>
      <c r="P1202" t="s">
        <v>19</v>
      </c>
      <c r="Q1202">
        <f>I1202</f>
        <v>25</v>
      </c>
      <c r="R1202" t="s">
        <v>19</v>
      </c>
      <c r="S1202" t="s">
        <v>19</v>
      </c>
      <c r="T1202" t="s">
        <v>19</v>
      </c>
    </row>
    <row r="1203" spans="1:21" ht="15" customHeight="1" x14ac:dyDescent="0.25">
      <c r="A1203" s="2">
        <v>45323.578692129631</v>
      </c>
      <c r="B1203" t="s">
        <v>309</v>
      </c>
      <c r="C1203" t="s">
        <v>322</v>
      </c>
      <c r="D1203">
        <v>3</v>
      </c>
      <c r="E1203" t="s">
        <v>103</v>
      </c>
      <c r="F1203" t="s">
        <v>388</v>
      </c>
      <c r="G1203">
        <f>(O1203/(N1203+O1203+P1203))*100</f>
        <v>30.846774193548388</v>
      </c>
      <c r="H1203">
        <f>(P1203/(O1203+P1203+N1203))*100</f>
        <v>7.0564516129032269</v>
      </c>
      <c r="I1203">
        <v>37.9</v>
      </c>
      <c r="J1203">
        <f>(N1203/(P1203+O1203+N1203))*100</f>
        <v>62.096774193548384</v>
      </c>
      <c r="K1203">
        <v>0.8</v>
      </c>
      <c r="L1203">
        <v>0.3</v>
      </c>
      <c r="M1203">
        <v>0.7</v>
      </c>
      <c r="N1203">
        <v>308</v>
      </c>
      <c r="O1203">
        <v>153</v>
      </c>
      <c r="P1203">
        <v>35</v>
      </c>
      <c r="Q1203">
        <v>37.9</v>
      </c>
      <c r="R1203" t="s">
        <v>296</v>
      </c>
      <c r="S1203">
        <v>2.48</v>
      </c>
      <c r="T1203">
        <v>3.42</v>
      </c>
      <c r="U1203">
        <v>196</v>
      </c>
    </row>
    <row r="1204" spans="1:21" ht="15" customHeight="1" x14ac:dyDescent="0.25">
      <c r="A1204" s="2">
        <v>45323.576307870368</v>
      </c>
      <c r="B1204" t="s">
        <v>309</v>
      </c>
      <c r="C1204" t="s">
        <v>322</v>
      </c>
      <c r="D1204">
        <v>3</v>
      </c>
      <c r="E1204" t="s">
        <v>103</v>
      </c>
      <c r="F1204" t="s">
        <v>388</v>
      </c>
      <c r="G1204">
        <f>(O1204/(N1204+O1204+P1204))*100</f>
        <v>35.526315789473685</v>
      </c>
      <c r="H1204">
        <f>(P1204/(O1204+P1204+N1204))*100</f>
        <v>7.8947368421052628</v>
      </c>
      <c r="I1204">
        <v>43.42</v>
      </c>
      <c r="J1204">
        <f>(N1204/(P1204+O1204+N1204))*100</f>
        <v>56.578947368421048</v>
      </c>
      <c r="K1204">
        <v>0.7</v>
      </c>
      <c r="L1204">
        <v>0.3</v>
      </c>
      <c r="M1204">
        <v>0.7</v>
      </c>
      <c r="N1204">
        <v>301</v>
      </c>
      <c r="O1204">
        <v>189</v>
      </c>
      <c r="P1204">
        <v>42</v>
      </c>
      <c r="Q1204">
        <v>43.42</v>
      </c>
      <c r="R1204" t="s">
        <v>337</v>
      </c>
      <c r="S1204">
        <v>2.48</v>
      </c>
      <c r="T1204">
        <v>3.42</v>
      </c>
      <c r="U1204">
        <v>160</v>
      </c>
    </row>
    <row r="1205" spans="1:21" ht="15" customHeight="1" x14ac:dyDescent="0.25">
      <c r="A1205" s="2">
        <v>45324.999606481484</v>
      </c>
      <c r="B1205" t="s">
        <v>309</v>
      </c>
      <c r="C1205" t="s">
        <v>368</v>
      </c>
      <c r="D1205">
        <v>2</v>
      </c>
      <c r="E1205" t="s">
        <v>103</v>
      </c>
      <c r="F1205" t="s">
        <v>388</v>
      </c>
      <c r="G1205">
        <f>(O1205/(N1205+O1205+P1205))*100</f>
        <v>63.479923518164441</v>
      </c>
      <c r="H1205">
        <f>(P1205/(O1205+P1205+N1205))*100</f>
        <v>0</v>
      </c>
      <c r="I1205">
        <v>63.48</v>
      </c>
      <c r="J1205">
        <f>(N1205/(P1205+O1205+N1205))*100</f>
        <v>36.520076481835559</v>
      </c>
      <c r="K1205">
        <v>0.8</v>
      </c>
      <c r="L1205">
        <v>0.3</v>
      </c>
      <c r="M1205">
        <v>0.7</v>
      </c>
      <c r="N1205">
        <v>191</v>
      </c>
      <c r="O1205">
        <v>332</v>
      </c>
      <c r="P1205">
        <v>0</v>
      </c>
      <c r="Q1205">
        <v>63.48</v>
      </c>
      <c r="R1205" t="s">
        <v>345</v>
      </c>
      <c r="S1205">
        <v>1.58</v>
      </c>
      <c r="T1205">
        <v>1.75</v>
      </c>
    </row>
    <row r="1206" spans="1:21" ht="15" customHeight="1" x14ac:dyDescent="0.25">
      <c r="A1206" t="s">
        <v>19</v>
      </c>
      <c r="B1206" t="s">
        <v>20</v>
      </c>
      <c r="C1206" t="s">
        <v>306</v>
      </c>
      <c r="D1206">
        <v>3</v>
      </c>
      <c r="E1206" t="s">
        <v>104</v>
      </c>
      <c r="F1206" t="s">
        <v>373</v>
      </c>
      <c r="G1206">
        <v>0</v>
      </c>
      <c r="H1206">
        <v>0</v>
      </c>
      <c r="I1206">
        <f>G1206+H1206</f>
        <v>0</v>
      </c>
      <c r="J1206">
        <f>100-G1206-H1206</f>
        <v>100</v>
      </c>
      <c r="K1206" t="s">
        <v>19</v>
      </c>
      <c r="L1206" t="s">
        <v>19</v>
      </c>
      <c r="M1206" t="s">
        <v>19</v>
      </c>
      <c r="N1206" t="s">
        <v>19</v>
      </c>
      <c r="O1206" t="s">
        <v>19</v>
      </c>
      <c r="P1206" t="s">
        <v>19</v>
      </c>
      <c r="Q1206">
        <f>I1206</f>
        <v>0</v>
      </c>
      <c r="R1206" t="s">
        <v>19</v>
      </c>
      <c r="S1206" t="s">
        <v>19</v>
      </c>
      <c r="T1206" t="s">
        <v>19</v>
      </c>
    </row>
    <row r="1207" spans="1:21" ht="15" customHeight="1" x14ac:dyDescent="0.25">
      <c r="A1207" t="s">
        <v>19</v>
      </c>
      <c r="B1207" t="s">
        <v>20</v>
      </c>
      <c r="C1207" t="s">
        <v>308</v>
      </c>
      <c r="D1207">
        <v>3</v>
      </c>
      <c r="E1207" t="s">
        <v>104</v>
      </c>
      <c r="F1207" t="s">
        <v>373</v>
      </c>
      <c r="G1207">
        <v>2</v>
      </c>
      <c r="H1207">
        <v>1</v>
      </c>
      <c r="I1207">
        <f>G1207+H1207</f>
        <v>3</v>
      </c>
      <c r="J1207">
        <f>100-G1207-H1207</f>
        <v>97</v>
      </c>
      <c r="K1207" t="s">
        <v>19</v>
      </c>
      <c r="L1207" t="s">
        <v>19</v>
      </c>
      <c r="M1207" t="s">
        <v>19</v>
      </c>
      <c r="N1207" t="s">
        <v>19</v>
      </c>
      <c r="O1207" t="s">
        <v>19</v>
      </c>
      <c r="P1207" t="s">
        <v>19</v>
      </c>
      <c r="Q1207">
        <f>I1207</f>
        <v>3</v>
      </c>
      <c r="R1207" t="s">
        <v>19</v>
      </c>
      <c r="S1207" t="s">
        <v>19</v>
      </c>
      <c r="T1207" t="s">
        <v>19</v>
      </c>
    </row>
    <row r="1208" spans="1:21" ht="15" customHeight="1" x14ac:dyDescent="0.25">
      <c r="A1208" t="s">
        <v>19</v>
      </c>
      <c r="B1208" t="s">
        <v>20</v>
      </c>
      <c r="C1208" t="s">
        <v>22</v>
      </c>
      <c r="D1208">
        <v>3</v>
      </c>
      <c r="E1208" t="s">
        <v>104</v>
      </c>
      <c r="F1208" t="s">
        <v>373</v>
      </c>
      <c r="G1208">
        <v>0</v>
      </c>
      <c r="H1208">
        <v>0</v>
      </c>
      <c r="I1208">
        <f>G1208+H1208</f>
        <v>0</v>
      </c>
      <c r="J1208">
        <f>100-G1208-H1208</f>
        <v>100</v>
      </c>
      <c r="K1208" t="s">
        <v>19</v>
      </c>
      <c r="L1208" t="s">
        <v>19</v>
      </c>
      <c r="M1208" t="s">
        <v>19</v>
      </c>
      <c r="N1208" t="s">
        <v>19</v>
      </c>
      <c r="O1208" t="s">
        <v>19</v>
      </c>
      <c r="P1208" t="s">
        <v>19</v>
      </c>
      <c r="Q1208">
        <f>I1208</f>
        <v>0</v>
      </c>
      <c r="R1208" t="s">
        <v>19</v>
      </c>
      <c r="S1208" t="s">
        <v>19</v>
      </c>
      <c r="T1208" t="s">
        <v>19</v>
      </c>
    </row>
    <row r="1209" spans="1:21" ht="15" customHeight="1" x14ac:dyDescent="0.25">
      <c r="A1209" t="s">
        <v>19</v>
      </c>
      <c r="B1209" t="s">
        <v>20</v>
      </c>
      <c r="C1209" t="s">
        <v>305</v>
      </c>
      <c r="D1209">
        <v>3</v>
      </c>
      <c r="E1209" t="s">
        <v>104</v>
      </c>
      <c r="F1209" t="s">
        <v>373</v>
      </c>
      <c r="G1209">
        <v>0</v>
      </c>
      <c r="H1209">
        <v>0</v>
      </c>
      <c r="I1209">
        <f>G1209+H1209</f>
        <v>0</v>
      </c>
      <c r="J1209">
        <f>100-G1209-H1209</f>
        <v>100</v>
      </c>
      <c r="K1209" t="s">
        <v>19</v>
      </c>
      <c r="L1209" t="s">
        <v>19</v>
      </c>
      <c r="M1209" t="s">
        <v>19</v>
      </c>
      <c r="N1209" t="s">
        <v>19</v>
      </c>
      <c r="O1209" t="s">
        <v>19</v>
      </c>
      <c r="P1209" t="s">
        <v>19</v>
      </c>
      <c r="Q1209">
        <f>I1209</f>
        <v>0</v>
      </c>
      <c r="R1209" t="s">
        <v>19</v>
      </c>
      <c r="S1209" t="s">
        <v>19</v>
      </c>
      <c r="T1209" t="s">
        <v>19</v>
      </c>
    </row>
    <row r="1210" spans="1:21" ht="15" customHeight="1" x14ac:dyDescent="0.25">
      <c r="A1210" t="s">
        <v>19</v>
      </c>
      <c r="B1210" t="s">
        <v>20</v>
      </c>
      <c r="C1210" t="s">
        <v>307</v>
      </c>
      <c r="D1210">
        <v>3</v>
      </c>
      <c r="E1210" t="s">
        <v>104</v>
      </c>
      <c r="F1210" t="s">
        <v>373</v>
      </c>
      <c r="G1210">
        <v>0</v>
      </c>
      <c r="H1210">
        <v>0</v>
      </c>
      <c r="I1210">
        <f>G1210+H1210</f>
        <v>0</v>
      </c>
      <c r="J1210">
        <f>100-G1210-H1210</f>
        <v>100</v>
      </c>
      <c r="K1210" t="s">
        <v>19</v>
      </c>
      <c r="L1210" t="s">
        <v>19</v>
      </c>
      <c r="M1210" t="s">
        <v>19</v>
      </c>
      <c r="N1210" t="s">
        <v>19</v>
      </c>
      <c r="O1210" t="s">
        <v>19</v>
      </c>
      <c r="P1210" t="s">
        <v>19</v>
      </c>
      <c r="Q1210">
        <f>I1210</f>
        <v>0</v>
      </c>
      <c r="R1210" t="s">
        <v>19</v>
      </c>
      <c r="S1210" t="s">
        <v>19</v>
      </c>
      <c r="T1210" t="s">
        <v>19</v>
      </c>
    </row>
    <row r="1211" spans="1:21" ht="15" customHeight="1" x14ac:dyDescent="0.25">
      <c r="A1211" s="2">
        <v>45253.731944444444</v>
      </c>
      <c r="B1211" t="s">
        <v>309</v>
      </c>
      <c r="C1211" t="s">
        <v>213</v>
      </c>
      <c r="D1211">
        <v>3</v>
      </c>
      <c r="E1211" t="s">
        <v>104</v>
      </c>
      <c r="F1211" t="s">
        <v>373</v>
      </c>
      <c r="G1211">
        <v>8.2304526750000004</v>
      </c>
      <c r="H1211">
        <v>2.0576131690000001</v>
      </c>
      <c r="I1211">
        <v>10.28806584</v>
      </c>
      <c r="J1211">
        <v>89.711934159999998</v>
      </c>
      <c r="K1211">
        <v>0.8</v>
      </c>
      <c r="L1211">
        <v>0.2</v>
      </c>
      <c r="M1211">
        <v>0.7</v>
      </c>
      <c r="N1211">
        <v>436</v>
      </c>
      <c r="O1211">
        <v>40</v>
      </c>
      <c r="P1211">
        <v>10</v>
      </c>
      <c r="Q1211">
        <v>10.29</v>
      </c>
      <c r="R1211" t="s">
        <v>238</v>
      </c>
      <c r="S1211">
        <v>3.01</v>
      </c>
      <c r="T1211">
        <v>3.33</v>
      </c>
    </row>
    <row r="1212" spans="1:21" ht="15" customHeight="1" x14ac:dyDescent="0.25">
      <c r="A1212" s="2">
        <v>45253.936111111114</v>
      </c>
      <c r="B1212" t="s">
        <v>309</v>
      </c>
      <c r="C1212" t="s">
        <v>215</v>
      </c>
      <c r="D1212">
        <v>2</v>
      </c>
      <c r="E1212" t="s">
        <v>104</v>
      </c>
      <c r="F1212" t="s">
        <v>373</v>
      </c>
      <c r="G1212">
        <v>0.141442716</v>
      </c>
      <c r="H1212">
        <v>0</v>
      </c>
      <c r="I1212">
        <v>0.141442716</v>
      </c>
      <c r="J1212">
        <v>99.858557279999999</v>
      </c>
      <c r="K1212">
        <v>0.8</v>
      </c>
      <c r="L1212">
        <v>0.2</v>
      </c>
      <c r="M1212">
        <v>0.7</v>
      </c>
      <c r="N1212">
        <v>706</v>
      </c>
      <c r="O1212">
        <v>1</v>
      </c>
      <c r="P1212">
        <v>0</v>
      </c>
      <c r="Q1212">
        <v>0.14000000000000001</v>
      </c>
      <c r="R1212" t="s">
        <v>257</v>
      </c>
      <c r="S1212">
        <v>0.01</v>
      </c>
      <c r="T1212">
        <v>0.01</v>
      </c>
    </row>
    <row r="1213" spans="1:21" ht="15" customHeight="1" x14ac:dyDescent="0.25">
      <c r="A1213" s="2">
        <v>45254.11041666667</v>
      </c>
      <c r="B1213" t="s">
        <v>309</v>
      </c>
      <c r="C1213" t="s">
        <v>217</v>
      </c>
      <c r="D1213">
        <v>2</v>
      </c>
      <c r="E1213" t="s">
        <v>104</v>
      </c>
      <c r="F1213" t="s">
        <v>373</v>
      </c>
      <c r="G1213">
        <v>0.90090090099999998</v>
      </c>
      <c r="H1213">
        <v>0</v>
      </c>
      <c r="I1213">
        <v>0.90090090099999998</v>
      </c>
      <c r="J1213">
        <v>99.099099100000004</v>
      </c>
      <c r="K1213">
        <v>0.8</v>
      </c>
      <c r="L1213">
        <v>0.2</v>
      </c>
      <c r="M1213">
        <v>0.7</v>
      </c>
      <c r="N1213">
        <v>660</v>
      </c>
      <c r="O1213">
        <v>6</v>
      </c>
      <c r="P1213">
        <v>0</v>
      </c>
      <c r="Q1213">
        <v>0.9</v>
      </c>
      <c r="R1213" t="s">
        <v>227</v>
      </c>
      <c r="S1213">
        <v>7.0000000000000007E-2</v>
      </c>
      <c r="T1213">
        <v>0.08</v>
      </c>
    </row>
    <row r="1214" spans="1:21" ht="15" customHeight="1" x14ac:dyDescent="0.25">
      <c r="A1214" s="2">
        <v>45316.446527777778</v>
      </c>
      <c r="B1214" t="s">
        <v>309</v>
      </c>
      <c r="C1214" t="s">
        <v>219</v>
      </c>
      <c r="D1214">
        <v>3</v>
      </c>
      <c r="E1214" t="s">
        <v>104</v>
      </c>
      <c r="F1214" t="s">
        <v>373</v>
      </c>
      <c r="G1214">
        <v>0.497512438</v>
      </c>
      <c r="H1214">
        <v>0.995024876</v>
      </c>
      <c r="I1214">
        <v>1.4925373129999999</v>
      </c>
      <c r="J1214">
        <v>98.507462689999997</v>
      </c>
      <c r="K1214">
        <v>0.8</v>
      </c>
      <c r="L1214">
        <v>0.2</v>
      </c>
      <c r="M1214">
        <v>0.7</v>
      </c>
      <c r="N1214">
        <v>198</v>
      </c>
      <c r="O1214">
        <v>1</v>
      </c>
      <c r="P1214">
        <v>2</v>
      </c>
      <c r="Q1214">
        <v>1.49</v>
      </c>
      <c r="R1214" t="s">
        <v>231</v>
      </c>
      <c r="S1214">
        <v>3.26</v>
      </c>
      <c r="T1214">
        <v>4.5</v>
      </c>
    </row>
    <row r="1215" spans="1:21" ht="15" customHeight="1" x14ac:dyDescent="0.25">
      <c r="A1215" s="2">
        <v>45320.969444444447</v>
      </c>
      <c r="B1215" t="s">
        <v>309</v>
      </c>
      <c r="C1215" t="s">
        <v>221</v>
      </c>
      <c r="D1215">
        <v>2</v>
      </c>
      <c r="E1215" t="s">
        <v>104</v>
      </c>
      <c r="F1215" t="s">
        <v>373</v>
      </c>
      <c r="G1215">
        <v>0.64829821700000001</v>
      </c>
      <c r="H1215">
        <v>0</v>
      </c>
      <c r="I1215">
        <v>0.64829821700000001</v>
      </c>
      <c r="J1215">
        <v>99.351701779999999</v>
      </c>
      <c r="K1215">
        <v>0.8</v>
      </c>
      <c r="L1215">
        <v>0.3</v>
      </c>
      <c r="M1215">
        <v>0.7</v>
      </c>
      <c r="N1215">
        <v>613</v>
      </c>
      <c r="O1215">
        <v>4</v>
      </c>
      <c r="P1215">
        <v>0</v>
      </c>
      <c r="Q1215">
        <v>0.65</v>
      </c>
      <c r="R1215" t="s">
        <v>218</v>
      </c>
      <c r="S1215">
        <v>0.03</v>
      </c>
      <c r="T1215">
        <v>0.03</v>
      </c>
    </row>
    <row r="1216" spans="1:21" ht="15" customHeight="1" x14ac:dyDescent="0.25">
      <c r="A1216" t="s">
        <v>19</v>
      </c>
      <c r="B1216" t="s">
        <v>20</v>
      </c>
      <c r="C1216" t="s">
        <v>320</v>
      </c>
      <c r="D1216">
        <v>3</v>
      </c>
      <c r="E1216" t="s">
        <v>104</v>
      </c>
      <c r="F1216" t="s">
        <v>373</v>
      </c>
      <c r="G1216">
        <v>0</v>
      </c>
      <c r="H1216">
        <v>0</v>
      </c>
      <c r="I1216">
        <f>100-J1216</f>
        <v>0</v>
      </c>
      <c r="J1216">
        <f>100-G1216-H1216</f>
        <v>100</v>
      </c>
      <c r="K1216" t="s">
        <v>19</v>
      </c>
      <c r="L1216" t="s">
        <v>19</v>
      </c>
      <c r="M1216" t="s">
        <v>19</v>
      </c>
      <c r="N1216" t="s">
        <v>19</v>
      </c>
      <c r="O1216" t="s">
        <v>19</v>
      </c>
      <c r="P1216" t="s">
        <v>19</v>
      </c>
      <c r="Q1216">
        <f>I1216</f>
        <v>0</v>
      </c>
      <c r="R1216" t="s">
        <v>19</v>
      </c>
      <c r="S1216" t="s">
        <v>19</v>
      </c>
      <c r="T1216" t="s">
        <v>19</v>
      </c>
    </row>
    <row r="1217" spans="1:21" ht="15" customHeight="1" x14ac:dyDescent="0.25">
      <c r="A1217" s="2">
        <v>45323.57675925926</v>
      </c>
      <c r="B1217" t="s">
        <v>309</v>
      </c>
      <c r="C1217" t="s">
        <v>322</v>
      </c>
      <c r="D1217">
        <v>3</v>
      </c>
      <c r="E1217" t="s">
        <v>104</v>
      </c>
      <c r="F1217" t="s">
        <v>373</v>
      </c>
      <c r="G1217">
        <f>(O1217/(N1217+O1217+P1217))*100</f>
        <v>0.3289473684210526</v>
      </c>
      <c r="H1217">
        <f>(P1217/(O1217+P1217+N1217))*100</f>
        <v>0</v>
      </c>
      <c r="I1217">
        <f>((O1217+P1217)/(P1217+O1217+N1217))*100</f>
        <v>0.3289473684210526</v>
      </c>
      <c r="J1217">
        <f>(N1217/(P1217+O1217+N1217))*100</f>
        <v>99.671052631578945</v>
      </c>
      <c r="K1217">
        <v>0.8</v>
      </c>
      <c r="L1217">
        <v>0.3</v>
      </c>
      <c r="M1217">
        <v>0.7</v>
      </c>
      <c r="N1217">
        <v>606</v>
      </c>
      <c r="O1217">
        <v>2</v>
      </c>
      <c r="P1217">
        <v>0</v>
      </c>
      <c r="Q1217">
        <v>0.33</v>
      </c>
      <c r="R1217" t="s">
        <v>255</v>
      </c>
      <c r="S1217">
        <v>2.71</v>
      </c>
      <c r="T1217">
        <v>3.11</v>
      </c>
      <c r="U1217">
        <v>32</v>
      </c>
    </row>
    <row r="1218" spans="1:21" ht="15" customHeight="1" x14ac:dyDescent="0.25">
      <c r="A1218" s="2">
        <v>45323.57980324074</v>
      </c>
      <c r="B1218" t="s">
        <v>309</v>
      </c>
      <c r="C1218" t="s">
        <v>322</v>
      </c>
      <c r="D1218">
        <v>3</v>
      </c>
      <c r="E1218" t="s">
        <v>104</v>
      </c>
      <c r="F1218" t="s">
        <v>373</v>
      </c>
      <c r="G1218">
        <f>(O1218/(N1218+O1218+P1218))*100</f>
        <v>0.65573770491803274</v>
      </c>
      <c r="H1218">
        <f>(P1218/(O1218+P1218+N1218))*100</f>
        <v>0</v>
      </c>
      <c r="I1218">
        <f>((O1218+P1218)/(P1218+O1218+N1218))*100</f>
        <v>0.65573770491803274</v>
      </c>
      <c r="J1218">
        <f>(N1218/(P1218+O1218+N1218))*100</f>
        <v>99.344262295081961</v>
      </c>
      <c r="K1218">
        <v>0.7</v>
      </c>
      <c r="L1218">
        <v>0.3</v>
      </c>
      <c r="M1218">
        <v>0.7</v>
      </c>
      <c r="N1218">
        <v>606</v>
      </c>
      <c r="O1218">
        <v>4</v>
      </c>
      <c r="P1218">
        <v>0</v>
      </c>
      <c r="Q1218">
        <v>0.66</v>
      </c>
      <c r="R1218" t="s">
        <v>339</v>
      </c>
      <c r="S1218">
        <v>2.71</v>
      </c>
      <c r="T1218">
        <v>3.11</v>
      </c>
      <c r="U1218">
        <v>30</v>
      </c>
    </row>
    <row r="1219" spans="1:21" ht="15" customHeight="1" x14ac:dyDescent="0.25">
      <c r="A1219" s="2">
        <v>45325.147627314815</v>
      </c>
      <c r="B1219" t="s">
        <v>309</v>
      </c>
      <c r="C1219" t="s">
        <v>368</v>
      </c>
      <c r="D1219">
        <v>2</v>
      </c>
      <c r="E1219" t="s">
        <v>104</v>
      </c>
      <c r="F1219" t="s">
        <v>373</v>
      </c>
      <c r="G1219">
        <f>(O1219/(N1219+O1219+P1219))*100</f>
        <v>0.32154340836012862</v>
      </c>
      <c r="H1219">
        <f>(P1219/(O1219+P1219+N1219))*100</f>
        <v>0</v>
      </c>
      <c r="I1219">
        <v>0.32</v>
      </c>
      <c r="J1219">
        <f>(N1219/(P1219+O1219+N1219))*100</f>
        <v>99.678456591639872</v>
      </c>
      <c r="K1219">
        <v>0.8</v>
      </c>
      <c r="L1219">
        <v>0.3</v>
      </c>
      <c r="M1219">
        <v>0.7</v>
      </c>
      <c r="N1219">
        <v>620</v>
      </c>
      <c r="O1219">
        <v>2</v>
      </c>
      <c r="P1219">
        <v>0</v>
      </c>
      <c r="Q1219">
        <v>0.32</v>
      </c>
      <c r="R1219" t="s">
        <v>367</v>
      </c>
      <c r="S1219">
        <v>0.02</v>
      </c>
      <c r="T1219">
        <v>0.02</v>
      </c>
    </row>
    <row r="1220" spans="1:21" ht="15" customHeight="1" x14ac:dyDescent="0.25">
      <c r="A1220" t="s">
        <v>19</v>
      </c>
      <c r="B1220" t="s">
        <v>20</v>
      </c>
      <c r="C1220" t="s">
        <v>308</v>
      </c>
      <c r="D1220">
        <v>3</v>
      </c>
      <c r="E1220" t="s">
        <v>105</v>
      </c>
      <c r="F1220" t="s">
        <v>388</v>
      </c>
      <c r="G1220">
        <v>3</v>
      </c>
      <c r="H1220">
        <v>8</v>
      </c>
      <c r="I1220">
        <f>G1220+H1220</f>
        <v>11</v>
      </c>
      <c r="J1220">
        <f>100-G1220-H1220</f>
        <v>89</v>
      </c>
      <c r="K1220" t="s">
        <v>19</v>
      </c>
      <c r="L1220" t="s">
        <v>19</v>
      </c>
      <c r="M1220" t="s">
        <v>19</v>
      </c>
      <c r="N1220" t="s">
        <v>19</v>
      </c>
      <c r="O1220" t="s">
        <v>19</v>
      </c>
      <c r="P1220" t="s">
        <v>19</v>
      </c>
      <c r="Q1220">
        <f>I1220</f>
        <v>11</v>
      </c>
      <c r="R1220" t="s">
        <v>19</v>
      </c>
      <c r="S1220" t="s">
        <v>19</v>
      </c>
      <c r="T1220" t="s">
        <v>19</v>
      </c>
    </row>
    <row r="1221" spans="1:21" ht="15" customHeight="1" x14ac:dyDescent="0.25">
      <c r="A1221" t="s">
        <v>19</v>
      </c>
      <c r="B1221" t="s">
        <v>20</v>
      </c>
      <c r="C1221" t="s">
        <v>22</v>
      </c>
      <c r="D1221">
        <v>3</v>
      </c>
      <c r="E1221" t="s">
        <v>105</v>
      </c>
      <c r="F1221" t="s">
        <v>388</v>
      </c>
      <c r="G1221">
        <v>0</v>
      </c>
      <c r="H1221">
        <v>8</v>
      </c>
      <c r="I1221">
        <f>G1221+H1221</f>
        <v>8</v>
      </c>
      <c r="J1221">
        <f>100-G1221-H1221</f>
        <v>92</v>
      </c>
      <c r="K1221" t="s">
        <v>19</v>
      </c>
      <c r="L1221" t="s">
        <v>19</v>
      </c>
      <c r="M1221" t="s">
        <v>19</v>
      </c>
      <c r="N1221" t="s">
        <v>19</v>
      </c>
      <c r="O1221" t="s">
        <v>19</v>
      </c>
      <c r="P1221" t="s">
        <v>19</v>
      </c>
      <c r="Q1221">
        <f>I1221</f>
        <v>8</v>
      </c>
      <c r="R1221" t="s">
        <v>19</v>
      </c>
      <c r="S1221" t="s">
        <v>19</v>
      </c>
      <c r="T1221" t="s">
        <v>19</v>
      </c>
    </row>
    <row r="1222" spans="1:21" ht="15" customHeight="1" x14ac:dyDescent="0.25">
      <c r="A1222" t="s">
        <v>19</v>
      </c>
      <c r="B1222" t="s">
        <v>20</v>
      </c>
      <c r="C1222" t="s">
        <v>305</v>
      </c>
      <c r="D1222">
        <v>3</v>
      </c>
      <c r="E1222" t="s">
        <v>105</v>
      </c>
      <c r="F1222" t="s">
        <v>388</v>
      </c>
      <c r="G1222">
        <v>10</v>
      </c>
      <c r="H1222">
        <v>20</v>
      </c>
      <c r="I1222">
        <f>G1222+H1222</f>
        <v>30</v>
      </c>
      <c r="J1222">
        <f>100-G1222-H1222</f>
        <v>70</v>
      </c>
      <c r="K1222" t="s">
        <v>19</v>
      </c>
      <c r="L1222" t="s">
        <v>19</v>
      </c>
      <c r="M1222" t="s">
        <v>19</v>
      </c>
      <c r="N1222" t="s">
        <v>19</v>
      </c>
      <c r="O1222" t="s">
        <v>19</v>
      </c>
      <c r="P1222" t="s">
        <v>19</v>
      </c>
      <c r="Q1222">
        <f>I1222</f>
        <v>30</v>
      </c>
      <c r="R1222" t="s">
        <v>19</v>
      </c>
      <c r="S1222" t="s">
        <v>19</v>
      </c>
      <c r="T1222" t="s">
        <v>19</v>
      </c>
    </row>
    <row r="1223" spans="1:21" ht="15" customHeight="1" x14ac:dyDescent="0.25">
      <c r="A1223" t="s">
        <v>19</v>
      </c>
      <c r="B1223" t="s">
        <v>20</v>
      </c>
      <c r="C1223" t="s">
        <v>307</v>
      </c>
      <c r="D1223">
        <v>3</v>
      </c>
      <c r="E1223" t="s">
        <v>105</v>
      </c>
      <c r="F1223" t="s">
        <v>388</v>
      </c>
      <c r="G1223">
        <v>5</v>
      </c>
      <c r="H1223">
        <v>4</v>
      </c>
      <c r="I1223">
        <f>G1223+H1223</f>
        <v>9</v>
      </c>
      <c r="J1223">
        <f>100-G1223-H1223</f>
        <v>91</v>
      </c>
      <c r="K1223" t="s">
        <v>19</v>
      </c>
      <c r="L1223" t="s">
        <v>19</v>
      </c>
      <c r="M1223" t="s">
        <v>19</v>
      </c>
      <c r="N1223" t="s">
        <v>19</v>
      </c>
      <c r="O1223" t="s">
        <v>19</v>
      </c>
      <c r="P1223" t="s">
        <v>19</v>
      </c>
      <c r="Q1223">
        <f>I1223</f>
        <v>9</v>
      </c>
      <c r="R1223" t="s">
        <v>19</v>
      </c>
      <c r="S1223" t="s">
        <v>19</v>
      </c>
      <c r="T1223" t="s">
        <v>19</v>
      </c>
    </row>
    <row r="1224" spans="1:21" ht="15" customHeight="1" x14ac:dyDescent="0.25">
      <c r="A1224" s="2">
        <v>45253.570833333331</v>
      </c>
      <c r="B1224" t="s">
        <v>309</v>
      </c>
      <c r="C1224" t="s">
        <v>213</v>
      </c>
      <c r="D1224">
        <v>3</v>
      </c>
      <c r="E1224" t="s">
        <v>105</v>
      </c>
      <c r="F1224" t="s">
        <v>388</v>
      </c>
      <c r="G1224">
        <v>1.7628205130000001</v>
      </c>
      <c r="H1224">
        <v>6.8910256409999997</v>
      </c>
      <c r="I1224">
        <v>8.653846154</v>
      </c>
      <c r="J1224">
        <v>91.346153849999993</v>
      </c>
      <c r="K1224">
        <v>0.8</v>
      </c>
      <c r="L1224">
        <v>0.2</v>
      </c>
      <c r="M1224">
        <v>0.7</v>
      </c>
      <c r="N1224">
        <v>570</v>
      </c>
      <c r="O1224">
        <v>11</v>
      </c>
      <c r="P1224">
        <v>43</v>
      </c>
      <c r="Q1224">
        <v>8.65</v>
      </c>
      <c r="R1224" t="s">
        <v>236</v>
      </c>
      <c r="S1224">
        <v>2.59</v>
      </c>
      <c r="T1224">
        <v>3.1</v>
      </c>
    </row>
    <row r="1225" spans="1:21" ht="15" customHeight="1" x14ac:dyDescent="0.25">
      <c r="A1225" s="2">
        <v>45253.850694444445</v>
      </c>
      <c r="B1225" t="s">
        <v>309</v>
      </c>
      <c r="C1225" t="s">
        <v>215</v>
      </c>
      <c r="D1225">
        <v>2</v>
      </c>
      <c r="E1225" t="s">
        <v>105</v>
      </c>
      <c r="F1225" t="s">
        <v>388</v>
      </c>
      <c r="G1225">
        <v>13.97058824</v>
      </c>
      <c r="H1225">
        <v>0</v>
      </c>
      <c r="I1225">
        <v>13.97058824</v>
      </c>
      <c r="J1225">
        <v>86.029411760000002</v>
      </c>
      <c r="K1225">
        <v>0.8</v>
      </c>
      <c r="L1225">
        <v>0.2</v>
      </c>
      <c r="M1225">
        <v>0.7</v>
      </c>
      <c r="N1225">
        <v>585</v>
      </c>
      <c r="O1225">
        <v>95</v>
      </c>
      <c r="P1225">
        <v>0</v>
      </c>
      <c r="Q1225">
        <v>13.97</v>
      </c>
      <c r="R1225" t="s">
        <v>224</v>
      </c>
      <c r="S1225">
        <v>0.35</v>
      </c>
      <c r="T1225">
        <v>0.38</v>
      </c>
    </row>
    <row r="1226" spans="1:21" ht="15" customHeight="1" x14ac:dyDescent="0.25">
      <c r="A1226" s="2">
        <v>45254.018750000003</v>
      </c>
      <c r="B1226" t="s">
        <v>309</v>
      </c>
      <c r="C1226" t="s">
        <v>217</v>
      </c>
      <c r="D1226">
        <v>2</v>
      </c>
      <c r="E1226" t="s">
        <v>105</v>
      </c>
      <c r="F1226" t="s">
        <v>388</v>
      </c>
      <c r="G1226">
        <v>16.326530609999999</v>
      </c>
      <c r="H1226">
        <v>0</v>
      </c>
      <c r="I1226">
        <v>16.326530609999999</v>
      </c>
      <c r="J1226">
        <v>83.673469389999994</v>
      </c>
      <c r="K1226">
        <v>0.8</v>
      </c>
      <c r="L1226">
        <v>0.2</v>
      </c>
      <c r="M1226">
        <v>0.7</v>
      </c>
      <c r="N1226">
        <v>533</v>
      </c>
      <c r="O1226">
        <v>104</v>
      </c>
      <c r="P1226">
        <v>0</v>
      </c>
      <c r="Q1226">
        <v>16.329999999999998</v>
      </c>
      <c r="R1226" t="s">
        <v>220</v>
      </c>
      <c r="S1226">
        <v>0.46</v>
      </c>
      <c r="T1226">
        <v>0.5</v>
      </c>
    </row>
    <row r="1227" spans="1:21" ht="15" customHeight="1" x14ac:dyDescent="0.25">
      <c r="A1227" s="2">
        <v>45316.529861111114</v>
      </c>
      <c r="B1227" t="s">
        <v>309</v>
      </c>
      <c r="C1227" t="s">
        <v>219</v>
      </c>
      <c r="D1227">
        <v>3</v>
      </c>
      <c r="E1227" t="s">
        <v>105</v>
      </c>
      <c r="F1227" t="s">
        <v>388</v>
      </c>
      <c r="G1227">
        <v>0.46511627900000002</v>
      </c>
      <c r="H1227">
        <v>10.23255814</v>
      </c>
      <c r="I1227">
        <v>10.69767442</v>
      </c>
      <c r="J1227">
        <v>89.302325580000002</v>
      </c>
      <c r="K1227">
        <v>0.8</v>
      </c>
      <c r="L1227">
        <v>0.2</v>
      </c>
      <c r="M1227">
        <v>0.7</v>
      </c>
      <c r="N1227">
        <v>384</v>
      </c>
      <c r="O1227">
        <v>2</v>
      </c>
      <c r="P1227">
        <v>44</v>
      </c>
      <c r="Q1227">
        <v>10.7</v>
      </c>
      <c r="R1227" t="s">
        <v>231</v>
      </c>
      <c r="S1227">
        <v>3.11</v>
      </c>
      <c r="T1227">
        <v>4.1500000000000004</v>
      </c>
    </row>
    <row r="1228" spans="1:21" ht="15" customHeight="1" x14ac:dyDescent="0.25">
      <c r="A1228" s="2">
        <v>45320.870138888888</v>
      </c>
      <c r="B1228" t="s">
        <v>309</v>
      </c>
      <c r="C1228" t="s">
        <v>221</v>
      </c>
      <c r="D1228">
        <v>2</v>
      </c>
      <c r="E1228" t="s">
        <v>105</v>
      </c>
      <c r="F1228" t="s">
        <v>388</v>
      </c>
      <c r="G1228">
        <v>9.9547511310000001</v>
      </c>
      <c r="H1228">
        <v>0</v>
      </c>
      <c r="I1228">
        <v>9.9547511310000001</v>
      </c>
      <c r="J1228">
        <v>90.045248869999995</v>
      </c>
      <c r="K1228">
        <v>0.8</v>
      </c>
      <c r="L1228">
        <v>0.3</v>
      </c>
      <c r="M1228">
        <v>0.7</v>
      </c>
      <c r="N1228">
        <v>597</v>
      </c>
      <c r="O1228">
        <v>66</v>
      </c>
      <c r="P1228">
        <v>0</v>
      </c>
      <c r="Q1228">
        <v>9.9499999999999993</v>
      </c>
      <c r="R1228" t="s">
        <v>225</v>
      </c>
      <c r="S1228">
        <v>0.31</v>
      </c>
      <c r="T1228">
        <v>0.34</v>
      </c>
    </row>
    <row r="1229" spans="1:21" ht="15" customHeight="1" x14ac:dyDescent="0.25">
      <c r="A1229" t="s">
        <v>19</v>
      </c>
      <c r="B1229" t="s">
        <v>20</v>
      </c>
      <c r="C1229" t="s">
        <v>306</v>
      </c>
      <c r="D1229">
        <v>3</v>
      </c>
      <c r="E1229" t="s">
        <v>105</v>
      </c>
      <c r="F1229" t="s">
        <v>388</v>
      </c>
      <c r="G1229">
        <v>20</v>
      </c>
      <c r="H1229">
        <v>9</v>
      </c>
      <c r="I1229">
        <f>G1229+H1229</f>
        <v>29</v>
      </c>
      <c r="J1229">
        <f>100-G1229-H1229</f>
        <v>71</v>
      </c>
      <c r="K1229" t="s">
        <v>19</v>
      </c>
      <c r="L1229" t="s">
        <v>19</v>
      </c>
      <c r="M1229" t="s">
        <v>19</v>
      </c>
      <c r="N1229" t="s">
        <v>19</v>
      </c>
      <c r="O1229" t="s">
        <v>19</v>
      </c>
      <c r="P1229" t="s">
        <v>19</v>
      </c>
      <c r="Q1229">
        <f>I1229</f>
        <v>29</v>
      </c>
      <c r="R1229" t="s">
        <v>19</v>
      </c>
      <c r="S1229" t="s">
        <v>19</v>
      </c>
      <c r="T1229" t="s">
        <v>19</v>
      </c>
    </row>
    <row r="1230" spans="1:21" ht="15" customHeight="1" x14ac:dyDescent="0.25">
      <c r="A1230" t="s">
        <v>19</v>
      </c>
      <c r="B1230" t="s">
        <v>20</v>
      </c>
      <c r="C1230" t="s">
        <v>320</v>
      </c>
      <c r="D1230">
        <v>3</v>
      </c>
      <c r="E1230" t="s">
        <v>105</v>
      </c>
      <c r="F1230" t="s">
        <v>388</v>
      </c>
      <c r="G1230">
        <v>0</v>
      </c>
      <c r="H1230">
        <v>15</v>
      </c>
      <c r="I1230">
        <f>100-J1230</f>
        <v>15</v>
      </c>
      <c r="J1230">
        <f>100-G1230-H1230</f>
        <v>85</v>
      </c>
      <c r="K1230" t="s">
        <v>19</v>
      </c>
      <c r="L1230" t="s">
        <v>19</v>
      </c>
      <c r="M1230" t="s">
        <v>19</v>
      </c>
      <c r="N1230" t="s">
        <v>19</v>
      </c>
      <c r="O1230" t="s">
        <v>19</v>
      </c>
      <c r="P1230" t="s">
        <v>19</v>
      </c>
      <c r="Q1230">
        <f>I1230</f>
        <v>15</v>
      </c>
      <c r="R1230" t="s">
        <v>19</v>
      </c>
      <c r="S1230" t="s">
        <v>19</v>
      </c>
      <c r="T1230" t="s">
        <v>19</v>
      </c>
    </row>
    <row r="1231" spans="1:21" ht="15" customHeight="1" x14ac:dyDescent="0.25">
      <c r="A1231" s="2">
        <v>45323.580312500002</v>
      </c>
      <c r="B1231" t="s">
        <v>309</v>
      </c>
      <c r="C1231" t="s">
        <v>322</v>
      </c>
      <c r="D1231">
        <v>3</v>
      </c>
      <c r="E1231" t="s">
        <v>105</v>
      </c>
      <c r="F1231" t="s">
        <v>388</v>
      </c>
      <c r="G1231">
        <f>(O1231/(N1231+O1231+P1231))*100</f>
        <v>3.007518796992481</v>
      </c>
      <c r="H1231">
        <f>(P1231/(O1231+P1231+N1231))*100</f>
        <v>5.8646616541353387</v>
      </c>
      <c r="I1231">
        <v>8.8699999999999992</v>
      </c>
      <c r="J1231">
        <f>(N1231/(P1231+O1231+N1231))*100</f>
        <v>91.127819548872182</v>
      </c>
      <c r="K1231">
        <v>0.8</v>
      </c>
      <c r="L1231">
        <v>0.3</v>
      </c>
      <c r="M1231">
        <v>0.7</v>
      </c>
      <c r="N1231">
        <v>606</v>
      </c>
      <c r="O1231">
        <v>20</v>
      </c>
      <c r="P1231">
        <v>39</v>
      </c>
      <c r="Q1231">
        <v>8.8699999999999992</v>
      </c>
      <c r="R1231" t="s">
        <v>296</v>
      </c>
      <c r="S1231">
        <v>2.5499999999999998</v>
      </c>
      <c r="T1231">
        <v>3.62</v>
      </c>
      <c r="U1231">
        <v>32</v>
      </c>
    </row>
    <row r="1232" spans="1:21" ht="15" customHeight="1" x14ac:dyDescent="0.25">
      <c r="A1232" s="2">
        <v>45323.578067129631</v>
      </c>
      <c r="B1232" t="s">
        <v>309</v>
      </c>
      <c r="C1232" t="s">
        <v>322</v>
      </c>
      <c r="D1232">
        <v>3</v>
      </c>
      <c r="E1232" t="s">
        <v>105</v>
      </c>
      <c r="F1232" t="s">
        <v>388</v>
      </c>
      <c r="G1232">
        <f>(O1232/(N1232+O1232+P1232))*100</f>
        <v>4.1604754829123323</v>
      </c>
      <c r="H1232">
        <f>(P1232/(O1232+P1232+N1232))*100</f>
        <v>5.9435364041604748</v>
      </c>
      <c r="I1232">
        <v>10.1</v>
      </c>
      <c r="J1232">
        <f>(N1232/(P1232+O1232+N1232))*100</f>
        <v>89.895988112927199</v>
      </c>
      <c r="K1232">
        <v>0.7</v>
      </c>
      <c r="L1232">
        <v>0.3</v>
      </c>
      <c r="M1232">
        <v>0.7</v>
      </c>
      <c r="N1232">
        <v>605</v>
      </c>
      <c r="O1232">
        <v>28</v>
      </c>
      <c r="P1232">
        <v>40</v>
      </c>
      <c r="Q1232">
        <v>10.1</v>
      </c>
      <c r="R1232" t="s">
        <v>288</v>
      </c>
      <c r="S1232">
        <v>2.5499999999999998</v>
      </c>
      <c r="T1232">
        <v>3.62</v>
      </c>
      <c r="U1232">
        <v>24</v>
      </c>
    </row>
    <row r="1233" spans="1:21" ht="15" customHeight="1" x14ac:dyDescent="0.25">
      <c r="A1233" s="2">
        <v>45325.001238425924</v>
      </c>
      <c r="B1233" t="s">
        <v>309</v>
      </c>
      <c r="C1233" t="s">
        <v>368</v>
      </c>
      <c r="D1233">
        <v>2</v>
      </c>
      <c r="E1233" t="s">
        <v>105</v>
      </c>
      <c r="F1233" t="s">
        <v>388</v>
      </c>
      <c r="G1233">
        <f>(O1233/(N1233+O1233+P1233))*100</f>
        <v>12.385321100917432</v>
      </c>
      <c r="H1233">
        <f>(P1233/(O1233+P1233+N1233))*100</f>
        <v>0</v>
      </c>
      <c r="I1233">
        <v>12.39</v>
      </c>
      <c r="J1233">
        <f>(N1233/(P1233+O1233+N1233))*100</f>
        <v>87.614678899082563</v>
      </c>
      <c r="K1233">
        <v>0.8</v>
      </c>
      <c r="L1233">
        <v>0.3</v>
      </c>
      <c r="M1233">
        <v>0.7</v>
      </c>
      <c r="N1233">
        <v>573</v>
      </c>
      <c r="O1233">
        <v>81</v>
      </c>
      <c r="P1233">
        <v>0</v>
      </c>
      <c r="Q1233">
        <v>12.39</v>
      </c>
      <c r="R1233" t="s">
        <v>285</v>
      </c>
      <c r="S1233">
        <v>0.36</v>
      </c>
      <c r="T1233">
        <v>0.39</v>
      </c>
    </row>
    <row r="1234" spans="1:21" ht="15" customHeight="1" x14ac:dyDescent="0.25">
      <c r="A1234" t="s">
        <v>19</v>
      </c>
      <c r="B1234" t="s">
        <v>20</v>
      </c>
      <c r="C1234" t="s">
        <v>308</v>
      </c>
      <c r="D1234">
        <v>3</v>
      </c>
      <c r="E1234" t="s">
        <v>106</v>
      </c>
      <c r="F1234" t="s">
        <v>388</v>
      </c>
      <c r="G1234">
        <v>5</v>
      </c>
      <c r="H1234">
        <v>85</v>
      </c>
      <c r="I1234">
        <f>G1234+H1234</f>
        <v>90</v>
      </c>
      <c r="J1234">
        <f>100-G1234-H1234</f>
        <v>10</v>
      </c>
      <c r="K1234" t="s">
        <v>19</v>
      </c>
      <c r="L1234" t="s">
        <v>19</v>
      </c>
      <c r="M1234" t="s">
        <v>19</v>
      </c>
      <c r="N1234" t="s">
        <v>19</v>
      </c>
      <c r="O1234" t="s">
        <v>19</v>
      </c>
      <c r="P1234" t="s">
        <v>19</v>
      </c>
      <c r="Q1234">
        <f>I1234</f>
        <v>90</v>
      </c>
      <c r="R1234" t="s">
        <v>19</v>
      </c>
      <c r="S1234" t="s">
        <v>19</v>
      </c>
      <c r="T1234" t="s">
        <v>19</v>
      </c>
    </row>
    <row r="1235" spans="1:21" ht="15" customHeight="1" x14ac:dyDescent="0.25">
      <c r="A1235" t="s">
        <v>19</v>
      </c>
      <c r="B1235" t="s">
        <v>20</v>
      </c>
      <c r="C1235" t="s">
        <v>22</v>
      </c>
      <c r="D1235">
        <v>3</v>
      </c>
      <c r="E1235" t="s">
        <v>106</v>
      </c>
      <c r="F1235" t="s">
        <v>388</v>
      </c>
      <c r="G1235">
        <v>0</v>
      </c>
      <c r="H1235">
        <v>90</v>
      </c>
      <c r="I1235">
        <f>G1235+H1235</f>
        <v>90</v>
      </c>
      <c r="J1235">
        <f>100-G1235-H1235</f>
        <v>10</v>
      </c>
      <c r="K1235" t="s">
        <v>19</v>
      </c>
      <c r="L1235" t="s">
        <v>19</v>
      </c>
      <c r="M1235" t="s">
        <v>19</v>
      </c>
      <c r="N1235" t="s">
        <v>19</v>
      </c>
      <c r="O1235" t="s">
        <v>19</v>
      </c>
      <c r="P1235" t="s">
        <v>19</v>
      </c>
      <c r="Q1235">
        <f>I1235</f>
        <v>90</v>
      </c>
      <c r="R1235" t="s">
        <v>19</v>
      </c>
      <c r="S1235" t="s">
        <v>19</v>
      </c>
      <c r="T1235" t="s">
        <v>19</v>
      </c>
    </row>
    <row r="1236" spans="1:21" ht="15" customHeight="1" x14ac:dyDescent="0.25">
      <c r="A1236" t="s">
        <v>19</v>
      </c>
      <c r="B1236" t="s">
        <v>20</v>
      </c>
      <c r="C1236" t="s">
        <v>305</v>
      </c>
      <c r="D1236">
        <v>3</v>
      </c>
      <c r="E1236" t="s">
        <v>106</v>
      </c>
      <c r="F1236" t="s">
        <v>388</v>
      </c>
      <c r="G1236">
        <v>20</v>
      </c>
      <c r="H1236">
        <v>70</v>
      </c>
      <c r="I1236">
        <f>G1236+H1236</f>
        <v>90</v>
      </c>
      <c r="J1236">
        <f>100-G1236-H1236</f>
        <v>10</v>
      </c>
      <c r="K1236" t="s">
        <v>19</v>
      </c>
      <c r="L1236" t="s">
        <v>19</v>
      </c>
      <c r="M1236" t="s">
        <v>19</v>
      </c>
      <c r="N1236" t="s">
        <v>19</v>
      </c>
      <c r="O1236" t="s">
        <v>19</v>
      </c>
      <c r="P1236" t="s">
        <v>19</v>
      </c>
      <c r="Q1236">
        <f>I1236</f>
        <v>90</v>
      </c>
      <c r="R1236" t="s">
        <v>19</v>
      </c>
      <c r="S1236" t="s">
        <v>19</v>
      </c>
      <c r="T1236" t="s">
        <v>19</v>
      </c>
    </row>
    <row r="1237" spans="1:21" ht="15" customHeight="1" x14ac:dyDescent="0.25">
      <c r="A1237" t="s">
        <v>19</v>
      </c>
      <c r="B1237" t="s">
        <v>20</v>
      </c>
      <c r="C1237" t="s">
        <v>307</v>
      </c>
      <c r="D1237">
        <v>3</v>
      </c>
      <c r="E1237" t="s">
        <v>106</v>
      </c>
      <c r="F1237" t="s">
        <v>388</v>
      </c>
      <c r="G1237">
        <v>5</v>
      </c>
      <c r="H1237">
        <v>80</v>
      </c>
      <c r="I1237">
        <f>G1237+H1237</f>
        <v>85</v>
      </c>
      <c r="J1237">
        <f>100-G1237-H1237</f>
        <v>15</v>
      </c>
      <c r="K1237" t="s">
        <v>19</v>
      </c>
      <c r="L1237" t="s">
        <v>19</v>
      </c>
      <c r="M1237" t="s">
        <v>19</v>
      </c>
      <c r="N1237" t="s">
        <v>19</v>
      </c>
      <c r="O1237" t="s">
        <v>19</v>
      </c>
      <c r="P1237" t="s">
        <v>19</v>
      </c>
      <c r="Q1237">
        <f>I1237</f>
        <v>85</v>
      </c>
      <c r="R1237" t="s">
        <v>19</v>
      </c>
      <c r="S1237" t="s">
        <v>19</v>
      </c>
      <c r="T1237" t="s">
        <v>19</v>
      </c>
    </row>
    <row r="1238" spans="1:21" ht="15" customHeight="1" x14ac:dyDescent="0.25">
      <c r="A1238" s="2">
        <v>45253.572222222225</v>
      </c>
      <c r="B1238" t="s">
        <v>309</v>
      </c>
      <c r="C1238" t="s">
        <v>213</v>
      </c>
      <c r="D1238">
        <v>3</v>
      </c>
      <c r="E1238" t="s">
        <v>106</v>
      </c>
      <c r="F1238" t="s">
        <v>388</v>
      </c>
      <c r="G1238">
        <v>0.55710306399999998</v>
      </c>
      <c r="H1238">
        <v>88.718662949999995</v>
      </c>
      <c r="I1238">
        <v>89.275766020000006</v>
      </c>
      <c r="J1238">
        <v>10.724233979999999</v>
      </c>
      <c r="K1238">
        <v>0.8</v>
      </c>
      <c r="L1238">
        <v>0.2</v>
      </c>
      <c r="M1238">
        <v>0.7</v>
      </c>
      <c r="N1238">
        <v>77</v>
      </c>
      <c r="O1238">
        <v>4</v>
      </c>
      <c r="P1238">
        <v>637</v>
      </c>
      <c r="Q1238">
        <v>89.28</v>
      </c>
      <c r="R1238" t="s">
        <v>234</v>
      </c>
      <c r="S1238">
        <v>3.03</v>
      </c>
      <c r="T1238">
        <v>4.07</v>
      </c>
    </row>
    <row r="1239" spans="1:21" ht="15" customHeight="1" x14ac:dyDescent="0.25">
      <c r="A1239" s="2">
        <v>45253.851388888892</v>
      </c>
      <c r="B1239" t="s">
        <v>309</v>
      </c>
      <c r="C1239" t="s">
        <v>215</v>
      </c>
      <c r="D1239">
        <v>2</v>
      </c>
      <c r="E1239" t="s">
        <v>106</v>
      </c>
      <c r="F1239" t="s">
        <v>388</v>
      </c>
      <c r="G1239">
        <v>4.9798115750000003</v>
      </c>
      <c r="H1239">
        <v>0</v>
      </c>
      <c r="I1239">
        <v>4.9798115750000003</v>
      </c>
      <c r="J1239">
        <v>95.020188430000005</v>
      </c>
      <c r="K1239">
        <v>0.8</v>
      </c>
      <c r="L1239">
        <v>0.2</v>
      </c>
      <c r="M1239">
        <v>0.7</v>
      </c>
      <c r="N1239">
        <v>706</v>
      </c>
      <c r="O1239">
        <v>37</v>
      </c>
      <c r="P1239">
        <v>0</v>
      </c>
      <c r="Q1239">
        <v>4.9800000000000004</v>
      </c>
      <c r="R1239" t="s">
        <v>216</v>
      </c>
      <c r="S1239">
        <v>0.15</v>
      </c>
      <c r="T1239">
        <v>0.16</v>
      </c>
    </row>
    <row r="1240" spans="1:21" ht="15" customHeight="1" x14ac:dyDescent="0.25">
      <c r="A1240" s="2">
        <v>45254.019444444442</v>
      </c>
      <c r="B1240" t="s">
        <v>309</v>
      </c>
      <c r="C1240" t="s">
        <v>217</v>
      </c>
      <c r="D1240">
        <v>2</v>
      </c>
      <c r="E1240" t="s">
        <v>106</v>
      </c>
      <c r="F1240" t="s">
        <v>388</v>
      </c>
      <c r="G1240">
        <v>7.5239398079999997</v>
      </c>
      <c r="H1240">
        <v>0</v>
      </c>
      <c r="I1240">
        <v>7.5239398079999997</v>
      </c>
      <c r="J1240">
        <v>92.476060189999998</v>
      </c>
      <c r="K1240">
        <v>0.8</v>
      </c>
      <c r="L1240">
        <v>0.2</v>
      </c>
      <c r="M1240">
        <v>0.7</v>
      </c>
      <c r="N1240">
        <v>676</v>
      </c>
      <c r="O1240">
        <v>55</v>
      </c>
      <c r="P1240">
        <v>0</v>
      </c>
      <c r="Q1240">
        <v>7.52</v>
      </c>
      <c r="R1240" t="s">
        <v>225</v>
      </c>
      <c r="S1240">
        <v>0.26</v>
      </c>
      <c r="T1240">
        <v>0.28000000000000003</v>
      </c>
    </row>
    <row r="1241" spans="1:21" ht="15" customHeight="1" x14ac:dyDescent="0.25">
      <c r="A1241" s="2">
        <v>45316.530555555553</v>
      </c>
      <c r="B1241" t="s">
        <v>309</v>
      </c>
      <c r="C1241" t="s">
        <v>219</v>
      </c>
      <c r="D1241">
        <v>3</v>
      </c>
      <c r="E1241" t="s">
        <v>106</v>
      </c>
      <c r="F1241" t="s">
        <v>388</v>
      </c>
      <c r="G1241">
        <v>0.27210884400000002</v>
      </c>
      <c r="H1241">
        <v>89.387755100000007</v>
      </c>
      <c r="I1241">
        <v>89.659863950000002</v>
      </c>
      <c r="J1241">
        <v>10.34013605</v>
      </c>
      <c r="K1241">
        <v>0.8</v>
      </c>
      <c r="L1241">
        <v>0.2</v>
      </c>
      <c r="M1241">
        <v>0.7</v>
      </c>
      <c r="N1241">
        <v>76</v>
      </c>
      <c r="O1241">
        <v>2</v>
      </c>
      <c r="P1241">
        <v>657</v>
      </c>
      <c r="Q1241">
        <v>89.66</v>
      </c>
      <c r="R1241" t="s">
        <v>218</v>
      </c>
      <c r="S1241">
        <v>3.18</v>
      </c>
      <c r="T1241">
        <v>4.92</v>
      </c>
    </row>
    <row r="1242" spans="1:21" ht="15" customHeight="1" x14ac:dyDescent="0.25">
      <c r="A1242" s="2">
        <v>45320.870833333334</v>
      </c>
      <c r="B1242" t="s">
        <v>309</v>
      </c>
      <c r="C1242" t="s">
        <v>221</v>
      </c>
      <c r="D1242">
        <v>2</v>
      </c>
      <c r="E1242" t="s">
        <v>106</v>
      </c>
      <c r="F1242" t="s">
        <v>388</v>
      </c>
      <c r="G1242">
        <v>95.454545449999998</v>
      </c>
      <c r="H1242">
        <v>0</v>
      </c>
      <c r="I1242">
        <v>95.454545449999998</v>
      </c>
      <c r="J1242">
        <v>4.5454545450000001</v>
      </c>
      <c r="K1242">
        <v>0.8</v>
      </c>
      <c r="L1242">
        <v>0.3</v>
      </c>
      <c r="M1242">
        <v>0.7</v>
      </c>
      <c r="N1242">
        <v>32</v>
      </c>
      <c r="O1242">
        <v>672</v>
      </c>
      <c r="P1242">
        <v>0</v>
      </c>
      <c r="Q1242">
        <v>95.45</v>
      </c>
      <c r="R1242" t="s">
        <v>270</v>
      </c>
      <c r="S1242">
        <v>2.61</v>
      </c>
      <c r="T1242">
        <v>2.76</v>
      </c>
    </row>
    <row r="1243" spans="1:21" ht="15" customHeight="1" x14ac:dyDescent="0.25">
      <c r="A1243" t="s">
        <v>19</v>
      </c>
      <c r="B1243" t="s">
        <v>20</v>
      </c>
      <c r="C1243" t="s">
        <v>306</v>
      </c>
      <c r="D1243">
        <v>3</v>
      </c>
      <c r="E1243" t="s">
        <v>106</v>
      </c>
      <c r="F1243" t="s">
        <v>388</v>
      </c>
      <c r="G1243">
        <v>7</v>
      </c>
      <c r="H1243">
        <v>93</v>
      </c>
      <c r="I1243">
        <f>G1243+H1243</f>
        <v>100</v>
      </c>
      <c r="J1243">
        <f>100-G1243-H1243</f>
        <v>0</v>
      </c>
      <c r="K1243" t="s">
        <v>19</v>
      </c>
      <c r="L1243" t="s">
        <v>19</v>
      </c>
      <c r="M1243" t="s">
        <v>19</v>
      </c>
      <c r="N1243" t="s">
        <v>19</v>
      </c>
      <c r="O1243" t="s">
        <v>19</v>
      </c>
      <c r="P1243" t="s">
        <v>19</v>
      </c>
      <c r="Q1243">
        <f>I1243</f>
        <v>100</v>
      </c>
      <c r="R1243" t="s">
        <v>19</v>
      </c>
      <c r="S1243" t="s">
        <v>19</v>
      </c>
      <c r="T1243" t="s">
        <v>19</v>
      </c>
    </row>
    <row r="1244" spans="1:21" ht="15" customHeight="1" x14ac:dyDescent="0.25">
      <c r="A1244" t="s">
        <v>19</v>
      </c>
      <c r="B1244" t="s">
        <v>20</v>
      </c>
      <c r="C1244" t="s">
        <v>320</v>
      </c>
      <c r="D1244">
        <v>3</v>
      </c>
      <c r="E1244" t="s">
        <v>106</v>
      </c>
      <c r="F1244" t="s">
        <v>388</v>
      </c>
      <c r="G1244">
        <v>5</v>
      </c>
      <c r="H1244">
        <v>80</v>
      </c>
      <c r="I1244">
        <f>100-J1244</f>
        <v>85</v>
      </c>
      <c r="J1244">
        <f>100-G1244-H1244</f>
        <v>15</v>
      </c>
      <c r="K1244" t="s">
        <v>19</v>
      </c>
      <c r="L1244" t="s">
        <v>19</v>
      </c>
      <c r="M1244" t="s">
        <v>19</v>
      </c>
      <c r="N1244" t="s">
        <v>19</v>
      </c>
      <c r="O1244" t="s">
        <v>19</v>
      </c>
      <c r="P1244" t="s">
        <v>19</v>
      </c>
      <c r="Q1244">
        <f>I1244</f>
        <v>85</v>
      </c>
      <c r="R1244" t="s">
        <v>19</v>
      </c>
      <c r="S1244" t="s">
        <v>19</v>
      </c>
      <c r="T1244" t="s">
        <v>19</v>
      </c>
    </row>
    <row r="1245" spans="1:21" ht="15" customHeight="1" x14ac:dyDescent="0.25">
      <c r="A1245" s="2">
        <v>45323.581932870373</v>
      </c>
      <c r="B1245" t="s">
        <v>309</v>
      </c>
      <c r="C1245" t="s">
        <v>322</v>
      </c>
      <c r="D1245">
        <v>3</v>
      </c>
      <c r="E1245" t="s">
        <v>106</v>
      </c>
      <c r="F1245" t="s">
        <v>388</v>
      </c>
      <c r="G1245">
        <f>(O1245/(N1245+O1245+P1245))*100</f>
        <v>2.8490028490028489</v>
      </c>
      <c r="H1245">
        <f>(P1245/(O1245+P1245+N1245))*100</f>
        <v>87.037037037037038</v>
      </c>
      <c r="I1245">
        <v>89.89</v>
      </c>
      <c r="J1245">
        <f>(N1245/(P1245+O1245+N1245))*100</f>
        <v>10.113960113960115</v>
      </c>
      <c r="K1245">
        <v>0.8</v>
      </c>
      <c r="L1245">
        <v>0.3</v>
      </c>
      <c r="M1245">
        <v>0.7</v>
      </c>
      <c r="N1245">
        <v>71</v>
      </c>
      <c r="O1245">
        <v>20</v>
      </c>
      <c r="P1245">
        <v>611</v>
      </c>
      <c r="Q1245">
        <v>89.89</v>
      </c>
      <c r="R1245" t="s">
        <v>332</v>
      </c>
      <c r="S1245">
        <v>2.98</v>
      </c>
      <c r="T1245">
        <v>4.3499999999999996</v>
      </c>
      <c r="U1245">
        <v>28</v>
      </c>
    </row>
    <row r="1246" spans="1:21" ht="15" customHeight="1" x14ac:dyDescent="0.25">
      <c r="A1246" s="2">
        <v>45323.579710648148</v>
      </c>
      <c r="B1246" t="s">
        <v>309</v>
      </c>
      <c r="C1246" t="s">
        <v>322</v>
      </c>
      <c r="D1246">
        <v>3</v>
      </c>
      <c r="E1246" t="s">
        <v>106</v>
      </c>
      <c r="F1246" t="s">
        <v>388</v>
      </c>
      <c r="G1246">
        <f>(O1246/(N1246+O1246+P1246))*100</f>
        <v>3.125</v>
      </c>
      <c r="H1246">
        <f>(P1246/(O1246+P1246+N1246))*100</f>
        <v>89.630681818181827</v>
      </c>
      <c r="I1246">
        <v>92.76</v>
      </c>
      <c r="J1246">
        <f>(N1246/(P1246+O1246+N1246))*100</f>
        <v>7.2443181818181825</v>
      </c>
      <c r="K1246">
        <v>0.7</v>
      </c>
      <c r="L1246">
        <v>0.3</v>
      </c>
      <c r="M1246">
        <v>0.7</v>
      </c>
      <c r="N1246">
        <v>51</v>
      </c>
      <c r="O1246">
        <v>22</v>
      </c>
      <c r="P1246">
        <v>631</v>
      </c>
      <c r="Q1246">
        <v>92.76</v>
      </c>
      <c r="R1246" t="s">
        <v>338</v>
      </c>
      <c r="S1246">
        <v>2.98</v>
      </c>
      <c r="T1246">
        <v>4.3499999999999996</v>
      </c>
      <c r="U1246">
        <v>26</v>
      </c>
    </row>
    <row r="1247" spans="1:21" ht="15" customHeight="1" x14ac:dyDescent="0.25">
      <c r="A1247" s="2">
        <v>45325.002604166664</v>
      </c>
      <c r="B1247" t="s">
        <v>309</v>
      </c>
      <c r="C1247" t="s">
        <v>368</v>
      </c>
      <c r="D1247">
        <v>2</v>
      </c>
      <c r="E1247" t="s">
        <v>106</v>
      </c>
      <c r="F1247" t="s">
        <v>388</v>
      </c>
      <c r="G1247">
        <f>(O1247/(N1247+O1247+P1247))*100</f>
        <v>98.104956268221571</v>
      </c>
      <c r="H1247">
        <f>(P1247/(O1247+P1247+N1247))*100</f>
        <v>0</v>
      </c>
      <c r="I1247">
        <v>98.1</v>
      </c>
      <c r="J1247">
        <f>(N1247/(P1247+O1247+N1247))*100</f>
        <v>1.8950437317784257</v>
      </c>
      <c r="K1247">
        <v>0.8</v>
      </c>
      <c r="L1247">
        <v>0.3</v>
      </c>
      <c r="M1247">
        <v>0.7</v>
      </c>
      <c r="N1247">
        <v>13</v>
      </c>
      <c r="O1247">
        <v>673</v>
      </c>
      <c r="P1247">
        <v>0</v>
      </c>
      <c r="Q1247">
        <v>98.1</v>
      </c>
      <c r="R1247" t="s">
        <v>333</v>
      </c>
      <c r="S1247">
        <v>2.38</v>
      </c>
      <c r="T1247">
        <v>2.61</v>
      </c>
    </row>
    <row r="1248" spans="1:21" ht="15" customHeight="1" x14ac:dyDescent="0.25">
      <c r="A1248" t="s">
        <v>19</v>
      </c>
      <c r="B1248" t="s">
        <v>20</v>
      </c>
      <c r="C1248" t="s">
        <v>306</v>
      </c>
      <c r="D1248">
        <v>3</v>
      </c>
      <c r="E1248" t="s">
        <v>107</v>
      </c>
      <c r="F1248" t="s">
        <v>373</v>
      </c>
      <c r="G1248">
        <v>11</v>
      </c>
      <c r="H1248">
        <v>1</v>
      </c>
      <c r="I1248">
        <f>G1248+H1248</f>
        <v>12</v>
      </c>
      <c r="J1248">
        <f>100-G1248-H1248</f>
        <v>88</v>
      </c>
      <c r="K1248" t="s">
        <v>19</v>
      </c>
      <c r="L1248" t="s">
        <v>19</v>
      </c>
      <c r="M1248" t="s">
        <v>19</v>
      </c>
      <c r="N1248" t="s">
        <v>19</v>
      </c>
      <c r="O1248" t="s">
        <v>19</v>
      </c>
      <c r="P1248" t="s">
        <v>19</v>
      </c>
      <c r="Q1248">
        <f>I1248</f>
        <v>12</v>
      </c>
      <c r="R1248" t="s">
        <v>19</v>
      </c>
      <c r="S1248" t="s">
        <v>19</v>
      </c>
      <c r="T1248" t="s">
        <v>19</v>
      </c>
    </row>
    <row r="1249" spans="1:21" ht="15" customHeight="1" x14ac:dyDescent="0.25">
      <c r="A1249" t="s">
        <v>19</v>
      </c>
      <c r="B1249" t="s">
        <v>20</v>
      </c>
      <c r="C1249" t="s">
        <v>308</v>
      </c>
      <c r="D1249">
        <v>3</v>
      </c>
      <c r="E1249" t="s">
        <v>107</v>
      </c>
      <c r="F1249" t="s">
        <v>373</v>
      </c>
      <c r="G1249">
        <v>15</v>
      </c>
      <c r="H1249">
        <v>0</v>
      </c>
      <c r="I1249">
        <f>G1249+H1249</f>
        <v>15</v>
      </c>
      <c r="J1249">
        <f>100-G1249-H1249</f>
        <v>85</v>
      </c>
      <c r="K1249" t="s">
        <v>19</v>
      </c>
      <c r="L1249" t="s">
        <v>19</v>
      </c>
      <c r="M1249" t="s">
        <v>19</v>
      </c>
      <c r="N1249" t="s">
        <v>19</v>
      </c>
      <c r="O1249" t="s">
        <v>19</v>
      </c>
      <c r="P1249" t="s">
        <v>19</v>
      </c>
      <c r="Q1249">
        <f>I1249</f>
        <v>15</v>
      </c>
      <c r="R1249" t="s">
        <v>19</v>
      </c>
      <c r="S1249" t="s">
        <v>19</v>
      </c>
      <c r="T1249" t="s">
        <v>19</v>
      </c>
    </row>
    <row r="1250" spans="1:21" ht="15" customHeight="1" x14ac:dyDescent="0.25">
      <c r="A1250" t="s">
        <v>19</v>
      </c>
      <c r="B1250" t="s">
        <v>20</v>
      </c>
      <c r="C1250" t="s">
        <v>22</v>
      </c>
      <c r="D1250">
        <v>3</v>
      </c>
      <c r="E1250" t="s">
        <v>107</v>
      </c>
      <c r="F1250" t="s">
        <v>373</v>
      </c>
      <c r="G1250">
        <v>5</v>
      </c>
      <c r="H1250">
        <v>0</v>
      </c>
      <c r="I1250">
        <f>G1250+H1250</f>
        <v>5</v>
      </c>
      <c r="J1250">
        <f>100-G1250-H1250</f>
        <v>95</v>
      </c>
      <c r="K1250" t="s">
        <v>19</v>
      </c>
      <c r="L1250" t="s">
        <v>19</v>
      </c>
      <c r="M1250" t="s">
        <v>19</v>
      </c>
      <c r="N1250" t="s">
        <v>19</v>
      </c>
      <c r="O1250" t="s">
        <v>19</v>
      </c>
      <c r="P1250" t="s">
        <v>19</v>
      </c>
      <c r="Q1250">
        <f>I1250</f>
        <v>5</v>
      </c>
      <c r="R1250" t="s">
        <v>19</v>
      </c>
      <c r="S1250" t="s">
        <v>19</v>
      </c>
      <c r="T1250" t="s">
        <v>19</v>
      </c>
    </row>
    <row r="1251" spans="1:21" ht="15" customHeight="1" x14ac:dyDescent="0.25">
      <c r="A1251" t="s">
        <v>19</v>
      </c>
      <c r="B1251" t="s">
        <v>20</v>
      </c>
      <c r="C1251" t="s">
        <v>305</v>
      </c>
      <c r="D1251">
        <v>3</v>
      </c>
      <c r="E1251" t="s">
        <v>107</v>
      </c>
      <c r="F1251" t="s">
        <v>373</v>
      </c>
      <c r="G1251">
        <v>12</v>
      </c>
      <c r="H1251">
        <v>0</v>
      </c>
      <c r="I1251">
        <f>G1251+H1251</f>
        <v>12</v>
      </c>
      <c r="J1251">
        <f>100-G1251-H1251</f>
        <v>88</v>
      </c>
      <c r="K1251" t="s">
        <v>19</v>
      </c>
      <c r="L1251" t="s">
        <v>19</v>
      </c>
      <c r="M1251" t="s">
        <v>19</v>
      </c>
      <c r="N1251" t="s">
        <v>19</v>
      </c>
      <c r="O1251" t="s">
        <v>19</v>
      </c>
      <c r="P1251" t="s">
        <v>19</v>
      </c>
      <c r="Q1251">
        <f>I1251</f>
        <v>12</v>
      </c>
      <c r="R1251" t="s">
        <v>19</v>
      </c>
      <c r="S1251" t="s">
        <v>19</v>
      </c>
      <c r="T1251" t="s">
        <v>19</v>
      </c>
    </row>
    <row r="1252" spans="1:21" ht="15" customHeight="1" x14ac:dyDescent="0.25">
      <c r="A1252" t="s">
        <v>19</v>
      </c>
      <c r="B1252" t="s">
        <v>20</v>
      </c>
      <c r="C1252" t="s">
        <v>307</v>
      </c>
      <c r="D1252">
        <v>3</v>
      </c>
      <c r="E1252" t="s">
        <v>107</v>
      </c>
      <c r="F1252" t="s">
        <v>373</v>
      </c>
      <c r="G1252">
        <v>2</v>
      </c>
      <c r="H1252">
        <v>0</v>
      </c>
      <c r="I1252">
        <f>G1252+H1252</f>
        <v>2</v>
      </c>
      <c r="J1252">
        <f>100-G1252-H1252</f>
        <v>98</v>
      </c>
      <c r="K1252" t="s">
        <v>19</v>
      </c>
      <c r="L1252" t="s">
        <v>19</v>
      </c>
      <c r="M1252" t="s">
        <v>19</v>
      </c>
      <c r="N1252" t="s">
        <v>19</v>
      </c>
      <c r="O1252" t="s">
        <v>19</v>
      </c>
      <c r="P1252" t="s">
        <v>19</v>
      </c>
      <c r="Q1252">
        <f>I1252</f>
        <v>2</v>
      </c>
      <c r="R1252" t="s">
        <v>19</v>
      </c>
      <c r="S1252" t="s">
        <v>19</v>
      </c>
      <c r="T1252" t="s">
        <v>19</v>
      </c>
    </row>
    <row r="1253" spans="1:21" ht="15" customHeight="1" x14ac:dyDescent="0.25">
      <c r="A1253" s="2">
        <v>45253.73333333333</v>
      </c>
      <c r="B1253" t="s">
        <v>309</v>
      </c>
      <c r="C1253" t="s">
        <v>213</v>
      </c>
      <c r="D1253">
        <v>3</v>
      </c>
      <c r="E1253" t="s">
        <v>107</v>
      </c>
      <c r="F1253" t="s">
        <v>373</v>
      </c>
      <c r="G1253">
        <v>1.6393442620000001</v>
      </c>
      <c r="H1253">
        <v>1.4754098360000001</v>
      </c>
      <c r="I1253">
        <v>3.1147540980000001</v>
      </c>
      <c r="J1253">
        <v>96.885245900000001</v>
      </c>
      <c r="K1253">
        <v>0.8</v>
      </c>
      <c r="L1253">
        <v>0.2</v>
      </c>
      <c r="M1253">
        <v>0.7</v>
      </c>
      <c r="N1253">
        <v>591</v>
      </c>
      <c r="O1253">
        <v>10</v>
      </c>
      <c r="P1253">
        <v>9</v>
      </c>
      <c r="Q1253">
        <v>3.11</v>
      </c>
      <c r="R1253" t="s">
        <v>236</v>
      </c>
      <c r="S1253">
        <v>2.79</v>
      </c>
      <c r="T1253">
        <v>3.18</v>
      </c>
    </row>
    <row r="1254" spans="1:21" ht="15" customHeight="1" x14ac:dyDescent="0.25">
      <c r="A1254" s="2">
        <v>45253.936805555553</v>
      </c>
      <c r="B1254" t="s">
        <v>309</v>
      </c>
      <c r="C1254" t="s">
        <v>215</v>
      </c>
      <c r="D1254">
        <v>2</v>
      </c>
      <c r="E1254" t="s">
        <v>107</v>
      </c>
      <c r="F1254" t="s">
        <v>373</v>
      </c>
      <c r="G1254">
        <v>7.692307692</v>
      </c>
      <c r="H1254">
        <v>0</v>
      </c>
      <c r="I1254">
        <v>7.692307692</v>
      </c>
      <c r="J1254">
        <v>92.307692309999993</v>
      </c>
      <c r="K1254">
        <v>0.8</v>
      </c>
      <c r="L1254">
        <v>0.2</v>
      </c>
      <c r="M1254">
        <v>0.7</v>
      </c>
      <c r="N1254">
        <v>624</v>
      </c>
      <c r="O1254">
        <v>52</v>
      </c>
      <c r="P1254">
        <v>0</v>
      </c>
      <c r="Q1254">
        <v>7.69</v>
      </c>
      <c r="R1254" t="s">
        <v>224</v>
      </c>
      <c r="S1254">
        <v>0.24</v>
      </c>
      <c r="T1254">
        <v>0.27</v>
      </c>
    </row>
    <row r="1255" spans="1:21" ht="15" customHeight="1" x14ac:dyDescent="0.25">
      <c r="A1255" s="2">
        <v>45254.111111111109</v>
      </c>
      <c r="B1255" t="s">
        <v>309</v>
      </c>
      <c r="C1255" t="s">
        <v>217</v>
      </c>
      <c r="D1255">
        <v>2</v>
      </c>
      <c r="E1255" t="s">
        <v>107</v>
      </c>
      <c r="F1255" t="s">
        <v>373</v>
      </c>
      <c r="G1255">
        <v>12.89808917</v>
      </c>
      <c r="H1255">
        <v>0</v>
      </c>
      <c r="I1255">
        <v>12.89808917</v>
      </c>
      <c r="J1255">
        <v>87.101910829999994</v>
      </c>
      <c r="K1255">
        <v>0.8</v>
      </c>
      <c r="L1255">
        <v>0.2</v>
      </c>
      <c r="M1255">
        <v>0.7</v>
      </c>
      <c r="N1255">
        <v>547</v>
      </c>
      <c r="O1255">
        <v>81</v>
      </c>
      <c r="P1255">
        <v>0</v>
      </c>
      <c r="Q1255">
        <v>12.9</v>
      </c>
      <c r="R1255" t="s">
        <v>218</v>
      </c>
      <c r="S1255">
        <v>0.38</v>
      </c>
      <c r="T1255">
        <v>0.4</v>
      </c>
    </row>
    <row r="1256" spans="1:21" ht="15" customHeight="1" x14ac:dyDescent="0.25">
      <c r="A1256" s="2">
        <v>45316.447222222225</v>
      </c>
      <c r="B1256" t="s">
        <v>309</v>
      </c>
      <c r="C1256" t="s">
        <v>219</v>
      </c>
      <c r="D1256">
        <v>3</v>
      </c>
      <c r="E1256" t="s">
        <v>107</v>
      </c>
      <c r="F1256" t="s">
        <v>373</v>
      </c>
      <c r="G1256">
        <v>0.770712909</v>
      </c>
      <c r="H1256">
        <v>0.770712909</v>
      </c>
      <c r="I1256">
        <v>1.5414258190000001</v>
      </c>
      <c r="J1256">
        <v>98.458574179999999</v>
      </c>
      <c r="K1256">
        <v>0.8</v>
      </c>
      <c r="L1256">
        <v>0.2</v>
      </c>
      <c r="M1256">
        <v>0.7</v>
      </c>
      <c r="N1256">
        <v>511</v>
      </c>
      <c r="O1256">
        <v>4</v>
      </c>
      <c r="P1256">
        <v>4</v>
      </c>
      <c r="Q1256">
        <v>1.54</v>
      </c>
      <c r="R1256" t="s">
        <v>220</v>
      </c>
      <c r="S1256">
        <v>3.2</v>
      </c>
      <c r="T1256">
        <v>4.4000000000000004</v>
      </c>
    </row>
    <row r="1257" spans="1:21" ht="15" customHeight="1" x14ac:dyDescent="0.25">
      <c r="A1257" s="2">
        <v>45320.970833333333</v>
      </c>
      <c r="B1257" t="s">
        <v>309</v>
      </c>
      <c r="C1257" t="s">
        <v>221</v>
      </c>
      <c r="D1257">
        <v>2</v>
      </c>
      <c r="E1257" t="s">
        <v>107</v>
      </c>
      <c r="F1257" t="s">
        <v>373</v>
      </c>
      <c r="G1257">
        <v>7.5691411940000002</v>
      </c>
      <c r="H1257">
        <v>0</v>
      </c>
      <c r="I1257">
        <v>7.5691411940000002</v>
      </c>
      <c r="J1257">
        <v>92.430858810000004</v>
      </c>
      <c r="K1257">
        <v>0.8</v>
      </c>
      <c r="L1257">
        <v>0.3</v>
      </c>
      <c r="M1257">
        <v>0.7</v>
      </c>
      <c r="N1257">
        <v>635</v>
      </c>
      <c r="O1257">
        <v>52</v>
      </c>
      <c r="P1257">
        <v>0</v>
      </c>
      <c r="Q1257">
        <v>7.57</v>
      </c>
      <c r="R1257" t="s">
        <v>235</v>
      </c>
      <c r="S1257">
        <v>0.22</v>
      </c>
      <c r="T1257">
        <v>0.23</v>
      </c>
    </row>
    <row r="1258" spans="1:21" ht="15" customHeight="1" x14ac:dyDescent="0.25">
      <c r="A1258" t="s">
        <v>19</v>
      </c>
      <c r="B1258" t="s">
        <v>20</v>
      </c>
      <c r="C1258" t="s">
        <v>320</v>
      </c>
      <c r="D1258">
        <v>3</v>
      </c>
      <c r="E1258" t="s">
        <v>107</v>
      </c>
      <c r="F1258" t="s">
        <v>373</v>
      </c>
      <c r="G1258">
        <v>0</v>
      </c>
      <c r="H1258">
        <v>0</v>
      </c>
      <c r="I1258">
        <f>100-J1258</f>
        <v>0</v>
      </c>
      <c r="J1258">
        <f>100-G1258-H1258</f>
        <v>100</v>
      </c>
      <c r="K1258" t="s">
        <v>19</v>
      </c>
      <c r="L1258" t="s">
        <v>19</v>
      </c>
      <c r="M1258" t="s">
        <v>19</v>
      </c>
      <c r="N1258" t="s">
        <v>19</v>
      </c>
      <c r="O1258" t="s">
        <v>19</v>
      </c>
      <c r="P1258" t="s">
        <v>19</v>
      </c>
      <c r="Q1258">
        <f>I1258</f>
        <v>0</v>
      </c>
      <c r="R1258" t="s">
        <v>19</v>
      </c>
      <c r="S1258" t="s">
        <v>19</v>
      </c>
      <c r="T1258" t="s">
        <v>19</v>
      </c>
    </row>
    <row r="1259" spans="1:21" ht="15" customHeight="1" x14ac:dyDescent="0.25">
      <c r="A1259" s="2">
        <v>45323.578321759262</v>
      </c>
      <c r="B1259" t="s">
        <v>309</v>
      </c>
      <c r="C1259" t="s">
        <v>322</v>
      </c>
      <c r="D1259">
        <v>3</v>
      </c>
      <c r="E1259" t="s">
        <v>107</v>
      </c>
      <c r="F1259" t="s">
        <v>373</v>
      </c>
      <c r="G1259">
        <f>(O1259/(N1259+O1259+P1259))*100</f>
        <v>7.5414781297134237</v>
      </c>
      <c r="H1259">
        <f>(P1259/(O1259+P1259+N1259))*100</f>
        <v>0</v>
      </c>
      <c r="I1259">
        <f>((O1259+P1259)/(P1259+O1259+N1259))*100</f>
        <v>7.5414781297134237</v>
      </c>
      <c r="J1259">
        <f>(N1259/(P1259+O1259+N1259))*100</f>
        <v>92.458521870286575</v>
      </c>
      <c r="K1259">
        <v>0.8</v>
      </c>
      <c r="L1259">
        <v>0.3</v>
      </c>
      <c r="M1259">
        <v>0.7</v>
      </c>
      <c r="N1259">
        <v>613</v>
      </c>
      <c r="O1259">
        <v>50</v>
      </c>
      <c r="P1259">
        <v>0</v>
      </c>
      <c r="Q1259">
        <v>7.54</v>
      </c>
      <c r="R1259" t="s">
        <v>343</v>
      </c>
      <c r="S1259">
        <v>2.57</v>
      </c>
      <c r="T1259">
        <v>2.96</v>
      </c>
      <c r="U1259">
        <v>58</v>
      </c>
    </row>
    <row r="1260" spans="1:21" ht="15" customHeight="1" x14ac:dyDescent="0.25">
      <c r="A1260" s="2">
        <v>45323.581458333334</v>
      </c>
      <c r="B1260" t="s">
        <v>309</v>
      </c>
      <c r="C1260" t="s">
        <v>322</v>
      </c>
      <c r="D1260">
        <v>3</v>
      </c>
      <c r="E1260" t="s">
        <v>107</v>
      </c>
      <c r="F1260" t="s">
        <v>373</v>
      </c>
      <c r="G1260">
        <f>(O1260/(N1260+O1260+P1260))*100</f>
        <v>9.0504451038575677</v>
      </c>
      <c r="H1260">
        <f>(P1260/(O1260+P1260+N1260))*100</f>
        <v>0.14836795252225521</v>
      </c>
      <c r="I1260">
        <f>((O1260+P1260)/(P1260+O1260+N1260))*100</f>
        <v>9.1988130563798212</v>
      </c>
      <c r="J1260">
        <f>(N1260/(P1260+O1260+N1260))*100</f>
        <v>90.801186943620181</v>
      </c>
      <c r="K1260">
        <v>0.7</v>
      </c>
      <c r="L1260">
        <v>0.3</v>
      </c>
      <c r="M1260">
        <v>0.7</v>
      </c>
      <c r="N1260">
        <v>612</v>
      </c>
      <c r="O1260">
        <v>61</v>
      </c>
      <c r="P1260">
        <v>1</v>
      </c>
      <c r="Q1260">
        <v>9.1999999999999993</v>
      </c>
      <c r="R1260" t="s">
        <v>343</v>
      </c>
      <c r="S1260">
        <v>2.57</v>
      </c>
      <c r="T1260">
        <v>2.96</v>
      </c>
      <c r="U1260">
        <v>47</v>
      </c>
    </row>
    <row r="1261" spans="1:21" ht="15" customHeight="1" x14ac:dyDescent="0.25">
      <c r="A1261" s="2">
        <v>45325.149004629631</v>
      </c>
      <c r="B1261" t="s">
        <v>309</v>
      </c>
      <c r="C1261" t="s">
        <v>368</v>
      </c>
      <c r="D1261">
        <v>2</v>
      </c>
      <c r="E1261" t="s">
        <v>107</v>
      </c>
      <c r="F1261" t="s">
        <v>373</v>
      </c>
      <c r="G1261">
        <f>(O1261/(N1261+O1261+P1261))*100</f>
        <v>8.4770114942528725</v>
      </c>
      <c r="H1261">
        <f>(P1261/(O1261+P1261+N1261))*100</f>
        <v>0</v>
      </c>
      <c r="I1261">
        <v>8.48</v>
      </c>
      <c r="J1261">
        <f>(N1261/(P1261+O1261+N1261))*100</f>
        <v>91.522988505747122</v>
      </c>
      <c r="K1261">
        <v>0.8</v>
      </c>
      <c r="L1261">
        <v>0.3</v>
      </c>
      <c r="M1261">
        <v>0.7</v>
      </c>
      <c r="N1261">
        <v>637</v>
      </c>
      <c r="O1261">
        <v>59</v>
      </c>
      <c r="P1261">
        <v>0</v>
      </c>
      <c r="Q1261">
        <v>8.48</v>
      </c>
      <c r="R1261" t="s">
        <v>264</v>
      </c>
      <c r="S1261">
        <v>0.25</v>
      </c>
      <c r="T1261">
        <v>0.26</v>
      </c>
    </row>
    <row r="1262" spans="1:21" ht="15" customHeight="1" x14ac:dyDescent="0.25">
      <c r="A1262" t="s">
        <v>19</v>
      </c>
      <c r="B1262" t="s">
        <v>20</v>
      </c>
      <c r="C1262" t="s">
        <v>306</v>
      </c>
      <c r="D1262">
        <v>3</v>
      </c>
      <c r="E1262" t="s">
        <v>108</v>
      </c>
      <c r="F1262" t="s">
        <v>373</v>
      </c>
      <c r="G1262">
        <v>5</v>
      </c>
      <c r="H1262">
        <v>0</v>
      </c>
      <c r="I1262">
        <f>G1262+H1262</f>
        <v>5</v>
      </c>
      <c r="J1262">
        <f>100-G1262-H1262</f>
        <v>95</v>
      </c>
      <c r="K1262" t="s">
        <v>19</v>
      </c>
      <c r="L1262" t="s">
        <v>19</v>
      </c>
      <c r="M1262" t="s">
        <v>19</v>
      </c>
      <c r="N1262" t="s">
        <v>19</v>
      </c>
      <c r="O1262" t="s">
        <v>19</v>
      </c>
      <c r="P1262" t="s">
        <v>19</v>
      </c>
      <c r="Q1262">
        <f>I1262</f>
        <v>5</v>
      </c>
      <c r="R1262" t="s">
        <v>19</v>
      </c>
      <c r="S1262" t="s">
        <v>19</v>
      </c>
      <c r="T1262" t="s">
        <v>19</v>
      </c>
    </row>
    <row r="1263" spans="1:21" ht="15" customHeight="1" x14ac:dyDescent="0.25">
      <c r="A1263" t="s">
        <v>19</v>
      </c>
      <c r="B1263" t="s">
        <v>20</v>
      </c>
      <c r="C1263" t="s">
        <v>308</v>
      </c>
      <c r="D1263">
        <v>3</v>
      </c>
      <c r="E1263" t="s">
        <v>108</v>
      </c>
      <c r="F1263" t="s">
        <v>373</v>
      </c>
      <c r="G1263">
        <v>6</v>
      </c>
      <c r="H1263">
        <v>0</v>
      </c>
      <c r="I1263">
        <f>G1263+H1263</f>
        <v>6</v>
      </c>
      <c r="J1263">
        <f>100-G1263-H1263</f>
        <v>94</v>
      </c>
      <c r="K1263" t="s">
        <v>19</v>
      </c>
      <c r="L1263" t="s">
        <v>19</v>
      </c>
      <c r="M1263" t="s">
        <v>19</v>
      </c>
      <c r="N1263" t="s">
        <v>19</v>
      </c>
      <c r="O1263" t="s">
        <v>19</v>
      </c>
      <c r="P1263" t="s">
        <v>19</v>
      </c>
      <c r="Q1263">
        <f>I1263</f>
        <v>6</v>
      </c>
      <c r="R1263" t="s">
        <v>19</v>
      </c>
      <c r="S1263" t="s">
        <v>19</v>
      </c>
      <c r="T1263" t="s">
        <v>19</v>
      </c>
    </row>
    <row r="1264" spans="1:21" ht="15" customHeight="1" x14ac:dyDescent="0.25">
      <c r="A1264" t="s">
        <v>19</v>
      </c>
      <c r="B1264" t="s">
        <v>20</v>
      </c>
      <c r="C1264" t="s">
        <v>22</v>
      </c>
      <c r="D1264">
        <v>3</v>
      </c>
      <c r="E1264" t="s">
        <v>108</v>
      </c>
      <c r="F1264" t="s">
        <v>373</v>
      </c>
      <c r="G1264">
        <v>5</v>
      </c>
      <c r="H1264">
        <v>0</v>
      </c>
      <c r="I1264">
        <f>G1264+H1264</f>
        <v>5</v>
      </c>
      <c r="J1264">
        <f>100-G1264-H1264</f>
        <v>95</v>
      </c>
      <c r="K1264" t="s">
        <v>19</v>
      </c>
      <c r="L1264" t="s">
        <v>19</v>
      </c>
      <c r="M1264" t="s">
        <v>19</v>
      </c>
      <c r="N1264" t="s">
        <v>19</v>
      </c>
      <c r="O1264" t="s">
        <v>19</v>
      </c>
      <c r="P1264" t="s">
        <v>19</v>
      </c>
      <c r="Q1264">
        <f>I1264</f>
        <v>5</v>
      </c>
      <c r="R1264" t="s">
        <v>19</v>
      </c>
      <c r="S1264" t="s">
        <v>19</v>
      </c>
      <c r="T1264" t="s">
        <v>19</v>
      </c>
    </row>
    <row r="1265" spans="1:21" ht="15" customHeight="1" x14ac:dyDescent="0.25">
      <c r="A1265" t="s">
        <v>19</v>
      </c>
      <c r="B1265" t="s">
        <v>20</v>
      </c>
      <c r="C1265" t="s">
        <v>305</v>
      </c>
      <c r="D1265">
        <v>3</v>
      </c>
      <c r="E1265" t="s">
        <v>108</v>
      </c>
      <c r="F1265" t="s">
        <v>373</v>
      </c>
      <c r="G1265">
        <v>3</v>
      </c>
      <c r="H1265">
        <v>0</v>
      </c>
      <c r="I1265">
        <f>G1265+H1265</f>
        <v>3</v>
      </c>
      <c r="J1265">
        <f>100-G1265-H1265</f>
        <v>97</v>
      </c>
      <c r="K1265" t="s">
        <v>19</v>
      </c>
      <c r="L1265" t="s">
        <v>19</v>
      </c>
      <c r="M1265" t="s">
        <v>19</v>
      </c>
      <c r="N1265" t="s">
        <v>19</v>
      </c>
      <c r="O1265" t="s">
        <v>19</v>
      </c>
      <c r="P1265" t="s">
        <v>19</v>
      </c>
      <c r="Q1265">
        <f>I1265</f>
        <v>3</v>
      </c>
      <c r="R1265" t="s">
        <v>19</v>
      </c>
      <c r="S1265" t="s">
        <v>19</v>
      </c>
      <c r="T1265" t="s">
        <v>19</v>
      </c>
    </row>
    <row r="1266" spans="1:21" ht="15" customHeight="1" x14ac:dyDescent="0.25">
      <c r="A1266" t="s">
        <v>19</v>
      </c>
      <c r="B1266" t="s">
        <v>20</v>
      </c>
      <c r="C1266" t="s">
        <v>307</v>
      </c>
      <c r="D1266">
        <v>3</v>
      </c>
      <c r="E1266" t="s">
        <v>108</v>
      </c>
      <c r="F1266" t="s">
        <v>373</v>
      </c>
      <c r="G1266">
        <v>1</v>
      </c>
      <c r="H1266">
        <v>0</v>
      </c>
      <c r="I1266">
        <f>G1266+H1266</f>
        <v>1</v>
      </c>
      <c r="J1266">
        <f>100-G1266-H1266</f>
        <v>99</v>
      </c>
      <c r="K1266" t="s">
        <v>19</v>
      </c>
      <c r="L1266" t="s">
        <v>19</v>
      </c>
      <c r="M1266" t="s">
        <v>19</v>
      </c>
      <c r="N1266" t="s">
        <v>19</v>
      </c>
      <c r="O1266" t="s">
        <v>19</v>
      </c>
      <c r="P1266" t="s">
        <v>19</v>
      </c>
      <c r="Q1266">
        <f>I1266</f>
        <v>1</v>
      </c>
      <c r="R1266" t="s">
        <v>19</v>
      </c>
      <c r="S1266" t="s">
        <v>19</v>
      </c>
      <c r="T1266" t="s">
        <v>19</v>
      </c>
    </row>
    <row r="1267" spans="1:21" ht="15" customHeight="1" x14ac:dyDescent="0.25">
      <c r="A1267" s="2">
        <v>45253.734722222223</v>
      </c>
      <c r="B1267" t="s">
        <v>309</v>
      </c>
      <c r="C1267" t="s">
        <v>213</v>
      </c>
      <c r="D1267">
        <v>3</v>
      </c>
      <c r="E1267" t="s">
        <v>108</v>
      </c>
      <c r="F1267" t="s">
        <v>373</v>
      </c>
      <c r="G1267">
        <v>3.2915360499999999</v>
      </c>
      <c r="H1267">
        <v>0.31347962400000001</v>
      </c>
      <c r="I1267">
        <v>3.6050156740000001</v>
      </c>
      <c r="J1267">
        <v>96.39498433</v>
      </c>
      <c r="K1267">
        <v>0.8</v>
      </c>
      <c r="L1267">
        <v>0.2</v>
      </c>
      <c r="M1267">
        <v>0.7</v>
      </c>
      <c r="N1267">
        <v>615</v>
      </c>
      <c r="O1267">
        <v>21</v>
      </c>
      <c r="P1267">
        <v>2</v>
      </c>
      <c r="Q1267">
        <v>3.61</v>
      </c>
      <c r="R1267" t="s">
        <v>223</v>
      </c>
      <c r="S1267">
        <v>2.81</v>
      </c>
      <c r="T1267">
        <v>3.28</v>
      </c>
    </row>
    <row r="1268" spans="1:21" ht="15" customHeight="1" x14ac:dyDescent="0.25">
      <c r="A1268" s="2">
        <v>45253.9375</v>
      </c>
      <c r="B1268" t="s">
        <v>309</v>
      </c>
      <c r="C1268" t="s">
        <v>215</v>
      </c>
      <c r="D1268">
        <v>2</v>
      </c>
      <c r="E1268" t="s">
        <v>108</v>
      </c>
      <c r="F1268" t="s">
        <v>373</v>
      </c>
      <c r="G1268">
        <v>1.4245014250000001</v>
      </c>
      <c r="H1268">
        <v>0</v>
      </c>
      <c r="I1268">
        <v>1.4245014250000001</v>
      </c>
      <c r="J1268">
        <v>98.575498580000001</v>
      </c>
      <c r="K1268">
        <v>0.8</v>
      </c>
      <c r="L1268">
        <v>0.2</v>
      </c>
      <c r="M1268">
        <v>0.7</v>
      </c>
      <c r="N1268">
        <v>692</v>
      </c>
      <c r="O1268">
        <v>10</v>
      </c>
      <c r="P1268">
        <v>0</v>
      </c>
      <c r="Q1268">
        <v>1.42</v>
      </c>
      <c r="R1268" t="s">
        <v>257</v>
      </c>
      <c r="S1268">
        <v>0.05</v>
      </c>
      <c r="T1268">
        <v>0.06</v>
      </c>
    </row>
    <row r="1269" spans="1:21" ht="15" customHeight="1" x14ac:dyDescent="0.25">
      <c r="A1269" s="2">
        <v>45254.112500000003</v>
      </c>
      <c r="B1269" t="s">
        <v>309</v>
      </c>
      <c r="C1269" t="s">
        <v>217</v>
      </c>
      <c r="D1269">
        <v>2</v>
      </c>
      <c r="E1269" t="s">
        <v>108</v>
      </c>
      <c r="F1269" t="s">
        <v>373</v>
      </c>
      <c r="G1269">
        <v>2.9957203990000001</v>
      </c>
      <c r="H1269">
        <v>0</v>
      </c>
      <c r="I1269">
        <v>2.9957203990000001</v>
      </c>
      <c r="J1269">
        <v>97.004279600000004</v>
      </c>
      <c r="K1269">
        <v>0.8</v>
      </c>
      <c r="L1269">
        <v>0.2</v>
      </c>
      <c r="M1269">
        <v>0.7</v>
      </c>
      <c r="N1269">
        <v>680</v>
      </c>
      <c r="O1269">
        <v>21</v>
      </c>
      <c r="P1269">
        <v>0</v>
      </c>
      <c r="Q1269">
        <v>3</v>
      </c>
      <c r="R1269" t="s">
        <v>231</v>
      </c>
      <c r="S1269">
        <v>0.11</v>
      </c>
      <c r="T1269">
        <v>0.11</v>
      </c>
    </row>
    <row r="1270" spans="1:21" ht="15" customHeight="1" x14ac:dyDescent="0.25">
      <c r="A1270" s="2">
        <v>45316.448611111111</v>
      </c>
      <c r="B1270" t="s">
        <v>309</v>
      </c>
      <c r="C1270" t="s">
        <v>219</v>
      </c>
      <c r="D1270">
        <v>3</v>
      </c>
      <c r="E1270" t="s">
        <v>108</v>
      </c>
      <c r="F1270" t="s">
        <v>373</v>
      </c>
      <c r="G1270">
        <v>1.109350238</v>
      </c>
      <c r="H1270">
        <v>0.31695721100000002</v>
      </c>
      <c r="I1270">
        <v>1.426307448</v>
      </c>
      <c r="J1270">
        <v>98.573692550000004</v>
      </c>
      <c r="K1270">
        <v>0.8</v>
      </c>
      <c r="L1270">
        <v>0.2</v>
      </c>
      <c r="M1270">
        <v>0.7</v>
      </c>
      <c r="N1270">
        <v>622</v>
      </c>
      <c r="O1270">
        <v>7</v>
      </c>
      <c r="P1270">
        <v>2</v>
      </c>
      <c r="Q1270">
        <v>1.43</v>
      </c>
      <c r="R1270" t="s">
        <v>218</v>
      </c>
      <c r="S1270">
        <v>2.98</v>
      </c>
      <c r="T1270">
        <v>3.94</v>
      </c>
    </row>
    <row r="1271" spans="1:21" ht="15" customHeight="1" x14ac:dyDescent="0.25">
      <c r="A1271" s="2">
        <v>45320.97152777778</v>
      </c>
      <c r="B1271" t="s">
        <v>309</v>
      </c>
      <c r="C1271" t="s">
        <v>221</v>
      </c>
      <c r="D1271">
        <v>2</v>
      </c>
      <c r="E1271" t="s">
        <v>108</v>
      </c>
      <c r="F1271" t="s">
        <v>373</v>
      </c>
      <c r="G1271">
        <v>3.7764350449999999</v>
      </c>
      <c r="H1271">
        <v>0</v>
      </c>
      <c r="I1271">
        <v>3.7764350449999999</v>
      </c>
      <c r="J1271">
        <v>96.223564949999997</v>
      </c>
      <c r="K1271">
        <v>0.8</v>
      </c>
      <c r="L1271">
        <v>0.3</v>
      </c>
      <c r="M1271">
        <v>0.7</v>
      </c>
      <c r="N1271">
        <v>637</v>
      </c>
      <c r="O1271">
        <v>25</v>
      </c>
      <c r="P1271">
        <v>0</v>
      </c>
      <c r="Q1271">
        <v>3.78</v>
      </c>
      <c r="R1271" t="s">
        <v>218</v>
      </c>
      <c r="S1271">
        <v>0.16</v>
      </c>
      <c r="T1271">
        <v>0.17</v>
      </c>
    </row>
    <row r="1272" spans="1:21" ht="15" customHeight="1" x14ac:dyDescent="0.25">
      <c r="A1272" t="s">
        <v>19</v>
      </c>
      <c r="B1272" t="s">
        <v>20</v>
      </c>
      <c r="C1272" t="s">
        <v>320</v>
      </c>
      <c r="D1272">
        <v>3</v>
      </c>
      <c r="E1272" t="s">
        <v>108</v>
      </c>
      <c r="F1272" t="s">
        <v>373</v>
      </c>
      <c r="G1272">
        <v>0</v>
      </c>
      <c r="H1272">
        <v>0</v>
      </c>
      <c r="I1272">
        <f>100-J1272</f>
        <v>0</v>
      </c>
      <c r="J1272">
        <f>100-G1272-H1272</f>
        <v>100</v>
      </c>
      <c r="K1272" t="s">
        <v>19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  <c r="Q1272">
        <f>I1272</f>
        <v>0</v>
      </c>
      <c r="R1272" t="s">
        <v>19</v>
      </c>
      <c r="S1272" t="s">
        <v>19</v>
      </c>
      <c r="T1272" t="s">
        <v>19</v>
      </c>
    </row>
    <row r="1273" spans="1:21" ht="15" customHeight="1" x14ac:dyDescent="0.25">
      <c r="A1273" s="2">
        <v>45323.58</v>
      </c>
      <c r="B1273" t="s">
        <v>309</v>
      </c>
      <c r="C1273" t="s">
        <v>322</v>
      </c>
      <c r="D1273">
        <v>3</v>
      </c>
      <c r="E1273" t="s">
        <v>108</v>
      </c>
      <c r="F1273" t="s">
        <v>373</v>
      </c>
      <c r="G1273">
        <f>(O1273/(N1273+O1273+P1273))*100</f>
        <v>3.7147102526002973</v>
      </c>
      <c r="H1273">
        <f>(P1273/(O1273+P1273+N1273))*100</f>
        <v>0</v>
      </c>
      <c r="I1273">
        <f>((O1273+P1273)/(P1273+O1273+N1273))*100</f>
        <v>3.7147102526002973</v>
      </c>
      <c r="J1273">
        <f>(N1273/(P1273+O1273+N1273))*100</f>
        <v>96.285289747399702</v>
      </c>
      <c r="K1273">
        <v>0.8</v>
      </c>
      <c r="L1273">
        <v>0.3</v>
      </c>
      <c r="M1273">
        <v>0.7</v>
      </c>
      <c r="N1273">
        <v>648</v>
      </c>
      <c r="O1273">
        <v>25</v>
      </c>
      <c r="P1273">
        <v>0</v>
      </c>
      <c r="Q1273">
        <v>3.71</v>
      </c>
      <c r="R1273" t="s">
        <v>341</v>
      </c>
      <c r="S1273">
        <v>2.72</v>
      </c>
      <c r="T1273">
        <v>3.05</v>
      </c>
      <c r="U1273">
        <v>26</v>
      </c>
    </row>
    <row r="1274" spans="1:21" ht="15" customHeight="1" x14ac:dyDescent="0.25">
      <c r="A1274" s="2">
        <v>45323.583148148151</v>
      </c>
      <c r="B1274" t="s">
        <v>309</v>
      </c>
      <c r="C1274" t="s">
        <v>322</v>
      </c>
      <c r="D1274">
        <v>3</v>
      </c>
      <c r="E1274" t="s">
        <v>108</v>
      </c>
      <c r="F1274" t="s">
        <v>373</v>
      </c>
      <c r="G1274">
        <f>(O1274/(N1274+O1274+P1274))*100</f>
        <v>4.2836041358936487</v>
      </c>
      <c r="H1274">
        <f>(P1274/(O1274+P1274+N1274))*100</f>
        <v>0</v>
      </c>
      <c r="I1274">
        <f>((O1274+P1274)/(P1274+O1274+N1274))*100</f>
        <v>4.2836041358936487</v>
      </c>
      <c r="J1274">
        <f>(N1274/(P1274+O1274+N1274))*100</f>
        <v>95.716395864106346</v>
      </c>
      <c r="K1274">
        <v>0.7</v>
      </c>
      <c r="L1274">
        <v>0.3</v>
      </c>
      <c r="M1274">
        <v>0.7</v>
      </c>
      <c r="N1274">
        <v>648</v>
      </c>
      <c r="O1274">
        <v>29</v>
      </c>
      <c r="P1274">
        <v>0</v>
      </c>
      <c r="Q1274">
        <v>4.28</v>
      </c>
      <c r="R1274" t="s">
        <v>342</v>
      </c>
      <c r="S1274">
        <v>2.72</v>
      </c>
      <c r="T1274">
        <v>3.05</v>
      </c>
      <c r="U1274">
        <v>22</v>
      </c>
    </row>
    <row r="1275" spans="1:21" ht="15" customHeight="1" x14ac:dyDescent="0.25">
      <c r="A1275" s="2">
        <v>45325.150300925925</v>
      </c>
      <c r="B1275" t="s">
        <v>309</v>
      </c>
      <c r="C1275" t="s">
        <v>368</v>
      </c>
      <c r="D1275">
        <v>2</v>
      </c>
      <c r="E1275" t="s">
        <v>108</v>
      </c>
      <c r="F1275" t="s">
        <v>373</v>
      </c>
      <c r="G1275">
        <f>(O1275/(N1275+O1275+P1275))*100</f>
        <v>2.3774145616641902</v>
      </c>
      <c r="H1275">
        <f>(P1275/(O1275+P1275+N1275))*100</f>
        <v>0</v>
      </c>
      <c r="I1275">
        <v>2.38</v>
      </c>
      <c r="J1275">
        <f>(N1275/(P1275+O1275+N1275))*100</f>
        <v>97.622585438335804</v>
      </c>
      <c r="K1275">
        <v>0.8</v>
      </c>
      <c r="L1275">
        <v>0.3</v>
      </c>
      <c r="M1275">
        <v>0.7</v>
      </c>
      <c r="N1275">
        <v>657</v>
      </c>
      <c r="O1275">
        <v>16</v>
      </c>
      <c r="P1275">
        <v>0</v>
      </c>
      <c r="Q1275">
        <v>2.38</v>
      </c>
      <c r="R1275" t="s">
        <v>278</v>
      </c>
      <c r="S1275">
        <v>0.1</v>
      </c>
      <c r="T1275">
        <v>0.11</v>
      </c>
    </row>
    <row r="1276" spans="1:21" ht="15" customHeight="1" x14ac:dyDescent="0.25">
      <c r="A1276" t="s">
        <v>19</v>
      </c>
      <c r="B1276" t="s">
        <v>20</v>
      </c>
      <c r="C1276" t="s">
        <v>308</v>
      </c>
      <c r="D1276">
        <v>3</v>
      </c>
      <c r="E1276" t="s">
        <v>109</v>
      </c>
      <c r="F1276" t="s">
        <v>388</v>
      </c>
      <c r="G1276">
        <v>1</v>
      </c>
      <c r="H1276">
        <v>0</v>
      </c>
      <c r="I1276">
        <f>G1276+H1276</f>
        <v>1</v>
      </c>
      <c r="J1276">
        <f>100-G1276-H1276</f>
        <v>99</v>
      </c>
      <c r="K1276" t="s">
        <v>19</v>
      </c>
      <c r="L1276" t="s">
        <v>19</v>
      </c>
      <c r="M1276" t="s">
        <v>19</v>
      </c>
      <c r="N1276" t="s">
        <v>19</v>
      </c>
      <c r="O1276" t="s">
        <v>19</v>
      </c>
      <c r="P1276" t="s">
        <v>19</v>
      </c>
      <c r="Q1276">
        <f>I1276</f>
        <v>1</v>
      </c>
      <c r="R1276" t="s">
        <v>19</v>
      </c>
      <c r="S1276" t="s">
        <v>19</v>
      </c>
      <c r="T1276" t="s">
        <v>19</v>
      </c>
    </row>
    <row r="1277" spans="1:21" ht="15" customHeight="1" x14ac:dyDescent="0.25">
      <c r="A1277" t="s">
        <v>19</v>
      </c>
      <c r="B1277" t="s">
        <v>20</v>
      </c>
      <c r="C1277" t="s">
        <v>22</v>
      </c>
      <c r="D1277">
        <v>3</v>
      </c>
      <c r="E1277" t="s">
        <v>109</v>
      </c>
      <c r="F1277" t="s">
        <v>388</v>
      </c>
      <c r="G1277">
        <v>0</v>
      </c>
      <c r="H1277">
        <v>0</v>
      </c>
      <c r="I1277">
        <f>G1277+H1277</f>
        <v>0</v>
      </c>
      <c r="J1277">
        <f>100-G1277-H1277</f>
        <v>100</v>
      </c>
      <c r="K1277" t="s">
        <v>19</v>
      </c>
      <c r="L1277" t="s">
        <v>19</v>
      </c>
      <c r="M1277" t="s">
        <v>19</v>
      </c>
      <c r="N1277" t="s">
        <v>19</v>
      </c>
      <c r="O1277" t="s">
        <v>19</v>
      </c>
      <c r="P1277" t="s">
        <v>19</v>
      </c>
      <c r="Q1277">
        <f>I1277</f>
        <v>0</v>
      </c>
      <c r="R1277" t="s">
        <v>19</v>
      </c>
      <c r="S1277" t="s">
        <v>19</v>
      </c>
      <c r="T1277" t="s">
        <v>19</v>
      </c>
    </row>
    <row r="1278" spans="1:21" ht="15" customHeight="1" x14ac:dyDescent="0.25">
      <c r="A1278" t="s">
        <v>19</v>
      </c>
      <c r="B1278" t="s">
        <v>20</v>
      </c>
      <c r="C1278" t="s">
        <v>305</v>
      </c>
      <c r="D1278">
        <v>3</v>
      </c>
      <c r="E1278" t="s">
        <v>109</v>
      </c>
      <c r="F1278" t="s">
        <v>388</v>
      </c>
      <c r="G1278">
        <v>2</v>
      </c>
      <c r="H1278">
        <v>1</v>
      </c>
      <c r="I1278">
        <f>G1278+H1278</f>
        <v>3</v>
      </c>
      <c r="J1278">
        <f>100-G1278-H1278</f>
        <v>97</v>
      </c>
      <c r="K1278" t="s">
        <v>19</v>
      </c>
      <c r="L1278" t="s">
        <v>19</v>
      </c>
      <c r="M1278" t="s">
        <v>19</v>
      </c>
      <c r="N1278" t="s">
        <v>19</v>
      </c>
      <c r="O1278" t="s">
        <v>19</v>
      </c>
      <c r="P1278" t="s">
        <v>19</v>
      </c>
      <c r="Q1278">
        <f>I1278</f>
        <v>3</v>
      </c>
      <c r="R1278" t="s">
        <v>19</v>
      </c>
      <c r="S1278" t="s">
        <v>19</v>
      </c>
      <c r="T1278" t="s">
        <v>19</v>
      </c>
    </row>
    <row r="1279" spans="1:21" ht="15" customHeight="1" x14ac:dyDescent="0.25">
      <c r="A1279" t="s">
        <v>19</v>
      </c>
      <c r="B1279" t="s">
        <v>20</v>
      </c>
      <c r="C1279" t="s">
        <v>307</v>
      </c>
      <c r="D1279">
        <v>3</v>
      </c>
      <c r="E1279" t="s">
        <v>109</v>
      </c>
      <c r="F1279" t="s">
        <v>388</v>
      </c>
      <c r="G1279">
        <v>0</v>
      </c>
      <c r="H1279">
        <v>0</v>
      </c>
      <c r="I1279">
        <f>G1279+H1279</f>
        <v>0</v>
      </c>
      <c r="J1279">
        <f>100-G1279-H1279</f>
        <v>100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>
        <f>I1279</f>
        <v>0</v>
      </c>
      <c r="R1279" t="s">
        <v>19</v>
      </c>
      <c r="S1279" t="s">
        <v>19</v>
      </c>
      <c r="T1279" t="s">
        <v>19</v>
      </c>
    </row>
    <row r="1280" spans="1:21" ht="15" customHeight="1" x14ac:dyDescent="0.25">
      <c r="A1280" s="2">
        <v>45253.573611111111</v>
      </c>
      <c r="B1280" t="s">
        <v>309</v>
      </c>
      <c r="C1280" t="s">
        <v>213</v>
      </c>
      <c r="D1280">
        <v>3</v>
      </c>
      <c r="E1280" t="s">
        <v>109</v>
      </c>
      <c r="F1280" t="s">
        <v>388</v>
      </c>
      <c r="G1280">
        <v>0.32102728699999999</v>
      </c>
      <c r="H1280">
        <v>0.48154093100000001</v>
      </c>
      <c r="I1280">
        <v>0.802568218</v>
      </c>
      <c r="J1280">
        <v>99.197431780000002</v>
      </c>
      <c r="K1280">
        <v>0.8</v>
      </c>
      <c r="L1280">
        <v>0.2</v>
      </c>
      <c r="M1280">
        <v>0.7</v>
      </c>
      <c r="N1280">
        <v>618</v>
      </c>
      <c r="O1280">
        <v>2</v>
      </c>
      <c r="P1280">
        <v>3</v>
      </c>
      <c r="Q1280">
        <v>0.8</v>
      </c>
      <c r="R1280" t="s">
        <v>245</v>
      </c>
      <c r="S1280">
        <v>2.69</v>
      </c>
      <c r="T1280">
        <v>2.92</v>
      </c>
    </row>
    <row r="1281" spans="1:21" ht="15" customHeight="1" x14ac:dyDescent="0.25">
      <c r="A1281" s="2">
        <v>45253.852083333331</v>
      </c>
      <c r="B1281" t="s">
        <v>309</v>
      </c>
      <c r="C1281" t="s">
        <v>215</v>
      </c>
      <c r="D1281">
        <v>2</v>
      </c>
      <c r="E1281" t="s">
        <v>109</v>
      </c>
      <c r="F1281" t="s">
        <v>388</v>
      </c>
      <c r="G1281">
        <v>15.03067485</v>
      </c>
      <c r="H1281">
        <v>0</v>
      </c>
      <c r="I1281">
        <v>15.03067485</v>
      </c>
      <c r="J1281">
        <v>84.969325150000003</v>
      </c>
      <c r="K1281">
        <v>0.8</v>
      </c>
      <c r="L1281">
        <v>0.2</v>
      </c>
      <c r="M1281">
        <v>0.7</v>
      </c>
      <c r="N1281">
        <v>554</v>
      </c>
      <c r="O1281">
        <v>98</v>
      </c>
      <c r="P1281">
        <v>0</v>
      </c>
      <c r="Q1281">
        <v>15.03</v>
      </c>
      <c r="R1281" t="s">
        <v>227</v>
      </c>
      <c r="S1281">
        <v>0.38</v>
      </c>
      <c r="T1281">
        <v>0.41</v>
      </c>
    </row>
    <row r="1282" spans="1:21" ht="15" customHeight="1" x14ac:dyDescent="0.25">
      <c r="A1282" s="2">
        <v>45254.020138888889</v>
      </c>
      <c r="B1282" t="s">
        <v>309</v>
      </c>
      <c r="C1282" t="s">
        <v>217</v>
      </c>
      <c r="D1282">
        <v>2</v>
      </c>
      <c r="E1282" t="s">
        <v>109</v>
      </c>
      <c r="F1282" t="s">
        <v>388</v>
      </c>
      <c r="G1282">
        <v>13.432835819999999</v>
      </c>
      <c r="H1282">
        <v>0</v>
      </c>
      <c r="I1282">
        <v>13.432835819999999</v>
      </c>
      <c r="J1282">
        <v>86.567164180000006</v>
      </c>
      <c r="K1282">
        <v>0.8</v>
      </c>
      <c r="L1282">
        <v>0.2</v>
      </c>
      <c r="M1282">
        <v>0.7</v>
      </c>
      <c r="N1282">
        <v>580</v>
      </c>
      <c r="O1282">
        <v>90</v>
      </c>
      <c r="P1282">
        <v>0</v>
      </c>
      <c r="Q1282">
        <v>13.43</v>
      </c>
      <c r="R1282" t="s">
        <v>218</v>
      </c>
      <c r="S1282">
        <v>0.39</v>
      </c>
      <c r="T1282">
        <v>0.41</v>
      </c>
    </row>
    <row r="1283" spans="1:21" ht="15" customHeight="1" x14ac:dyDescent="0.25">
      <c r="A1283" s="2">
        <v>45316.53125</v>
      </c>
      <c r="B1283" t="s">
        <v>309</v>
      </c>
      <c r="C1283" t="s">
        <v>219</v>
      </c>
      <c r="D1283">
        <v>3</v>
      </c>
      <c r="E1283" t="s">
        <v>109</v>
      </c>
      <c r="F1283" t="s">
        <v>388</v>
      </c>
      <c r="G1283">
        <v>3.6184210530000001</v>
      </c>
      <c r="H1283">
        <v>0.65789473700000001</v>
      </c>
      <c r="I1283">
        <v>4.2763157889999999</v>
      </c>
      <c r="J1283">
        <v>95.723684210000002</v>
      </c>
      <c r="K1283">
        <v>0.8</v>
      </c>
      <c r="L1283">
        <v>0.2</v>
      </c>
      <c r="M1283">
        <v>0.7</v>
      </c>
      <c r="N1283">
        <v>291</v>
      </c>
      <c r="O1283">
        <v>11</v>
      </c>
      <c r="P1283">
        <v>2</v>
      </c>
      <c r="Q1283">
        <v>4.28</v>
      </c>
      <c r="R1283" t="s">
        <v>220</v>
      </c>
      <c r="S1283">
        <v>3.16</v>
      </c>
      <c r="T1283">
        <v>4.41</v>
      </c>
    </row>
    <row r="1284" spans="1:21" ht="15" customHeight="1" x14ac:dyDescent="0.25">
      <c r="A1284" s="2">
        <v>45320.87222222222</v>
      </c>
      <c r="B1284" t="s">
        <v>309</v>
      </c>
      <c r="C1284" t="s">
        <v>221</v>
      </c>
      <c r="D1284">
        <v>2</v>
      </c>
      <c r="E1284" t="s">
        <v>109</v>
      </c>
      <c r="F1284" t="s">
        <v>388</v>
      </c>
      <c r="G1284">
        <v>1.9448946519999999</v>
      </c>
      <c r="H1284">
        <v>0</v>
      </c>
      <c r="I1284">
        <v>1.9448946519999999</v>
      </c>
      <c r="J1284">
        <v>98.055105350000005</v>
      </c>
      <c r="K1284">
        <v>0.8</v>
      </c>
      <c r="L1284">
        <v>0.3</v>
      </c>
      <c r="M1284">
        <v>0.7</v>
      </c>
      <c r="N1284">
        <v>605</v>
      </c>
      <c r="O1284">
        <v>12</v>
      </c>
      <c r="P1284">
        <v>0</v>
      </c>
      <c r="Q1284">
        <v>1.94</v>
      </c>
      <c r="R1284" t="s">
        <v>231</v>
      </c>
      <c r="S1284">
        <v>0.13</v>
      </c>
      <c r="T1284">
        <v>0.14000000000000001</v>
      </c>
    </row>
    <row r="1285" spans="1:21" ht="15" customHeight="1" x14ac:dyDescent="0.25">
      <c r="A1285" t="s">
        <v>19</v>
      </c>
      <c r="B1285" t="s">
        <v>20</v>
      </c>
      <c r="C1285" t="s">
        <v>306</v>
      </c>
      <c r="D1285">
        <v>3</v>
      </c>
      <c r="E1285" t="s">
        <v>109</v>
      </c>
      <c r="F1285" t="s">
        <v>388</v>
      </c>
      <c r="G1285">
        <v>3</v>
      </c>
      <c r="H1285">
        <v>1</v>
      </c>
      <c r="I1285">
        <f>G1285+H1285</f>
        <v>4</v>
      </c>
      <c r="J1285">
        <f>100-G1285-H1285</f>
        <v>96</v>
      </c>
      <c r="K1285" t="s">
        <v>19</v>
      </c>
      <c r="L1285" t="s">
        <v>19</v>
      </c>
      <c r="M1285" t="s">
        <v>19</v>
      </c>
      <c r="N1285" t="s">
        <v>19</v>
      </c>
      <c r="O1285" t="s">
        <v>19</v>
      </c>
      <c r="P1285" t="s">
        <v>19</v>
      </c>
      <c r="Q1285">
        <f>I1285</f>
        <v>4</v>
      </c>
      <c r="R1285" t="s">
        <v>19</v>
      </c>
      <c r="S1285" t="s">
        <v>19</v>
      </c>
      <c r="T1285" t="s">
        <v>19</v>
      </c>
    </row>
    <row r="1286" spans="1:21" ht="15" customHeight="1" x14ac:dyDescent="0.25">
      <c r="A1286" t="s">
        <v>19</v>
      </c>
      <c r="B1286" t="s">
        <v>20</v>
      </c>
      <c r="C1286" t="s">
        <v>320</v>
      </c>
      <c r="D1286">
        <v>3</v>
      </c>
      <c r="E1286" t="s">
        <v>109</v>
      </c>
      <c r="F1286" t="s">
        <v>388</v>
      </c>
      <c r="G1286">
        <v>15</v>
      </c>
      <c r="H1286">
        <v>0</v>
      </c>
      <c r="I1286">
        <f>100-J1286</f>
        <v>15</v>
      </c>
      <c r="J1286">
        <f>100-G1286-H1286</f>
        <v>85</v>
      </c>
      <c r="K1286" t="s">
        <v>19</v>
      </c>
      <c r="L1286" t="s">
        <v>19</v>
      </c>
      <c r="M1286" t="s">
        <v>19</v>
      </c>
      <c r="N1286" t="s">
        <v>19</v>
      </c>
      <c r="O1286" t="s">
        <v>19</v>
      </c>
      <c r="P1286" t="s">
        <v>19</v>
      </c>
      <c r="Q1286">
        <f>I1286</f>
        <v>15</v>
      </c>
      <c r="R1286" t="s">
        <v>19</v>
      </c>
      <c r="S1286" t="s">
        <v>19</v>
      </c>
      <c r="T1286" t="s">
        <v>19</v>
      </c>
    </row>
    <row r="1287" spans="1:21" ht="15" customHeight="1" x14ac:dyDescent="0.25">
      <c r="A1287" s="2">
        <v>45323.583645833336</v>
      </c>
      <c r="B1287" t="s">
        <v>309</v>
      </c>
      <c r="C1287" t="s">
        <v>322</v>
      </c>
      <c r="D1287">
        <v>3</v>
      </c>
      <c r="E1287" t="s">
        <v>109</v>
      </c>
      <c r="F1287" t="s">
        <v>388</v>
      </c>
      <c r="G1287" t="e">
        <f>(O1287/(N1287+O1287+P1287))*100</f>
        <v>#VALUE!</v>
      </c>
      <c r="H1287" t="e">
        <f>(P1287/(O1287+P1287+N1287))*100</f>
        <v>#VALUE!</v>
      </c>
      <c r="I1287">
        <v>1.73</v>
      </c>
      <c r="J1287" t="e">
        <f>(N1287/(P1287+O1287+N1287))*100</f>
        <v>#VALUE!</v>
      </c>
      <c r="K1287">
        <v>0.8</v>
      </c>
      <c r="L1287">
        <v>0.3</v>
      </c>
      <c r="M1287">
        <v>0.7</v>
      </c>
      <c r="N1287">
        <v>625</v>
      </c>
      <c r="O1287" t="s">
        <v>266</v>
      </c>
      <c r="P1287" t="s">
        <v>266</v>
      </c>
      <c r="Q1287">
        <v>1.73</v>
      </c>
      <c r="R1287" t="s">
        <v>255</v>
      </c>
      <c r="S1287">
        <v>2.57</v>
      </c>
      <c r="T1287">
        <v>3.12</v>
      </c>
      <c r="U1287">
        <v>46</v>
      </c>
    </row>
    <row r="1288" spans="1:21" ht="15" customHeight="1" x14ac:dyDescent="0.25">
      <c r="A1288" s="2">
        <v>45323.581458333334</v>
      </c>
      <c r="B1288" t="s">
        <v>309</v>
      </c>
      <c r="C1288" t="s">
        <v>322</v>
      </c>
      <c r="D1288">
        <v>3</v>
      </c>
      <c r="E1288" t="s">
        <v>109</v>
      </c>
      <c r="F1288" t="s">
        <v>388</v>
      </c>
      <c r="G1288" t="e">
        <f>(O1288/(N1288+O1288+P1288))*100</f>
        <v>#VALUE!</v>
      </c>
      <c r="H1288" t="e">
        <f>(P1288/(O1288+P1288+N1288))*100</f>
        <v>#VALUE!</v>
      </c>
      <c r="I1288">
        <v>2.8</v>
      </c>
      <c r="J1288" t="e">
        <f>(N1288/(P1288+O1288+N1288))*100</f>
        <v>#VALUE!</v>
      </c>
      <c r="K1288">
        <v>0.7</v>
      </c>
      <c r="L1288">
        <v>0.3</v>
      </c>
      <c r="M1288">
        <v>0.7</v>
      </c>
      <c r="N1288">
        <v>625</v>
      </c>
      <c r="O1288" t="s">
        <v>266</v>
      </c>
      <c r="P1288" t="s">
        <v>266</v>
      </c>
      <c r="Q1288">
        <v>2.8</v>
      </c>
      <c r="R1288" t="s">
        <v>287</v>
      </c>
      <c r="S1288">
        <v>2.57</v>
      </c>
      <c r="T1288">
        <v>3.12</v>
      </c>
      <c r="U1288">
        <v>39</v>
      </c>
    </row>
    <row r="1289" spans="1:21" ht="15" customHeight="1" x14ac:dyDescent="0.25">
      <c r="A1289" s="2">
        <v>45325.004328703704</v>
      </c>
      <c r="B1289" t="s">
        <v>309</v>
      </c>
      <c r="C1289" t="s">
        <v>368</v>
      </c>
      <c r="D1289">
        <v>2</v>
      </c>
      <c r="E1289" t="s">
        <v>109</v>
      </c>
      <c r="F1289" t="s">
        <v>388</v>
      </c>
      <c r="G1289">
        <f>(O1289/(N1289+O1289+P1289))*100</f>
        <v>0.75075075075075071</v>
      </c>
      <c r="H1289">
        <f>(P1289/(O1289+P1289+N1289))*100</f>
        <v>0</v>
      </c>
      <c r="I1289">
        <v>0.75</v>
      </c>
      <c r="J1289">
        <f>(N1289/(P1289+O1289+N1289))*100</f>
        <v>99.249249249249246</v>
      </c>
      <c r="K1289">
        <v>0.8</v>
      </c>
      <c r="L1289">
        <v>0.3</v>
      </c>
      <c r="M1289">
        <v>0.7</v>
      </c>
      <c r="N1289">
        <v>661</v>
      </c>
      <c r="O1289">
        <v>5</v>
      </c>
      <c r="P1289">
        <v>0</v>
      </c>
      <c r="Q1289">
        <v>0.75</v>
      </c>
      <c r="R1289" t="s">
        <v>276</v>
      </c>
      <c r="S1289">
        <v>0.03</v>
      </c>
      <c r="T1289">
        <v>0.03</v>
      </c>
    </row>
    <row r="1290" spans="1:21" ht="15" customHeight="1" x14ac:dyDescent="0.25">
      <c r="A1290" t="s">
        <v>19</v>
      </c>
      <c r="B1290" t="s">
        <v>20</v>
      </c>
      <c r="C1290" t="s">
        <v>308</v>
      </c>
      <c r="D1290">
        <v>3</v>
      </c>
      <c r="E1290" t="s">
        <v>110</v>
      </c>
      <c r="F1290" t="s">
        <v>388</v>
      </c>
      <c r="G1290">
        <v>2</v>
      </c>
      <c r="H1290">
        <v>3</v>
      </c>
      <c r="I1290">
        <f>G1290+H1290</f>
        <v>5</v>
      </c>
      <c r="J1290">
        <f>100-G1290-H1290</f>
        <v>95</v>
      </c>
      <c r="K1290" t="s">
        <v>19</v>
      </c>
      <c r="L1290" t="s">
        <v>19</v>
      </c>
      <c r="M1290" t="s">
        <v>19</v>
      </c>
      <c r="N1290" t="s">
        <v>19</v>
      </c>
      <c r="O1290" t="s">
        <v>19</v>
      </c>
      <c r="P1290" t="s">
        <v>19</v>
      </c>
      <c r="Q1290">
        <f>I1290</f>
        <v>5</v>
      </c>
      <c r="R1290" t="s">
        <v>19</v>
      </c>
      <c r="S1290" t="s">
        <v>19</v>
      </c>
      <c r="T1290" t="s">
        <v>19</v>
      </c>
    </row>
    <row r="1291" spans="1:21" ht="15" customHeight="1" x14ac:dyDescent="0.25">
      <c r="A1291" t="s">
        <v>19</v>
      </c>
      <c r="B1291" t="s">
        <v>20</v>
      </c>
      <c r="C1291" t="s">
        <v>22</v>
      </c>
      <c r="D1291">
        <v>3</v>
      </c>
      <c r="E1291" t="s">
        <v>110</v>
      </c>
      <c r="F1291" t="s">
        <v>388</v>
      </c>
      <c r="G1291">
        <v>7</v>
      </c>
      <c r="H1291">
        <v>3</v>
      </c>
      <c r="I1291">
        <f>G1291+H1291</f>
        <v>10</v>
      </c>
      <c r="J1291">
        <f>100-G1291-H1291</f>
        <v>90</v>
      </c>
      <c r="K1291" t="s">
        <v>19</v>
      </c>
      <c r="L1291" t="s">
        <v>19</v>
      </c>
      <c r="M1291" t="s">
        <v>19</v>
      </c>
      <c r="N1291" t="s">
        <v>19</v>
      </c>
      <c r="O1291" t="s">
        <v>19</v>
      </c>
      <c r="P1291" t="s">
        <v>19</v>
      </c>
      <c r="Q1291">
        <f>I1291</f>
        <v>10</v>
      </c>
      <c r="R1291" t="s">
        <v>19</v>
      </c>
      <c r="S1291" t="s">
        <v>19</v>
      </c>
      <c r="T1291" t="s">
        <v>19</v>
      </c>
    </row>
    <row r="1292" spans="1:21" ht="15" customHeight="1" x14ac:dyDescent="0.25">
      <c r="A1292" t="s">
        <v>19</v>
      </c>
      <c r="B1292" t="s">
        <v>20</v>
      </c>
      <c r="C1292" t="s">
        <v>305</v>
      </c>
      <c r="D1292">
        <v>3</v>
      </c>
      <c r="E1292" t="s">
        <v>110</v>
      </c>
      <c r="F1292" t="s">
        <v>388</v>
      </c>
      <c r="G1292">
        <v>15</v>
      </c>
      <c r="H1292">
        <v>10</v>
      </c>
      <c r="I1292">
        <f>G1292+H1292</f>
        <v>25</v>
      </c>
      <c r="J1292">
        <f>100-G1292-H1292</f>
        <v>75</v>
      </c>
      <c r="K1292" t="s">
        <v>19</v>
      </c>
      <c r="L1292" t="s">
        <v>19</v>
      </c>
      <c r="M1292" t="s">
        <v>19</v>
      </c>
      <c r="N1292" t="s">
        <v>19</v>
      </c>
      <c r="O1292" t="s">
        <v>19</v>
      </c>
      <c r="P1292" t="s">
        <v>19</v>
      </c>
      <c r="Q1292">
        <f>I1292</f>
        <v>25</v>
      </c>
      <c r="R1292" t="s">
        <v>19</v>
      </c>
      <c r="S1292" t="s">
        <v>19</v>
      </c>
      <c r="T1292" t="s">
        <v>19</v>
      </c>
    </row>
    <row r="1293" spans="1:21" ht="15" customHeight="1" x14ac:dyDescent="0.25">
      <c r="A1293" t="s">
        <v>19</v>
      </c>
      <c r="B1293" t="s">
        <v>20</v>
      </c>
      <c r="C1293" t="s">
        <v>307</v>
      </c>
      <c r="D1293">
        <v>3</v>
      </c>
      <c r="E1293" t="s">
        <v>110</v>
      </c>
      <c r="F1293" t="s">
        <v>388</v>
      </c>
      <c r="G1293">
        <v>3</v>
      </c>
      <c r="H1293">
        <v>3</v>
      </c>
      <c r="I1293">
        <f>G1293+H1293</f>
        <v>6</v>
      </c>
      <c r="J1293">
        <f>100-G1293-H1293</f>
        <v>94</v>
      </c>
      <c r="K1293" t="s">
        <v>19</v>
      </c>
      <c r="L1293" t="s">
        <v>19</v>
      </c>
      <c r="M1293" t="s">
        <v>19</v>
      </c>
      <c r="N1293" t="s">
        <v>19</v>
      </c>
      <c r="O1293" t="s">
        <v>19</v>
      </c>
      <c r="P1293" t="s">
        <v>19</v>
      </c>
      <c r="Q1293">
        <f>I1293</f>
        <v>6</v>
      </c>
      <c r="R1293" t="s">
        <v>19</v>
      </c>
      <c r="S1293" t="s">
        <v>19</v>
      </c>
      <c r="T1293" t="s">
        <v>19</v>
      </c>
    </row>
    <row r="1294" spans="1:21" ht="15" customHeight="1" x14ac:dyDescent="0.25">
      <c r="A1294" s="2">
        <v>45253.574999999997</v>
      </c>
      <c r="B1294" t="s">
        <v>309</v>
      </c>
      <c r="C1294" t="s">
        <v>213</v>
      </c>
      <c r="D1294">
        <v>3</v>
      </c>
      <c r="E1294" t="s">
        <v>110</v>
      </c>
      <c r="F1294" t="s">
        <v>388</v>
      </c>
      <c r="G1294">
        <v>0.143266476</v>
      </c>
      <c r="H1294">
        <v>3.1518624640000001</v>
      </c>
      <c r="I1294">
        <v>3.2951289400000001</v>
      </c>
      <c r="J1294">
        <v>96.704871060000002</v>
      </c>
      <c r="K1294">
        <v>0.8</v>
      </c>
      <c r="L1294">
        <v>0.2</v>
      </c>
      <c r="M1294">
        <v>0.7</v>
      </c>
      <c r="N1294">
        <v>675</v>
      </c>
      <c r="O1294">
        <v>1</v>
      </c>
      <c r="P1294">
        <v>22</v>
      </c>
      <c r="Q1294">
        <v>3.3</v>
      </c>
      <c r="R1294" t="s">
        <v>287</v>
      </c>
      <c r="S1294">
        <v>2.8</v>
      </c>
      <c r="T1294">
        <v>3.24</v>
      </c>
    </row>
    <row r="1295" spans="1:21" ht="15" customHeight="1" x14ac:dyDescent="0.25">
      <c r="A1295" s="2">
        <v>45253.852777777778</v>
      </c>
      <c r="B1295" t="s">
        <v>309</v>
      </c>
      <c r="C1295" t="s">
        <v>215</v>
      </c>
      <c r="D1295">
        <v>2</v>
      </c>
      <c r="E1295" t="s">
        <v>110</v>
      </c>
      <c r="F1295" t="s">
        <v>388</v>
      </c>
      <c r="G1295">
        <v>4.1608876559999999</v>
      </c>
      <c r="H1295">
        <v>0</v>
      </c>
      <c r="I1295">
        <v>4.1608876559999999</v>
      </c>
      <c r="J1295">
        <v>95.83911234</v>
      </c>
      <c r="K1295">
        <v>0.8</v>
      </c>
      <c r="L1295">
        <v>0.2</v>
      </c>
      <c r="M1295">
        <v>0.7</v>
      </c>
      <c r="N1295">
        <v>691</v>
      </c>
      <c r="O1295">
        <v>30</v>
      </c>
      <c r="P1295">
        <v>0</v>
      </c>
      <c r="Q1295">
        <v>4.16</v>
      </c>
      <c r="R1295" t="s">
        <v>216</v>
      </c>
      <c r="S1295">
        <v>0.15</v>
      </c>
      <c r="T1295">
        <v>0.16</v>
      </c>
    </row>
    <row r="1296" spans="1:21" ht="15" customHeight="1" x14ac:dyDescent="0.25">
      <c r="A1296" s="2">
        <v>45254.020833333336</v>
      </c>
      <c r="B1296" t="s">
        <v>309</v>
      </c>
      <c r="C1296" t="s">
        <v>217</v>
      </c>
      <c r="D1296">
        <v>2</v>
      </c>
      <c r="E1296" t="s">
        <v>110</v>
      </c>
      <c r="F1296" t="s">
        <v>388</v>
      </c>
      <c r="G1296">
        <v>13.33333333</v>
      </c>
      <c r="H1296">
        <v>0</v>
      </c>
      <c r="I1296">
        <v>13.33333333</v>
      </c>
      <c r="J1296">
        <v>86.666666669999998</v>
      </c>
      <c r="K1296">
        <v>0.8</v>
      </c>
      <c r="L1296">
        <v>0.2</v>
      </c>
      <c r="M1296">
        <v>0.7</v>
      </c>
      <c r="N1296">
        <v>585</v>
      </c>
      <c r="O1296">
        <v>90</v>
      </c>
      <c r="P1296">
        <v>0</v>
      </c>
      <c r="Q1296">
        <v>13.33</v>
      </c>
      <c r="R1296" t="s">
        <v>218</v>
      </c>
      <c r="S1296">
        <v>0.33</v>
      </c>
      <c r="T1296">
        <v>0.35</v>
      </c>
    </row>
    <row r="1297" spans="1:21" ht="15" customHeight="1" x14ac:dyDescent="0.25">
      <c r="A1297" s="2">
        <v>45316.531944444447</v>
      </c>
      <c r="B1297" t="s">
        <v>309</v>
      </c>
      <c r="C1297" t="s">
        <v>219</v>
      </c>
      <c r="D1297">
        <v>3</v>
      </c>
      <c r="E1297" t="s">
        <v>110</v>
      </c>
      <c r="F1297" t="s">
        <v>388</v>
      </c>
      <c r="G1297">
        <v>3.442340792</v>
      </c>
      <c r="H1297">
        <v>3.6144578310000002</v>
      </c>
      <c r="I1297">
        <v>7.0567986229999997</v>
      </c>
      <c r="J1297">
        <v>92.943201380000005</v>
      </c>
      <c r="K1297">
        <v>0.8</v>
      </c>
      <c r="L1297">
        <v>0.2</v>
      </c>
      <c r="M1297">
        <v>0.7</v>
      </c>
      <c r="N1297">
        <v>540</v>
      </c>
      <c r="O1297">
        <v>20</v>
      </c>
      <c r="P1297">
        <v>21</v>
      </c>
      <c r="Q1297">
        <v>7.06</v>
      </c>
      <c r="R1297" t="s">
        <v>229</v>
      </c>
      <c r="S1297">
        <v>3.21</v>
      </c>
      <c r="T1297">
        <v>4.58</v>
      </c>
    </row>
    <row r="1298" spans="1:21" ht="15" customHeight="1" x14ac:dyDescent="0.25">
      <c r="A1298" s="2">
        <v>45320.872916666667</v>
      </c>
      <c r="B1298" t="s">
        <v>309</v>
      </c>
      <c r="C1298" t="s">
        <v>221</v>
      </c>
      <c r="D1298">
        <v>2</v>
      </c>
      <c r="E1298" t="s">
        <v>110</v>
      </c>
      <c r="F1298" t="s">
        <v>388</v>
      </c>
      <c r="G1298">
        <v>11.864406779999999</v>
      </c>
      <c r="H1298">
        <v>0</v>
      </c>
      <c r="I1298">
        <v>11.864406779999999</v>
      </c>
      <c r="J1298">
        <v>88.135593220000004</v>
      </c>
      <c r="K1298">
        <v>0.8</v>
      </c>
      <c r="L1298">
        <v>0.3</v>
      </c>
      <c r="M1298">
        <v>0.7</v>
      </c>
      <c r="N1298">
        <v>572</v>
      </c>
      <c r="O1298">
        <v>77</v>
      </c>
      <c r="P1298">
        <v>0</v>
      </c>
      <c r="Q1298">
        <v>11.86</v>
      </c>
      <c r="R1298" t="s">
        <v>225</v>
      </c>
      <c r="S1298">
        <v>0.34</v>
      </c>
      <c r="T1298">
        <v>0.38</v>
      </c>
    </row>
    <row r="1299" spans="1:21" ht="15" customHeight="1" x14ac:dyDescent="0.25">
      <c r="A1299" t="s">
        <v>19</v>
      </c>
      <c r="B1299" t="s">
        <v>20</v>
      </c>
      <c r="C1299" t="s">
        <v>306</v>
      </c>
      <c r="D1299">
        <v>3</v>
      </c>
      <c r="E1299" t="s">
        <v>110</v>
      </c>
      <c r="F1299" t="s">
        <v>388</v>
      </c>
      <c r="G1299">
        <v>15</v>
      </c>
      <c r="H1299">
        <v>10</v>
      </c>
      <c r="I1299">
        <f>G1299+H1299</f>
        <v>25</v>
      </c>
      <c r="J1299">
        <f>100-G1299-H1299</f>
        <v>75</v>
      </c>
      <c r="K1299" t="s">
        <v>19</v>
      </c>
      <c r="L1299" t="s">
        <v>19</v>
      </c>
      <c r="M1299" t="s">
        <v>19</v>
      </c>
      <c r="N1299" t="s">
        <v>19</v>
      </c>
      <c r="O1299" t="s">
        <v>19</v>
      </c>
      <c r="P1299" t="s">
        <v>19</v>
      </c>
      <c r="Q1299">
        <f>I1299</f>
        <v>25</v>
      </c>
      <c r="R1299" t="s">
        <v>19</v>
      </c>
      <c r="S1299" t="s">
        <v>19</v>
      </c>
      <c r="T1299" t="s">
        <v>19</v>
      </c>
    </row>
    <row r="1300" spans="1:21" ht="15" customHeight="1" x14ac:dyDescent="0.25">
      <c r="A1300" t="s">
        <v>19</v>
      </c>
      <c r="B1300" t="s">
        <v>20</v>
      </c>
      <c r="C1300" t="s">
        <v>320</v>
      </c>
      <c r="D1300">
        <v>3</v>
      </c>
      <c r="E1300" t="s">
        <v>110</v>
      </c>
      <c r="F1300" t="s">
        <v>388</v>
      </c>
      <c r="G1300">
        <v>5</v>
      </c>
      <c r="H1300">
        <v>10</v>
      </c>
      <c r="I1300">
        <f>100-J1300</f>
        <v>15</v>
      </c>
      <c r="J1300">
        <f>100-G1300-H1300</f>
        <v>85</v>
      </c>
      <c r="K1300" t="s">
        <v>19</v>
      </c>
      <c r="L1300" t="s">
        <v>19</v>
      </c>
      <c r="M1300" t="s">
        <v>19</v>
      </c>
      <c r="N1300" t="s">
        <v>19</v>
      </c>
      <c r="O1300" t="s">
        <v>19</v>
      </c>
      <c r="P1300" t="s">
        <v>19</v>
      </c>
      <c r="Q1300">
        <f>I1300</f>
        <v>15</v>
      </c>
      <c r="R1300" t="s">
        <v>19</v>
      </c>
      <c r="S1300" t="s">
        <v>19</v>
      </c>
      <c r="T1300" t="s">
        <v>19</v>
      </c>
    </row>
    <row r="1301" spans="1:21" ht="15" customHeight="1" x14ac:dyDescent="0.25">
      <c r="A1301" s="2">
        <v>45323.585196759261</v>
      </c>
      <c r="B1301" t="s">
        <v>309</v>
      </c>
      <c r="C1301" t="s">
        <v>322</v>
      </c>
      <c r="D1301">
        <v>3</v>
      </c>
      <c r="E1301" t="s">
        <v>110</v>
      </c>
      <c r="F1301" t="s">
        <v>388</v>
      </c>
      <c r="G1301">
        <f>(O1301/(N1301+O1301+P1301))*100</f>
        <v>5.9654631083202512</v>
      </c>
      <c r="H1301">
        <f>(P1301/(O1301+P1301+N1301))*100</f>
        <v>3.7676609105180532</v>
      </c>
      <c r="I1301">
        <v>9.73</v>
      </c>
      <c r="J1301">
        <f>(N1301/(P1301+O1301+N1301))*100</f>
        <v>90.266875981161704</v>
      </c>
      <c r="K1301">
        <v>0.8</v>
      </c>
      <c r="L1301">
        <v>0.3</v>
      </c>
      <c r="M1301">
        <v>0.7</v>
      </c>
      <c r="N1301">
        <v>575</v>
      </c>
      <c r="O1301">
        <v>38</v>
      </c>
      <c r="P1301">
        <v>24</v>
      </c>
      <c r="Q1301">
        <v>9.73</v>
      </c>
      <c r="R1301" t="s">
        <v>288</v>
      </c>
      <c r="S1301">
        <v>2.5299999999999998</v>
      </c>
      <c r="T1301">
        <v>3.47</v>
      </c>
      <c r="U1301">
        <v>40</v>
      </c>
    </row>
    <row r="1302" spans="1:21" ht="15" customHeight="1" x14ac:dyDescent="0.25">
      <c r="A1302" s="2">
        <v>45323.583055555559</v>
      </c>
      <c r="B1302" t="s">
        <v>309</v>
      </c>
      <c r="C1302" t="s">
        <v>322</v>
      </c>
      <c r="D1302">
        <v>3</v>
      </c>
      <c r="E1302" t="s">
        <v>110</v>
      </c>
      <c r="F1302" t="s">
        <v>388</v>
      </c>
      <c r="G1302">
        <f>(O1302/(N1302+O1302+P1302))*100</f>
        <v>7.8461538461538458</v>
      </c>
      <c r="H1302">
        <f>(P1302/(O1302+P1302+N1302))*100</f>
        <v>3.8461538461538463</v>
      </c>
      <c r="I1302">
        <v>11.69</v>
      </c>
      <c r="J1302">
        <f>(N1302/(P1302+O1302+N1302))*100</f>
        <v>88.307692307692307</v>
      </c>
      <c r="K1302">
        <v>0.7</v>
      </c>
      <c r="L1302">
        <v>0.3</v>
      </c>
      <c r="M1302">
        <v>0.7</v>
      </c>
      <c r="N1302">
        <v>574</v>
      </c>
      <c r="O1302">
        <v>51</v>
      </c>
      <c r="P1302">
        <v>25</v>
      </c>
      <c r="Q1302">
        <v>11.69</v>
      </c>
      <c r="R1302" t="s">
        <v>296</v>
      </c>
      <c r="S1302">
        <v>2.5299999999999998</v>
      </c>
      <c r="T1302">
        <v>3.47</v>
      </c>
      <c r="U1302">
        <v>27</v>
      </c>
    </row>
    <row r="1303" spans="1:21" ht="15" customHeight="1" x14ac:dyDescent="0.25">
      <c r="A1303" s="2">
        <v>45325.005624999998</v>
      </c>
      <c r="B1303" t="s">
        <v>309</v>
      </c>
      <c r="C1303" t="s">
        <v>368</v>
      </c>
      <c r="D1303">
        <v>2</v>
      </c>
      <c r="E1303" t="s">
        <v>110</v>
      </c>
      <c r="F1303" t="s">
        <v>388</v>
      </c>
      <c r="G1303">
        <f>(O1303/(N1303+O1303+P1303))*100</f>
        <v>13.492063492063492</v>
      </c>
      <c r="H1303">
        <f>(P1303/(O1303+P1303+N1303))*100</f>
        <v>0</v>
      </c>
      <c r="I1303">
        <v>13.49</v>
      </c>
      <c r="J1303">
        <f>(N1303/(P1303+O1303+N1303))*100</f>
        <v>86.507936507936506</v>
      </c>
      <c r="K1303">
        <v>0.8</v>
      </c>
      <c r="L1303">
        <v>0.3</v>
      </c>
      <c r="M1303">
        <v>0.7</v>
      </c>
      <c r="N1303">
        <v>545</v>
      </c>
      <c r="O1303">
        <v>85</v>
      </c>
      <c r="P1303">
        <v>0</v>
      </c>
      <c r="Q1303">
        <v>13.49</v>
      </c>
      <c r="R1303" t="s">
        <v>275</v>
      </c>
      <c r="S1303">
        <v>0.37</v>
      </c>
      <c r="T1303">
        <v>0.41</v>
      </c>
    </row>
    <row r="1304" spans="1:21" ht="15" customHeight="1" x14ac:dyDescent="0.25">
      <c r="A1304" t="s">
        <v>19</v>
      </c>
      <c r="B1304" t="s">
        <v>20</v>
      </c>
      <c r="C1304" t="s">
        <v>308</v>
      </c>
      <c r="D1304">
        <v>3</v>
      </c>
      <c r="E1304" t="s">
        <v>111</v>
      </c>
      <c r="F1304" t="s">
        <v>388</v>
      </c>
      <c r="G1304">
        <v>15</v>
      </c>
      <c r="H1304">
        <v>55</v>
      </c>
      <c r="I1304">
        <f>G1304+H1304</f>
        <v>70</v>
      </c>
      <c r="J1304">
        <f>100-G1304-H1304</f>
        <v>30</v>
      </c>
      <c r="K1304" t="s">
        <v>19</v>
      </c>
      <c r="L1304" t="s">
        <v>19</v>
      </c>
      <c r="M1304" t="s">
        <v>19</v>
      </c>
      <c r="N1304" t="s">
        <v>19</v>
      </c>
      <c r="O1304" t="s">
        <v>19</v>
      </c>
      <c r="P1304" t="s">
        <v>19</v>
      </c>
      <c r="Q1304">
        <f>I1304</f>
        <v>70</v>
      </c>
      <c r="R1304" t="s">
        <v>19</v>
      </c>
      <c r="S1304" t="s">
        <v>19</v>
      </c>
      <c r="T1304" t="s">
        <v>19</v>
      </c>
    </row>
    <row r="1305" spans="1:21" ht="15" customHeight="1" x14ac:dyDescent="0.25">
      <c r="A1305" t="s">
        <v>19</v>
      </c>
      <c r="B1305" t="s">
        <v>20</v>
      </c>
      <c r="C1305" t="s">
        <v>22</v>
      </c>
      <c r="D1305">
        <v>3</v>
      </c>
      <c r="E1305" t="s">
        <v>111</v>
      </c>
      <c r="F1305" t="s">
        <v>388</v>
      </c>
      <c r="G1305">
        <v>15</v>
      </c>
      <c r="H1305">
        <v>25</v>
      </c>
      <c r="I1305">
        <f>G1305+H1305</f>
        <v>40</v>
      </c>
      <c r="J1305">
        <f>100-G1305-H1305</f>
        <v>60</v>
      </c>
      <c r="K1305" t="s">
        <v>19</v>
      </c>
      <c r="L1305" t="s">
        <v>19</v>
      </c>
      <c r="M1305" t="s">
        <v>19</v>
      </c>
      <c r="N1305" t="s">
        <v>19</v>
      </c>
      <c r="O1305" t="s">
        <v>19</v>
      </c>
      <c r="P1305" t="s">
        <v>19</v>
      </c>
      <c r="Q1305">
        <f>I1305</f>
        <v>40</v>
      </c>
      <c r="R1305" t="s">
        <v>19</v>
      </c>
      <c r="S1305" t="s">
        <v>19</v>
      </c>
      <c r="T1305" t="s">
        <v>19</v>
      </c>
    </row>
    <row r="1306" spans="1:21" ht="15" customHeight="1" x14ac:dyDescent="0.25">
      <c r="A1306" t="s">
        <v>19</v>
      </c>
      <c r="B1306" t="s">
        <v>20</v>
      </c>
      <c r="C1306" t="s">
        <v>305</v>
      </c>
      <c r="D1306">
        <v>3</v>
      </c>
      <c r="E1306" t="s">
        <v>111</v>
      </c>
      <c r="F1306" t="s">
        <v>388</v>
      </c>
      <c r="G1306">
        <v>60</v>
      </c>
      <c r="H1306">
        <v>20</v>
      </c>
      <c r="I1306">
        <f>G1306+H1306</f>
        <v>80</v>
      </c>
      <c r="J1306">
        <f>100-G1306-H1306</f>
        <v>20</v>
      </c>
      <c r="K1306" t="s">
        <v>19</v>
      </c>
      <c r="L1306" t="s">
        <v>19</v>
      </c>
      <c r="M1306" t="s">
        <v>19</v>
      </c>
      <c r="N1306" t="s">
        <v>19</v>
      </c>
      <c r="O1306" t="s">
        <v>19</v>
      </c>
      <c r="P1306" t="s">
        <v>19</v>
      </c>
      <c r="Q1306">
        <f>I1306</f>
        <v>80</v>
      </c>
      <c r="R1306" t="s">
        <v>19</v>
      </c>
      <c r="S1306" t="s">
        <v>19</v>
      </c>
      <c r="T1306" t="s">
        <v>19</v>
      </c>
    </row>
    <row r="1307" spans="1:21" ht="15" customHeight="1" x14ac:dyDescent="0.25">
      <c r="A1307" t="s">
        <v>19</v>
      </c>
      <c r="B1307" t="s">
        <v>20</v>
      </c>
      <c r="C1307" t="s">
        <v>307</v>
      </c>
      <c r="D1307">
        <v>3</v>
      </c>
      <c r="E1307" t="s">
        <v>111</v>
      </c>
      <c r="F1307" t="s">
        <v>388</v>
      </c>
      <c r="G1307">
        <v>3</v>
      </c>
      <c r="H1307">
        <v>6</v>
      </c>
      <c r="I1307">
        <f>G1307+H1307</f>
        <v>9</v>
      </c>
      <c r="J1307">
        <f>100-G1307-H1307</f>
        <v>91</v>
      </c>
      <c r="K1307" t="s">
        <v>19</v>
      </c>
      <c r="L1307" t="s">
        <v>19</v>
      </c>
      <c r="M1307" t="s">
        <v>19</v>
      </c>
      <c r="N1307" t="s">
        <v>19</v>
      </c>
      <c r="O1307" t="s">
        <v>19</v>
      </c>
      <c r="P1307" t="s">
        <v>19</v>
      </c>
      <c r="Q1307">
        <f>I1307</f>
        <v>9</v>
      </c>
      <c r="R1307" t="s">
        <v>19</v>
      </c>
      <c r="S1307" t="s">
        <v>19</v>
      </c>
      <c r="T1307" t="s">
        <v>19</v>
      </c>
    </row>
    <row r="1308" spans="1:21" ht="15" customHeight="1" x14ac:dyDescent="0.25">
      <c r="A1308" s="2">
        <v>45253.57708333333</v>
      </c>
      <c r="B1308" t="s">
        <v>309</v>
      </c>
      <c r="C1308" t="s">
        <v>213</v>
      </c>
      <c r="D1308">
        <v>3</v>
      </c>
      <c r="E1308" t="s">
        <v>111</v>
      </c>
      <c r="F1308" t="s">
        <v>388</v>
      </c>
      <c r="G1308">
        <v>0</v>
      </c>
      <c r="H1308">
        <v>18.010291599999999</v>
      </c>
      <c r="I1308">
        <v>18.010291599999999</v>
      </c>
      <c r="J1308">
        <v>81.989708399999998</v>
      </c>
      <c r="K1308">
        <v>0.8</v>
      </c>
      <c r="L1308">
        <v>0.2</v>
      </c>
      <c r="M1308">
        <v>0.7</v>
      </c>
      <c r="N1308">
        <v>478</v>
      </c>
      <c r="O1308">
        <v>0</v>
      </c>
      <c r="P1308">
        <v>105</v>
      </c>
      <c r="Q1308">
        <v>18.010000000000002</v>
      </c>
      <c r="R1308" t="s">
        <v>288</v>
      </c>
      <c r="S1308">
        <v>2.57</v>
      </c>
      <c r="T1308">
        <v>3.02</v>
      </c>
    </row>
    <row r="1309" spans="1:21" ht="15" customHeight="1" x14ac:dyDescent="0.25">
      <c r="A1309" s="2">
        <v>45253.853472222225</v>
      </c>
      <c r="B1309" t="s">
        <v>309</v>
      </c>
      <c r="C1309" t="s">
        <v>215</v>
      </c>
      <c r="D1309">
        <v>2</v>
      </c>
      <c r="E1309" t="s">
        <v>111</v>
      </c>
      <c r="F1309" t="s">
        <v>388</v>
      </c>
      <c r="G1309">
        <v>12.91727141</v>
      </c>
      <c r="H1309">
        <v>0</v>
      </c>
      <c r="I1309">
        <v>12.91727141</v>
      </c>
      <c r="J1309">
        <v>87.082728590000002</v>
      </c>
      <c r="K1309">
        <v>0.8</v>
      </c>
      <c r="L1309">
        <v>0.2</v>
      </c>
      <c r="M1309">
        <v>0.7</v>
      </c>
      <c r="N1309">
        <v>600</v>
      </c>
      <c r="O1309">
        <v>89</v>
      </c>
      <c r="P1309">
        <v>0</v>
      </c>
      <c r="Q1309">
        <v>12.92</v>
      </c>
      <c r="R1309" t="s">
        <v>227</v>
      </c>
      <c r="S1309">
        <v>0.38</v>
      </c>
      <c r="T1309">
        <v>0.42</v>
      </c>
    </row>
    <row r="1310" spans="1:21" ht="15" customHeight="1" x14ac:dyDescent="0.25">
      <c r="A1310" s="2">
        <v>45254.022222222222</v>
      </c>
      <c r="B1310" t="s">
        <v>309</v>
      </c>
      <c r="C1310" t="s">
        <v>217</v>
      </c>
      <c r="D1310">
        <v>2</v>
      </c>
      <c r="E1310" t="s">
        <v>111</v>
      </c>
      <c r="F1310" t="s">
        <v>388</v>
      </c>
      <c r="G1310">
        <v>18.82183908</v>
      </c>
      <c r="H1310">
        <v>0</v>
      </c>
      <c r="I1310">
        <v>18.82183908</v>
      </c>
      <c r="J1310">
        <v>81.178160919999996</v>
      </c>
      <c r="K1310">
        <v>0.8</v>
      </c>
      <c r="L1310">
        <v>0.2</v>
      </c>
      <c r="M1310">
        <v>0.7</v>
      </c>
      <c r="N1310">
        <v>565</v>
      </c>
      <c r="O1310">
        <v>131</v>
      </c>
      <c r="P1310">
        <v>0</v>
      </c>
      <c r="Q1310">
        <v>18.82</v>
      </c>
      <c r="R1310" t="s">
        <v>229</v>
      </c>
      <c r="S1310">
        <v>0.52</v>
      </c>
      <c r="T1310">
        <v>0.55000000000000004</v>
      </c>
    </row>
    <row r="1311" spans="1:21" ht="15" customHeight="1" x14ac:dyDescent="0.25">
      <c r="A1311" s="2">
        <v>45316.533333333333</v>
      </c>
      <c r="B1311" t="s">
        <v>309</v>
      </c>
      <c r="C1311" t="s">
        <v>219</v>
      </c>
      <c r="D1311">
        <v>3</v>
      </c>
      <c r="E1311" t="s">
        <v>111</v>
      </c>
      <c r="F1311" t="s">
        <v>388</v>
      </c>
      <c r="G1311">
        <v>5.8139534880000001</v>
      </c>
      <c r="H1311">
        <v>20.697674419999998</v>
      </c>
      <c r="I1311">
        <v>26.511627910000001</v>
      </c>
      <c r="J1311">
        <v>73.488372089999999</v>
      </c>
      <c r="K1311">
        <v>0.8</v>
      </c>
      <c r="L1311">
        <v>0.2</v>
      </c>
      <c r="M1311">
        <v>0.7</v>
      </c>
      <c r="N1311">
        <v>316</v>
      </c>
      <c r="O1311">
        <v>25</v>
      </c>
      <c r="P1311">
        <v>89</v>
      </c>
      <c r="Q1311">
        <v>26.51</v>
      </c>
      <c r="R1311" t="s">
        <v>222</v>
      </c>
      <c r="S1311">
        <v>3.08</v>
      </c>
      <c r="T1311">
        <v>4.34</v>
      </c>
    </row>
    <row r="1312" spans="1:21" ht="15" customHeight="1" x14ac:dyDescent="0.25">
      <c r="A1312" s="2">
        <v>45320.873611111114</v>
      </c>
      <c r="B1312" t="s">
        <v>309</v>
      </c>
      <c r="C1312" t="s">
        <v>221</v>
      </c>
      <c r="D1312">
        <v>2</v>
      </c>
      <c r="E1312" t="s">
        <v>111</v>
      </c>
      <c r="F1312" t="s">
        <v>388</v>
      </c>
      <c r="G1312">
        <v>51.107011069999999</v>
      </c>
      <c r="H1312">
        <v>0</v>
      </c>
      <c r="I1312">
        <v>51.107011069999999</v>
      </c>
      <c r="J1312">
        <v>48.892988930000001</v>
      </c>
      <c r="K1312">
        <v>0.8</v>
      </c>
      <c r="L1312">
        <v>0.3</v>
      </c>
      <c r="M1312">
        <v>0.7</v>
      </c>
      <c r="N1312">
        <v>265</v>
      </c>
      <c r="O1312">
        <v>277</v>
      </c>
      <c r="P1312">
        <v>0</v>
      </c>
      <c r="Q1312">
        <v>51.11</v>
      </c>
      <c r="R1312" t="s">
        <v>267</v>
      </c>
      <c r="S1312">
        <v>1.32</v>
      </c>
      <c r="T1312">
        <v>1.48</v>
      </c>
    </row>
    <row r="1313" spans="1:21" ht="15" customHeight="1" x14ac:dyDescent="0.25">
      <c r="A1313" t="s">
        <v>19</v>
      </c>
      <c r="B1313" t="s">
        <v>20</v>
      </c>
      <c r="C1313" t="s">
        <v>306</v>
      </c>
      <c r="D1313">
        <v>3</v>
      </c>
      <c r="E1313" t="s">
        <v>111</v>
      </c>
      <c r="F1313" t="s">
        <v>388</v>
      </c>
      <c r="G1313">
        <v>25</v>
      </c>
      <c r="H1313">
        <v>60</v>
      </c>
      <c r="I1313">
        <v>85</v>
      </c>
      <c r="J1313">
        <v>15</v>
      </c>
      <c r="K1313" t="s">
        <v>19</v>
      </c>
      <c r="L1313" t="s">
        <v>19</v>
      </c>
      <c r="M1313" t="s">
        <v>19</v>
      </c>
      <c r="N1313" t="s">
        <v>19</v>
      </c>
      <c r="O1313" t="s">
        <v>19</v>
      </c>
      <c r="P1313" t="s">
        <v>19</v>
      </c>
      <c r="Q1313">
        <f>I1313</f>
        <v>85</v>
      </c>
      <c r="R1313" t="s">
        <v>19</v>
      </c>
      <c r="S1313" t="s">
        <v>19</v>
      </c>
      <c r="T1313" t="s">
        <v>19</v>
      </c>
    </row>
    <row r="1314" spans="1:21" ht="15" customHeight="1" x14ac:dyDescent="0.25">
      <c r="A1314" t="s">
        <v>19</v>
      </c>
      <c r="B1314" t="s">
        <v>20</v>
      </c>
      <c r="C1314" t="s">
        <v>320</v>
      </c>
      <c r="D1314">
        <v>3</v>
      </c>
      <c r="E1314" t="s">
        <v>111</v>
      </c>
      <c r="F1314" t="s">
        <v>388</v>
      </c>
      <c r="G1314">
        <v>10</v>
      </c>
      <c r="H1314">
        <v>25</v>
      </c>
      <c r="I1314">
        <f>100-J1314</f>
        <v>35</v>
      </c>
      <c r="J1314">
        <f>100-G1314-H1314</f>
        <v>65</v>
      </c>
      <c r="K1314" t="s">
        <v>19</v>
      </c>
      <c r="L1314" t="s">
        <v>19</v>
      </c>
      <c r="M1314" t="s">
        <v>19</v>
      </c>
      <c r="N1314" t="s">
        <v>19</v>
      </c>
      <c r="O1314" t="s">
        <v>19</v>
      </c>
      <c r="P1314" t="s">
        <v>19</v>
      </c>
      <c r="Q1314">
        <f>I1314</f>
        <v>35</v>
      </c>
      <c r="R1314" t="s">
        <v>19</v>
      </c>
      <c r="S1314" t="s">
        <v>19</v>
      </c>
      <c r="T1314" t="s">
        <v>19</v>
      </c>
    </row>
    <row r="1315" spans="1:21" ht="15" customHeight="1" x14ac:dyDescent="0.25">
      <c r="A1315" s="2">
        <v>45323.586793981478</v>
      </c>
      <c r="B1315" t="s">
        <v>309</v>
      </c>
      <c r="C1315" t="s">
        <v>322</v>
      </c>
      <c r="D1315">
        <v>3</v>
      </c>
      <c r="E1315" t="s">
        <v>111</v>
      </c>
      <c r="F1315" t="s">
        <v>388</v>
      </c>
      <c r="G1315">
        <f>(O1315/(N1315+O1315+P1315))*100</f>
        <v>17.584369449378332</v>
      </c>
      <c r="H1315">
        <f>(P1315/(O1315+P1315+N1315))*100</f>
        <v>15.097690941385435</v>
      </c>
      <c r="I1315">
        <v>32.68</v>
      </c>
      <c r="J1315">
        <f>(N1315/(P1315+O1315+N1315))*100</f>
        <v>67.317939609236234</v>
      </c>
      <c r="K1315">
        <v>0.8</v>
      </c>
      <c r="L1315">
        <v>0.3</v>
      </c>
      <c r="M1315">
        <v>0.7</v>
      </c>
      <c r="N1315">
        <v>379</v>
      </c>
      <c r="O1315">
        <v>99</v>
      </c>
      <c r="P1315">
        <v>85</v>
      </c>
      <c r="Q1315">
        <v>32.68</v>
      </c>
      <c r="R1315" t="s">
        <v>230</v>
      </c>
      <c r="S1315">
        <v>2.4300000000000002</v>
      </c>
      <c r="T1315">
        <v>3.92</v>
      </c>
      <c r="U1315">
        <v>155</v>
      </c>
    </row>
    <row r="1316" spans="1:21" ht="15" customHeight="1" x14ac:dyDescent="0.25">
      <c r="A1316" s="2">
        <v>45323.584675925929</v>
      </c>
      <c r="B1316" t="s">
        <v>309</v>
      </c>
      <c r="C1316" t="s">
        <v>322</v>
      </c>
      <c r="D1316">
        <v>3</v>
      </c>
      <c r="E1316" t="s">
        <v>111</v>
      </c>
      <c r="F1316" t="s">
        <v>388</v>
      </c>
      <c r="G1316">
        <f>(O1316/(N1316+O1316+P1316))*100</f>
        <v>22.795341098169715</v>
      </c>
      <c r="H1316">
        <f>(P1316/(O1316+P1316+N1316))*100</f>
        <v>16.306156405990016</v>
      </c>
      <c r="I1316">
        <v>39.1</v>
      </c>
      <c r="J1316">
        <f>(N1316/(P1316+O1316+N1316))*100</f>
        <v>60.898502495840269</v>
      </c>
      <c r="K1316">
        <v>0.7</v>
      </c>
      <c r="L1316">
        <v>0.3</v>
      </c>
      <c r="M1316">
        <v>0.7</v>
      </c>
      <c r="N1316">
        <v>366</v>
      </c>
      <c r="O1316">
        <v>137</v>
      </c>
      <c r="P1316">
        <v>98</v>
      </c>
      <c r="Q1316">
        <v>39.1</v>
      </c>
      <c r="R1316" t="s">
        <v>343</v>
      </c>
      <c r="S1316">
        <v>2.4300000000000002</v>
      </c>
      <c r="T1316">
        <v>3.92</v>
      </c>
      <c r="U1316">
        <v>117</v>
      </c>
    </row>
    <row r="1317" spans="1:21" ht="15" customHeight="1" x14ac:dyDescent="0.25">
      <c r="A1317" s="2">
        <v>45325.006944444445</v>
      </c>
      <c r="B1317" t="s">
        <v>309</v>
      </c>
      <c r="C1317" t="s">
        <v>368</v>
      </c>
      <c r="D1317">
        <v>2</v>
      </c>
      <c r="E1317" t="s">
        <v>111</v>
      </c>
      <c r="F1317" t="s">
        <v>388</v>
      </c>
      <c r="G1317">
        <f>(O1317/(N1317+O1317+P1317))*100</f>
        <v>56.506238859180037</v>
      </c>
      <c r="H1317">
        <f>(P1317/(O1317+P1317+N1317))*100</f>
        <v>0</v>
      </c>
      <c r="I1317">
        <v>56.51</v>
      </c>
      <c r="J1317">
        <f>(N1317/(P1317+O1317+N1317))*100</f>
        <v>43.493761140819963</v>
      </c>
      <c r="K1317">
        <v>0.8</v>
      </c>
      <c r="L1317">
        <v>0.3</v>
      </c>
      <c r="M1317">
        <v>0.7</v>
      </c>
      <c r="N1317">
        <v>244</v>
      </c>
      <c r="O1317">
        <v>317</v>
      </c>
      <c r="P1317">
        <v>0</v>
      </c>
      <c r="Q1317">
        <v>56.51</v>
      </c>
      <c r="R1317" t="s">
        <v>248</v>
      </c>
      <c r="S1317">
        <v>1.34</v>
      </c>
      <c r="T1317">
        <v>1.49</v>
      </c>
    </row>
    <row r="1318" spans="1:21" ht="15" customHeight="1" x14ac:dyDescent="0.25">
      <c r="A1318" t="s">
        <v>19</v>
      </c>
      <c r="B1318" t="s">
        <v>20</v>
      </c>
      <c r="C1318" t="s">
        <v>308</v>
      </c>
      <c r="D1318">
        <v>3</v>
      </c>
      <c r="E1318" t="s">
        <v>112</v>
      </c>
      <c r="F1318" t="s">
        <v>388</v>
      </c>
      <c r="G1318">
        <v>0</v>
      </c>
      <c r="H1318">
        <v>0</v>
      </c>
      <c r="I1318">
        <f>G1318+H1318</f>
        <v>0</v>
      </c>
      <c r="J1318">
        <f>100-G1318-H1318</f>
        <v>100</v>
      </c>
      <c r="K1318" t="s">
        <v>19</v>
      </c>
      <c r="L1318" t="s">
        <v>19</v>
      </c>
      <c r="M1318" t="s">
        <v>19</v>
      </c>
      <c r="N1318" t="s">
        <v>19</v>
      </c>
      <c r="O1318" t="s">
        <v>19</v>
      </c>
      <c r="P1318" t="s">
        <v>19</v>
      </c>
      <c r="Q1318">
        <f>I1318</f>
        <v>0</v>
      </c>
      <c r="R1318" t="s">
        <v>19</v>
      </c>
      <c r="S1318" t="s">
        <v>19</v>
      </c>
      <c r="T1318" t="s">
        <v>19</v>
      </c>
    </row>
    <row r="1319" spans="1:21" ht="15" customHeight="1" x14ac:dyDescent="0.25">
      <c r="A1319" t="s">
        <v>19</v>
      </c>
      <c r="B1319" t="s">
        <v>20</v>
      </c>
      <c r="C1319" t="s">
        <v>22</v>
      </c>
      <c r="D1319">
        <v>3</v>
      </c>
      <c r="E1319" t="s">
        <v>112</v>
      </c>
      <c r="F1319" t="s">
        <v>388</v>
      </c>
      <c r="G1319">
        <v>0</v>
      </c>
      <c r="H1319">
        <v>0</v>
      </c>
      <c r="I1319">
        <f>G1319+H1319</f>
        <v>0</v>
      </c>
      <c r="J1319">
        <f>100-G1319-H1319</f>
        <v>100</v>
      </c>
      <c r="K1319" t="s">
        <v>19</v>
      </c>
      <c r="L1319" t="s">
        <v>19</v>
      </c>
      <c r="M1319" t="s">
        <v>19</v>
      </c>
      <c r="N1319" t="s">
        <v>19</v>
      </c>
      <c r="O1319" t="s">
        <v>19</v>
      </c>
      <c r="P1319" t="s">
        <v>19</v>
      </c>
      <c r="Q1319">
        <f>I1319</f>
        <v>0</v>
      </c>
      <c r="R1319" t="s">
        <v>19</v>
      </c>
      <c r="S1319" t="s">
        <v>19</v>
      </c>
      <c r="T1319" t="s">
        <v>19</v>
      </c>
    </row>
    <row r="1320" spans="1:21" ht="15" customHeight="1" x14ac:dyDescent="0.25">
      <c r="A1320" t="s">
        <v>19</v>
      </c>
      <c r="B1320" t="s">
        <v>20</v>
      </c>
      <c r="C1320" t="s">
        <v>305</v>
      </c>
      <c r="D1320">
        <v>3</v>
      </c>
      <c r="E1320" t="s">
        <v>112</v>
      </c>
      <c r="F1320" t="s">
        <v>388</v>
      </c>
      <c r="G1320">
        <v>0</v>
      </c>
      <c r="H1320">
        <v>0</v>
      </c>
      <c r="I1320">
        <f>G1320+H1320</f>
        <v>0</v>
      </c>
      <c r="J1320">
        <f>100-G1320-H1320</f>
        <v>100</v>
      </c>
      <c r="K1320" t="s">
        <v>19</v>
      </c>
      <c r="L1320" t="s">
        <v>19</v>
      </c>
      <c r="M1320" t="s">
        <v>19</v>
      </c>
      <c r="N1320" t="s">
        <v>19</v>
      </c>
      <c r="O1320" t="s">
        <v>19</v>
      </c>
      <c r="P1320" t="s">
        <v>19</v>
      </c>
      <c r="Q1320">
        <f>I1320</f>
        <v>0</v>
      </c>
      <c r="R1320" t="s">
        <v>19</v>
      </c>
      <c r="S1320" t="s">
        <v>19</v>
      </c>
      <c r="T1320" t="s">
        <v>19</v>
      </c>
    </row>
    <row r="1321" spans="1:21" ht="15" customHeight="1" x14ac:dyDescent="0.25">
      <c r="A1321" t="s">
        <v>19</v>
      </c>
      <c r="B1321" t="s">
        <v>20</v>
      </c>
      <c r="C1321" t="s">
        <v>307</v>
      </c>
      <c r="D1321">
        <v>3</v>
      </c>
      <c r="E1321" t="s">
        <v>112</v>
      </c>
      <c r="F1321" t="s">
        <v>388</v>
      </c>
      <c r="G1321">
        <v>0</v>
      </c>
      <c r="H1321">
        <v>0</v>
      </c>
      <c r="I1321">
        <f>G1321+H1321</f>
        <v>0</v>
      </c>
      <c r="J1321">
        <f>100-G1321-H1321</f>
        <v>100</v>
      </c>
      <c r="K1321" t="s">
        <v>19</v>
      </c>
      <c r="L1321" t="s">
        <v>19</v>
      </c>
      <c r="M1321" t="s">
        <v>19</v>
      </c>
      <c r="N1321" t="s">
        <v>19</v>
      </c>
      <c r="O1321" t="s">
        <v>19</v>
      </c>
      <c r="P1321" t="s">
        <v>19</v>
      </c>
      <c r="Q1321">
        <f>I1321</f>
        <v>0</v>
      </c>
      <c r="R1321" t="s">
        <v>19</v>
      </c>
      <c r="S1321" t="s">
        <v>19</v>
      </c>
      <c r="T1321" t="s">
        <v>19</v>
      </c>
    </row>
    <row r="1322" spans="1:21" ht="15" customHeight="1" x14ac:dyDescent="0.25">
      <c r="A1322" s="2">
        <v>45253.578472222223</v>
      </c>
      <c r="B1322" t="s">
        <v>309</v>
      </c>
      <c r="C1322" t="s">
        <v>213</v>
      </c>
      <c r="D1322">
        <v>3</v>
      </c>
      <c r="E1322" t="s">
        <v>112</v>
      </c>
      <c r="F1322" t="s">
        <v>388</v>
      </c>
      <c r="G1322">
        <v>0.427960057</v>
      </c>
      <c r="H1322">
        <v>0</v>
      </c>
      <c r="I1322">
        <v>0.427960057</v>
      </c>
      <c r="J1322">
        <v>99.572039939999996</v>
      </c>
      <c r="K1322">
        <v>0.8</v>
      </c>
      <c r="L1322">
        <v>0.2</v>
      </c>
      <c r="M1322">
        <v>0.7</v>
      </c>
      <c r="N1322">
        <v>698</v>
      </c>
      <c r="O1322">
        <v>3</v>
      </c>
      <c r="P1322">
        <v>0</v>
      </c>
      <c r="Q1322">
        <v>0.43</v>
      </c>
      <c r="R1322" t="s">
        <v>245</v>
      </c>
      <c r="S1322">
        <v>2.73</v>
      </c>
      <c r="T1322">
        <v>3.28</v>
      </c>
    </row>
    <row r="1323" spans="1:21" ht="15" customHeight="1" x14ac:dyDescent="0.25">
      <c r="A1323" s="2">
        <v>45253.854166666664</v>
      </c>
      <c r="B1323" t="s">
        <v>309</v>
      </c>
      <c r="C1323" t="s">
        <v>215</v>
      </c>
      <c r="D1323">
        <v>2</v>
      </c>
      <c r="E1323" t="s">
        <v>112</v>
      </c>
      <c r="F1323" t="s">
        <v>388</v>
      </c>
      <c r="G1323">
        <v>48.964497039999998</v>
      </c>
      <c r="H1323">
        <v>0</v>
      </c>
      <c r="I1323">
        <v>48.964497039999998</v>
      </c>
      <c r="J1323">
        <v>51.035502960000002</v>
      </c>
      <c r="K1323">
        <v>0.8</v>
      </c>
      <c r="L1323">
        <v>0.2</v>
      </c>
      <c r="M1323">
        <v>0.7</v>
      </c>
      <c r="N1323">
        <v>345</v>
      </c>
      <c r="O1323">
        <v>331</v>
      </c>
      <c r="P1323">
        <v>0</v>
      </c>
      <c r="Q1323">
        <v>48.96</v>
      </c>
      <c r="R1323" t="s">
        <v>220</v>
      </c>
      <c r="S1323">
        <v>1.1100000000000001</v>
      </c>
      <c r="T1323">
        <v>1.22</v>
      </c>
    </row>
    <row r="1324" spans="1:21" ht="15" customHeight="1" x14ac:dyDescent="0.25">
      <c r="A1324" s="2">
        <v>45254.022916666669</v>
      </c>
      <c r="B1324" t="s">
        <v>309</v>
      </c>
      <c r="C1324" t="s">
        <v>217</v>
      </c>
      <c r="D1324">
        <v>2</v>
      </c>
      <c r="E1324" t="s">
        <v>112</v>
      </c>
      <c r="F1324" t="s">
        <v>388</v>
      </c>
      <c r="G1324">
        <v>35.8778626</v>
      </c>
      <c r="H1324">
        <v>0</v>
      </c>
      <c r="I1324">
        <v>35.8778626</v>
      </c>
      <c r="J1324">
        <v>64.1221374</v>
      </c>
      <c r="K1324">
        <v>0.8</v>
      </c>
      <c r="L1324">
        <v>0.2</v>
      </c>
      <c r="M1324">
        <v>0.7</v>
      </c>
      <c r="N1324">
        <v>420</v>
      </c>
      <c r="O1324">
        <v>235</v>
      </c>
      <c r="P1324">
        <v>0</v>
      </c>
      <c r="Q1324">
        <v>35.880000000000003</v>
      </c>
      <c r="R1324" t="s">
        <v>254</v>
      </c>
      <c r="S1324">
        <v>0.97</v>
      </c>
      <c r="T1324">
        <v>1.04</v>
      </c>
    </row>
    <row r="1325" spans="1:21" ht="15" customHeight="1" x14ac:dyDescent="0.25">
      <c r="A1325" s="2">
        <v>45316.53402777778</v>
      </c>
      <c r="B1325" t="s">
        <v>309</v>
      </c>
      <c r="C1325" t="s">
        <v>219</v>
      </c>
      <c r="D1325">
        <v>3</v>
      </c>
      <c r="E1325" t="s">
        <v>112</v>
      </c>
      <c r="F1325" t="s">
        <v>388</v>
      </c>
      <c r="G1325">
        <v>2.036659878</v>
      </c>
      <c r="H1325">
        <v>0</v>
      </c>
      <c r="I1325">
        <v>2.036659878</v>
      </c>
      <c r="J1325">
        <v>97.963340119999998</v>
      </c>
      <c r="K1325">
        <v>0.8</v>
      </c>
      <c r="L1325">
        <v>0.2</v>
      </c>
      <c r="M1325">
        <v>0.7</v>
      </c>
      <c r="N1325">
        <v>481</v>
      </c>
      <c r="O1325">
        <v>10</v>
      </c>
      <c r="P1325">
        <v>0</v>
      </c>
      <c r="Q1325">
        <v>2.04</v>
      </c>
      <c r="R1325" t="s">
        <v>220</v>
      </c>
      <c r="S1325">
        <v>3.15</v>
      </c>
      <c r="T1325">
        <v>4.92</v>
      </c>
    </row>
    <row r="1326" spans="1:21" ht="15" customHeight="1" x14ac:dyDescent="0.25">
      <c r="A1326" s="2">
        <v>45320.875</v>
      </c>
      <c r="B1326" t="s">
        <v>309</v>
      </c>
      <c r="C1326" t="s">
        <v>221</v>
      </c>
      <c r="D1326">
        <v>2</v>
      </c>
      <c r="E1326" t="s">
        <v>112</v>
      </c>
      <c r="F1326" t="s">
        <v>388</v>
      </c>
      <c r="G1326">
        <v>1.7045454550000001</v>
      </c>
      <c r="H1326">
        <v>0</v>
      </c>
      <c r="I1326">
        <v>1.7045454550000001</v>
      </c>
      <c r="J1326">
        <v>98.295454550000002</v>
      </c>
      <c r="K1326">
        <v>0.8</v>
      </c>
      <c r="L1326">
        <v>0.3</v>
      </c>
      <c r="M1326">
        <v>0.7</v>
      </c>
      <c r="N1326">
        <v>692</v>
      </c>
      <c r="O1326">
        <v>12</v>
      </c>
      <c r="P1326">
        <v>0</v>
      </c>
      <c r="Q1326">
        <v>1.7</v>
      </c>
      <c r="R1326" t="s">
        <v>231</v>
      </c>
      <c r="S1326">
        <v>0.11</v>
      </c>
      <c r="T1326">
        <v>0.11</v>
      </c>
    </row>
    <row r="1327" spans="1:21" ht="15" customHeight="1" x14ac:dyDescent="0.25">
      <c r="A1327" t="s">
        <v>19</v>
      </c>
      <c r="B1327" t="s">
        <v>20</v>
      </c>
      <c r="C1327" t="s">
        <v>306</v>
      </c>
      <c r="D1327">
        <v>3</v>
      </c>
      <c r="E1327" t="s">
        <v>112</v>
      </c>
      <c r="F1327" t="s">
        <v>388</v>
      </c>
      <c r="G1327">
        <v>0</v>
      </c>
      <c r="H1327">
        <v>0</v>
      </c>
      <c r="I1327">
        <f>G1327+H1327</f>
        <v>0</v>
      </c>
      <c r="J1327">
        <f>100-G1327-H1327</f>
        <v>100</v>
      </c>
      <c r="K1327" t="s">
        <v>19</v>
      </c>
      <c r="L1327" t="s">
        <v>19</v>
      </c>
      <c r="M1327" t="s">
        <v>19</v>
      </c>
      <c r="N1327" t="s">
        <v>19</v>
      </c>
      <c r="O1327" t="s">
        <v>19</v>
      </c>
      <c r="P1327" t="s">
        <v>19</v>
      </c>
      <c r="Q1327">
        <f>I1327</f>
        <v>0</v>
      </c>
      <c r="R1327" t="s">
        <v>19</v>
      </c>
      <c r="S1327" t="s">
        <v>19</v>
      </c>
      <c r="T1327" t="s">
        <v>19</v>
      </c>
    </row>
    <row r="1328" spans="1:21" ht="15" customHeight="1" x14ac:dyDescent="0.25">
      <c r="A1328" t="s">
        <v>19</v>
      </c>
      <c r="B1328" t="s">
        <v>20</v>
      </c>
      <c r="C1328" t="s">
        <v>320</v>
      </c>
      <c r="D1328">
        <v>3</v>
      </c>
      <c r="E1328" t="s">
        <v>112</v>
      </c>
      <c r="F1328" t="s">
        <v>388</v>
      </c>
      <c r="G1328">
        <v>0</v>
      </c>
      <c r="H1328">
        <v>0</v>
      </c>
      <c r="I1328">
        <f>100-J1328</f>
        <v>0</v>
      </c>
      <c r="J1328">
        <f>100-G1328-H1328</f>
        <v>100</v>
      </c>
      <c r="K1328" t="s">
        <v>19</v>
      </c>
      <c r="L1328" t="s">
        <v>19</v>
      </c>
      <c r="M1328" t="s">
        <v>19</v>
      </c>
      <c r="N1328" t="s">
        <v>19</v>
      </c>
      <c r="O1328" t="s">
        <v>19</v>
      </c>
      <c r="P1328" t="s">
        <v>19</v>
      </c>
      <c r="Q1328">
        <f>I1328</f>
        <v>0</v>
      </c>
      <c r="R1328" t="s">
        <v>19</v>
      </c>
      <c r="S1328" t="s">
        <v>19</v>
      </c>
      <c r="T1328" t="s">
        <v>19</v>
      </c>
    </row>
    <row r="1329" spans="1:21" ht="15" customHeight="1" x14ac:dyDescent="0.25">
      <c r="A1329" s="2">
        <v>45323.588460648149</v>
      </c>
      <c r="B1329" t="s">
        <v>309</v>
      </c>
      <c r="C1329" t="s">
        <v>322</v>
      </c>
      <c r="D1329">
        <v>3</v>
      </c>
      <c r="E1329" t="s">
        <v>112</v>
      </c>
      <c r="F1329" t="s">
        <v>388</v>
      </c>
      <c r="G1329" t="e">
        <f>(O1329/(N1329+O1329+P1329))*100</f>
        <v>#VALUE!</v>
      </c>
      <c r="H1329" t="e">
        <f>(P1329/(O1329+P1329+N1329))*100</f>
        <v>#VALUE!</v>
      </c>
      <c r="I1329">
        <v>3.5</v>
      </c>
      <c r="J1329" t="e">
        <f>(N1329/(P1329+O1329+N1329))*100</f>
        <v>#VALUE!</v>
      </c>
      <c r="K1329">
        <v>0.8</v>
      </c>
      <c r="L1329">
        <v>0.3</v>
      </c>
      <c r="M1329">
        <v>0.7</v>
      </c>
      <c r="N1329">
        <v>662</v>
      </c>
      <c r="O1329" t="s">
        <v>266</v>
      </c>
      <c r="P1329" t="s">
        <v>266</v>
      </c>
      <c r="Q1329">
        <v>3.5</v>
      </c>
      <c r="R1329" t="s">
        <v>355</v>
      </c>
      <c r="S1329">
        <v>2.62</v>
      </c>
      <c r="T1329">
        <v>3.15</v>
      </c>
      <c r="U1329">
        <v>60</v>
      </c>
    </row>
    <row r="1330" spans="1:21" ht="15" customHeight="1" x14ac:dyDescent="0.25">
      <c r="A1330" s="2">
        <v>45323.586354166669</v>
      </c>
      <c r="B1330" t="s">
        <v>309</v>
      </c>
      <c r="C1330" t="s">
        <v>322</v>
      </c>
      <c r="D1330">
        <v>3</v>
      </c>
      <c r="E1330" t="s">
        <v>112</v>
      </c>
      <c r="F1330" t="s">
        <v>388</v>
      </c>
      <c r="G1330" t="e">
        <f>(O1330/(N1330+O1330+P1330))*100</f>
        <v>#VALUE!</v>
      </c>
      <c r="H1330" t="e">
        <f>(P1330/(O1330+P1330+N1330))*100</f>
        <v>#VALUE!</v>
      </c>
      <c r="I1330">
        <v>5.0199999999999996</v>
      </c>
      <c r="J1330" t="e">
        <f>(N1330/(P1330+O1330+N1330))*100</f>
        <v>#VALUE!</v>
      </c>
      <c r="K1330">
        <v>0.7</v>
      </c>
      <c r="L1330">
        <v>0.3</v>
      </c>
      <c r="M1330">
        <v>0.7</v>
      </c>
      <c r="N1330">
        <v>662</v>
      </c>
      <c r="O1330" t="s">
        <v>266</v>
      </c>
      <c r="P1330" t="s">
        <v>266</v>
      </c>
      <c r="Q1330">
        <v>5.0199999999999996</v>
      </c>
      <c r="R1330" t="s">
        <v>341</v>
      </c>
      <c r="S1330">
        <v>2.62</v>
      </c>
      <c r="T1330">
        <v>3.15</v>
      </c>
      <c r="U1330">
        <v>49</v>
      </c>
    </row>
    <row r="1331" spans="1:21" ht="15" customHeight="1" x14ac:dyDescent="0.25">
      <c r="A1331" s="2">
        <v>45325.008414351854</v>
      </c>
      <c r="B1331" t="s">
        <v>309</v>
      </c>
      <c r="C1331" t="s">
        <v>368</v>
      </c>
      <c r="D1331">
        <v>2</v>
      </c>
      <c r="E1331" t="s">
        <v>112</v>
      </c>
      <c r="F1331" t="s">
        <v>388</v>
      </c>
      <c r="G1331">
        <f>(O1331/(N1331+O1331+P1331))*100</f>
        <v>1.8813314037626629</v>
      </c>
      <c r="H1331">
        <f>(P1331/(O1331+P1331+N1331))*100</f>
        <v>0</v>
      </c>
      <c r="I1331">
        <v>1.88</v>
      </c>
      <c r="J1331">
        <f>(N1331/(P1331+O1331+N1331))*100</f>
        <v>98.118668596237342</v>
      </c>
      <c r="K1331">
        <v>0.8</v>
      </c>
      <c r="L1331">
        <v>0.3</v>
      </c>
      <c r="M1331">
        <v>0.7</v>
      </c>
      <c r="N1331">
        <v>678</v>
      </c>
      <c r="O1331">
        <v>13</v>
      </c>
      <c r="P1331">
        <v>0</v>
      </c>
      <c r="Q1331">
        <v>1.88</v>
      </c>
      <c r="R1331" t="s">
        <v>259</v>
      </c>
      <c r="S1331">
        <v>0.13</v>
      </c>
      <c r="T1331">
        <v>0.14000000000000001</v>
      </c>
    </row>
    <row r="1332" spans="1:21" ht="15" customHeight="1" x14ac:dyDescent="0.25">
      <c r="A1332" t="s">
        <v>19</v>
      </c>
      <c r="B1332" t="s">
        <v>20</v>
      </c>
      <c r="C1332" t="s">
        <v>308</v>
      </c>
      <c r="D1332">
        <v>3</v>
      </c>
      <c r="E1332" t="s">
        <v>113</v>
      </c>
      <c r="F1332" t="s">
        <v>388</v>
      </c>
      <c r="G1332">
        <v>0</v>
      </c>
      <c r="H1332">
        <v>0</v>
      </c>
      <c r="I1332">
        <f>G1332+H1332</f>
        <v>0</v>
      </c>
      <c r="J1332">
        <f>100-G1332-H1332</f>
        <v>100</v>
      </c>
      <c r="K1332" t="s">
        <v>19</v>
      </c>
      <c r="L1332" t="s">
        <v>19</v>
      </c>
      <c r="M1332" t="s">
        <v>19</v>
      </c>
      <c r="N1332" t="s">
        <v>19</v>
      </c>
      <c r="O1332" t="s">
        <v>19</v>
      </c>
      <c r="P1332" t="s">
        <v>19</v>
      </c>
      <c r="Q1332">
        <f>I1332</f>
        <v>0</v>
      </c>
      <c r="R1332" t="s">
        <v>19</v>
      </c>
      <c r="S1332" t="s">
        <v>19</v>
      </c>
      <c r="T1332" t="s">
        <v>19</v>
      </c>
    </row>
    <row r="1333" spans="1:21" ht="15" customHeight="1" x14ac:dyDescent="0.25">
      <c r="A1333" t="s">
        <v>19</v>
      </c>
      <c r="B1333" t="s">
        <v>20</v>
      </c>
      <c r="C1333" t="s">
        <v>22</v>
      </c>
      <c r="D1333">
        <v>3</v>
      </c>
      <c r="E1333" t="s">
        <v>113</v>
      </c>
      <c r="F1333" t="s">
        <v>388</v>
      </c>
      <c r="G1333">
        <v>0</v>
      </c>
      <c r="H1333">
        <v>0</v>
      </c>
      <c r="I1333">
        <f>G1333+H1333</f>
        <v>0</v>
      </c>
      <c r="J1333">
        <f>100-G1333-H1333</f>
        <v>100</v>
      </c>
      <c r="K1333" t="s">
        <v>19</v>
      </c>
      <c r="L1333" t="s">
        <v>19</v>
      </c>
      <c r="M1333" t="s">
        <v>19</v>
      </c>
      <c r="N1333" t="s">
        <v>19</v>
      </c>
      <c r="O1333" t="s">
        <v>19</v>
      </c>
      <c r="P1333" t="s">
        <v>19</v>
      </c>
      <c r="Q1333">
        <f>I1333</f>
        <v>0</v>
      </c>
      <c r="R1333" t="s">
        <v>19</v>
      </c>
      <c r="S1333" t="s">
        <v>19</v>
      </c>
      <c r="T1333" t="s">
        <v>19</v>
      </c>
    </row>
    <row r="1334" spans="1:21" ht="15" customHeight="1" x14ac:dyDescent="0.25">
      <c r="A1334" t="s">
        <v>19</v>
      </c>
      <c r="B1334" t="s">
        <v>20</v>
      </c>
      <c r="C1334" s="1" t="s">
        <v>305</v>
      </c>
      <c r="D1334">
        <v>3</v>
      </c>
      <c r="E1334" s="1" t="s">
        <v>113</v>
      </c>
      <c r="F1334" s="1" t="s">
        <v>388</v>
      </c>
      <c r="G1334">
        <v>5</v>
      </c>
      <c r="H1334">
        <v>0</v>
      </c>
      <c r="I1334">
        <f>G1334+H1334</f>
        <v>5</v>
      </c>
      <c r="J1334">
        <f>100-G1334-H1334</f>
        <v>95</v>
      </c>
      <c r="K1334" t="s">
        <v>19</v>
      </c>
      <c r="L1334" t="s">
        <v>19</v>
      </c>
      <c r="M1334" t="s">
        <v>19</v>
      </c>
      <c r="N1334" t="s">
        <v>19</v>
      </c>
      <c r="O1334" t="s">
        <v>19</v>
      </c>
      <c r="P1334" t="s">
        <v>19</v>
      </c>
      <c r="Q1334">
        <f>I1334</f>
        <v>5</v>
      </c>
      <c r="R1334" t="s">
        <v>19</v>
      </c>
      <c r="S1334" t="s">
        <v>19</v>
      </c>
      <c r="T1334" t="s">
        <v>19</v>
      </c>
    </row>
    <row r="1335" spans="1:21" ht="15" customHeight="1" x14ac:dyDescent="0.25">
      <c r="A1335" t="s">
        <v>19</v>
      </c>
      <c r="B1335" t="s">
        <v>20</v>
      </c>
      <c r="C1335" t="s">
        <v>307</v>
      </c>
      <c r="D1335">
        <v>3</v>
      </c>
      <c r="E1335" t="s">
        <v>113</v>
      </c>
      <c r="F1335" t="s">
        <v>388</v>
      </c>
      <c r="G1335">
        <v>0</v>
      </c>
      <c r="H1335">
        <v>0</v>
      </c>
      <c r="I1335">
        <f>G1335+H1335</f>
        <v>0</v>
      </c>
      <c r="J1335">
        <f>100-G1335-H1335</f>
        <v>100</v>
      </c>
      <c r="K1335" t="s">
        <v>19</v>
      </c>
      <c r="L1335" t="s">
        <v>19</v>
      </c>
      <c r="M1335" t="s">
        <v>19</v>
      </c>
      <c r="N1335" t="s">
        <v>19</v>
      </c>
      <c r="O1335" t="s">
        <v>19</v>
      </c>
      <c r="P1335" t="s">
        <v>19</v>
      </c>
      <c r="Q1335">
        <f>I1335</f>
        <v>0</v>
      </c>
      <c r="R1335" t="s">
        <v>19</v>
      </c>
      <c r="S1335" t="s">
        <v>19</v>
      </c>
      <c r="T1335" t="s">
        <v>19</v>
      </c>
    </row>
    <row r="1336" spans="1:21" ht="15" customHeight="1" x14ac:dyDescent="0.25">
      <c r="A1336" s="2">
        <v>45253.579861111109</v>
      </c>
      <c r="B1336" t="s">
        <v>309</v>
      </c>
      <c r="C1336" t="s">
        <v>213</v>
      </c>
      <c r="D1336">
        <v>3</v>
      </c>
      <c r="E1336" t="s">
        <v>113</v>
      </c>
      <c r="F1336" t="s">
        <v>388</v>
      </c>
      <c r="G1336">
        <v>2.1052631580000001</v>
      </c>
      <c r="H1336">
        <v>0.35087719299999998</v>
      </c>
      <c r="I1336">
        <v>2.4561403510000002</v>
      </c>
      <c r="J1336">
        <v>97.543859650000002</v>
      </c>
      <c r="K1336">
        <v>0.8</v>
      </c>
      <c r="L1336">
        <v>0.2</v>
      </c>
      <c r="M1336">
        <v>0.7</v>
      </c>
      <c r="N1336">
        <v>556</v>
      </c>
      <c r="O1336">
        <v>12</v>
      </c>
      <c r="P1336">
        <v>2</v>
      </c>
      <c r="Q1336">
        <v>2.46</v>
      </c>
      <c r="R1336" t="s">
        <v>234</v>
      </c>
      <c r="S1336">
        <v>2.89</v>
      </c>
      <c r="T1336">
        <v>3.21</v>
      </c>
    </row>
    <row r="1337" spans="1:21" ht="15" customHeight="1" x14ac:dyDescent="0.25">
      <c r="A1337" s="2">
        <v>45253.855555555558</v>
      </c>
      <c r="B1337" t="s">
        <v>309</v>
      </c>
      <c r="C1337" t="s">
        <v>215</v>
      </c>
      <c r="D1337">
        <v>2</v>
      </c>
      <c r="E1337" t="s">
        <v>113</v>
      </c>
      <c r="F1337" t="s">
        <v>388</v>
      </c>
      <c r="G1337">
        <v>9.4972067039999999</v>
      </c>
      <c r="H1337">
        <v>0</v>
      </c>
      <c r="I1337">
        <v>9.4972067039999999</v>
      </c>
      <c r="J1337">
        <v>90.502793299999993</v>
      </c>
      <c r="K1337">
        <v>0.8</v>
      </c>
      <c r="L1337">
        <v>0.2</v>
      </c>
      <c r="M1337">
        <v>0.7</v>
      </c>
      <c r="N1337">
        <v>648</v>
      </c>
      <c r="O1337">
        <v>68</v>
      </c>
      <c r="P1337">
        <v>0</v>
      </c>
      <c r="Q1337">
        <v>9.5</v>
      </c>
      <c r="R1337" t="s">
        <v>224</v>
      </c>
      <c r="S1337">
        <v>0.24</v>
      </c>
      <c r="T1337">
        <v>0.27</v>
      </c>
    </row>
    <row r="1338" spans="1:21" ht="15" customHeight="1" x14ac:dyDescent="0.25">
      <c r="A1338" s="2">
        <v>45254.023611111108</v>
      </c>
      <c r="B1338" t="s">
        <v>309</v>
      </c>
      <c r="C1338" t="s">
        <v>217</v>
      </c>
      <c r="D1338">
        <v>2</v>
      </c>
      <c r="E1338" t="s">
        <v>113</v>
      </c>
      <c r="F1338" t="s">
        <v>388</v>
      </c>
      <c r="G1338">
        <v>9.6685082869999999</v>
      </c>
      <c r="H1338">
        <v>0</v>
      </c>
      <c r="I1338">
        <v>9.6685082869999999</v>
      </c>
      <c r="J1338">
        <v>90.331491709999995</v>
      </c>
      <c r="K1338">
        <v>0.8</v>
      </c>
      <c r="L1338">
        <v>0.2</v>
      </c>
      <c r="M1338">
        <v>0.7</v>
      </c>
      <c r="N1338">
        <v>654</v>
      </c>
      <c r="O1338">
        <v>70</v>
      </c>
      <c r="P1338">
        <v>0</v>
      </c>
      <c r="Q1338">
        <v>9.67</v>
      </c>
      <c r="R1338" t="s">
        <v>225</v>
      </c>
      <c r="S1338">
        <v>0.28000000000000003</v>
      </c>
      <c r="T1338">
        <v>0.31</v>
      </c>
    </row>
    <row r="1339" spans="1:21" ht="15" customHeight="1" x14ac:dyDescent="0.25">
      <c r="A1339" s="2">
        <v>45316.534722222219</v>
      </c>
      <c r="B1339" t="s">
        <v>309</v>
      </c>
      <c r="C1339" t="s">
        <v>219</v>
      </c>
      <c r="D1339">
        <v>3</v>
      </c>
      <c r="E1339" t="s">
        <v>113</v>
      </c>
      <c r="F1339" t="s">
        <v>388</v>
      </c>
      <c r="G1339">
        <v>0.68649885600000005</v>
      </c>
      <c r="H1339">
        <v>0</v>
      </c>
      <c r="I1339">
        <v>0.68649885600000005</v>
      </c>
      <c r="J1339">
        <v>99.31350114</v>
      </c>
      <c r="K1339">
        <v>0.8</v>
      </c>
      <c r="L1339">
        <v>0.2</v>
      </c>
      <c r="M1339">
        <v>0.7</v>
      </c>
      <c r="N1339">
        <v>434</v>
      </c>
      <c r="O1339">
        <v>3</v>
      </c>
      <c r="P1339">
        <v>0</v>
      </c>
      <c r="Q1339">
        <v>0.69</v>
      </c>
      <c r="R1339" t="s">
        <v>235</v>
      </c>
      <c r="S1339">
        <v>3.21</v>
      </c>
      <c r="T1339">
        <v>4.76</v>
      </c>
    </row>
    <row r="1340" spans="1:21" ht="15" customHeight="1" x14ac:dyDescent="0.25">
      <c r="A1340" s="2">
        <v>45320.875694444447</v>
      </c>
      <c r="B1340" t="s">
        <v>309</v>
      </c>
      <c r="C1340" t="s">
        <v>221</v>
      </c>
      <c r="D1340">
        <v>2</v>
      </c>
      <c r="E1340" t="s">
        <v>113</v>
      </c>
      <c r="F1340" t="s">
        <v>388</v>
      </c>
      <c r="G1340">
        <v>1.9786910200000001</v>
      </c>
      <c r="H1340">
        <v>0</v>
      </c>
      <c r="I1340">
        <v>1.9786910200000001</v>
      </c>
      <c r="J1340">
        <v>98.021308980000001</v>
      </c>
      <c r="K1340">
        <v>0.8</v>
      </c>
      <c r="L1340">
        <v>0.3</v>
      </c>
      <c r="M1340">
        <v>0.7</v>
      </c>
      <c r="N1340">
        <v>644</v>
      </c>
      <c r="O1340">
        <v>13</v>
      </c>
      <c r="P1340">
        <v>0</v>
      </c>
      <c r="Q1340">
        <v>1.98</v>
      </c>
      <c r="R1340" t="s">
        <v>232</v>
      </c>
      <c r="S1340">
        <v>0.14000000000000001</v>
      </c>
      <c r="T1340">
        <v>0.15</v>
      </c>
    </row>
    <row r="1341" spans="1:21" ht="15" customHeight="1" x14ac:dyDescent="0.25">
      <c r="A1341" t="s">
        <v>19</v>
      </c>
      <c r="B1341" t="s">
        <v>20</v>
      </c>
      <c r="C1341" t="s">
        <v>306</v>
      </c>
      <c r="D1341">
        <v>3</v>
      </c>
      <c r="E1341" t="s">
        <v>113</v>
      </c>
      <c r="F1341" t="s">
        <v>388</v>
      </c>
      <c r="G1341">
        <v>0</v>
      </c>
      <c r="H1341">
        <v>0</v>
      </c>
      <c r="I1341">
        <f>G1341+H1341</f>
        <v>0</v>
      </c>
      <c r="J1341">
        <f>100-G1341-H1341</f>
        <v>100</v>
      </c>
      <c r="K1341" t="s">
        <v>19</v>
      </c>
      <c r="L1341" t="s">
        <v>19</v>
      </c>
      <c r="M1341" t="s">
        <v>19</v>
      </c>
      <c r="N1341" t="s">
        <v>19</v>
      </c>
      <c r="O1341" t="s">
        <v>19</v>
      </c>
      <c r="P1341" t="s">
        <v>19</v>
      </c>
      <c r="Q1341">
        <f>I1341</f>
        <v>0</v>
      </c>
      <c r="R1341" t="s">
        <v>19</v>
      </c>
      <c r="S1341" t="s">
        <v>19</v>
      </c>
      <c r="T1341" t="s">
        <v>19</v>
      </c>
    </row>
    <row r="1342" spans="1:21" ht="15" customHeight="1" x14ac:dyDescent="0.25">
      <c r="A1342" t="s">
        <v>19</v>
      </c>
      <c r="B1342" t="s">
        <v>20</v>
      </c>
      <c r="C1342" t="s">
        <v>320</v>
      </c>
      <c r="D1342">
        <v>3</v>
      </c>
      <c r="E1342" t="s">
        <v>113</v>
      </c>
      <c r="F1342" t="s">
        <v>388</v>
      </c>
      <c r="G1342">
        <v>0</v>
      </c>
      <c r="H1342">
        <v>0</v>
      </c>
      <c r="I1342">
        <f>100-J1342</f>
        <v>0</v>
      </c>
      <c r="J1342">
        <f>100-G1342-H1342</f>
        <v>100</v>
      </c>
      <c r="K1342" t="s">
        <v>19</v>
      </c>
      <c r="L1342" t="s">
        <v>19</v>
      </c>
      <c r="M1342" t="s">
        <v>19</v>
      </c>
      <c r="N1342" t="s">
        <v>19</v>
      </c>
      <c r="O1342" t="s">
        <v>19</v>
      </c>
      <c r="P1342" t="s">
        <v>19</v>
      </c>
      <c r="Q1342">
        <f>I1342</f>
        <v>0</v>
      </c>
      <c r="R1342" t="s">
        <v>19</v>
      </c>
      <c r="S1342" t="s">
        <v>19</v>
      </c>
      <c r="T1342" t="s">
        <v>19</v>
      </c>
    </row>
    <row r="1343" spans="1:21" ht="15" customHeight="1" x14ac:dyDescent="0.25">
      <c r="A1343" s="2">
        <v>45323.590243055558</v>
      </c>
      <c r="B1343" t="s">
        <v>309</v>
      </c>
      <c r="C1343" t="s">
        <v>322</v>
      </c>
      <c r="D1343">
        <v>3</v>
      </c>
      <c r="E1343" t="s">
        <v>113</v>
      </c>
      <c r="F1343" t="s">
        <v>388</v>
      </c>
      <c r="G1343" t="e">
        <f>(O1343/(N1343+O1343+P1343))*100</f>
        <v>#VALUE!</v>
      </c>
      <c r="H1343" t="e">
        <f>(P1343/(O1343+P1343+N1343))*100</f>
        <v>#VALUE!</v>
      </c>
      <c r="I1343">
        <v>8.06</v>
      </c>
      <c r="J1343" t="e">
        <f>(N1343/(P1343+O1343+N1343))*100</f>
        <v>#VALUE!</v>
      </c>
      <c r="K1343">
        <v>0.8</v>
      </c>
      <c r="L1343">
        <v>0.3</v>
      </c>
      <c r="M1343">
        <v>0.7</v>
      </c>
      <c r="N1343">
        <v>536</v>
      </c>
      <c r="O1343" t="s">
        <v>266</v>
      </c>
      <c r="P1343" t="s">
        <v>266</v>
      </c>
      <c r="Q1343">
        <v>8.06</v>
      </c>
      <c r="R1343" t="s">
        <v>338</v>
      </c>
      <c r="S1343">
        <v>2.63</v>
      </c>
      <c r="T1343">
        <v>3.16</v>
      </c>
      <c r="U1343">
        <v>139</v>
      </c>
    </row>
    <row r="1344" spans="1:21" ht="15" customHeight="1" x14ac:dyDescent="0.25">
      <c r="A1344" s="2">
        <v>45323.58803240741</v>
      </c>
      <c r="B1344" t="s">
        <v>309</v>
      </c>
      <c r="C1344" t="s">
        <v>322</v>
      </c>
      <c r="D1344">
        <v>3</v>
      </c>
      <c r="E1344" t="s">
        <v>113</v>
      </c>
      <c r="F1344" t="s">
        <v>388</v>
      </c>
      <c r="G1344" t="e">
        <f>(O1344/(N1344+O1344+P1344))*100</f>
        <v>#VALUE!</v>
      </c>
      <c r="H1344" t="e">
        <f>(P1344/(O1344+P1344+N1344))*100</f>
        <v>#VALUE!</v>
      </c>
      <c r="I1344">
        <v>10.82</v>
      </c>
      <c r="J1344" t="e">
        <f>(N1344/(P1344+O1344+N1344))*100</f>
        <v>#VALUE!</v>
      </c>
      <c r="K1344">
        <v>0.7</v>
      </c>
      <c r="L1344">
        <v>0.3</v>
      </c>
      <c r="M1344">
        <v>0.7</v>
      </c>
      <c r="N1344">
        <v>536</v>
      </c>
      <c r="O1344" t="s">
        <v>266</v>
      </c>
      <c r="P1344" t="s">
        <v>266</v>
      </c>
      <c r="Q1344">
        <v>10.82</v>
      </c>
      <c r="R1344" t="s">
        <v>332</v>
      </c>
      <c r="S1344">
        <v>2.63</v>
      </c>
      <c r="T1344">
        <v>3.16</v>
      </c>
      <c r="U1344">
        <v>121</v>
      </c>
    </row>
    <row r="1345" spans="1:21" ht="15" customHeight="1" x14ac:dyDescent="0.25">
      <c r="A1345" s="2">
        <v>45325.009664351855</v>
      </c>
      <c r="B1345" t="s">
        <v>309</v>
      </c>
      <c r="C1345" t="s">
        <v>368</v>
      </c>
      <c r="D1345">
        <v>2</v>
      </c>
      <c r="E1345" t="s">
        <v>113</v>
      </c>
      <c r="F1345" t="s">
        <v>388</v>
      </c>
      <c r="G1345">
        <f>(O1345/(N1345+O1345+P1345))*100</f>
        <v>1.5267175572519083</v>
      </c>
      <c r="H1345">
        <f>(P1345/(O1345+P1345+N1345))*100</f>
        <v>0</v>
      </c>
      <c r="I1345">
        <v>1.53</v>
      </c>
      <c r="J1345">
        <f>(N1345/(P1345+O1345+N1345))*100</f>
        <v>98.473282442748086</v>
      </c>
      <c r="K1345">
        <v>0.8</v>
      </c>
      <c r="L1345">
        <v>0.3</v>
      </c>
      <c r="M1345">
        <v>0.7</v>
      </c>
      <c r="N1345">
        <v>645</v>
      </c>
      <c r="O1345">
        <v>10</v>
      </c>
      <c r="P1345">
        <v>0</v>
      </c>
      <c r="Q1345">
        <v>1.53</v>
      </c>
      <c r="R1345" t="s">
        <v>367</v>
      </c>
      <c r="S1345">
        <v>0.11</v>
      </c>
      <c r="T1345">
        <v>0.12</v>
      </c>
    </row>
    <row r="1346" spans="1:21" ht="15" customHeight="1" x14ac:dyDescent="0.25">
      <c r="A1346" t="s">
        <v>19</v>
      </c>
      <c r="B1346" t="s">
        <v>20</v>
      </c>
      <c r="C1346" t="s">
        <v>308</v>
      </c>
      <c r="D1346">
        <v>3</v>
      </c>
      <c r="E1346" t="s">
        <v>114</v>
      </c>
      <c r="F1346" t="s">
        <v>388</v>
      </c>
      <c r="G1346">
        <v>4</v>
      </c>
      <c r="H1346">
        <v>1</v>
      </c>
      <c r="I1346">
        <f>G1346+H1346</f>
        <v>5</v>
      </c>
      <c r="J1346">
        <f>100-G1346-H1346</f>
        <v>95</v>
      </c>
      <c r="K1346" t="s">
        <v>19</v>
      </c>
      <c r="L1346" t="s">
        <v>19</v>
      </c>
      <c r="M1346" t="s">
        <v>19</v>
      </c>
      <c r="N1346" t="s">
        <v>19</v>
      </c>
      <c r="O1346" t="s">
        <v>19</v>
      </c>
      <c r="P1346" t="s">
        <v>19</v>
      </c>
      <c r="Q1346">
        <f>I1346</f>
        <v>5</v>
      </c>
      <c r="R1346" t="s">
        <v>19</v>
      </c>
      <c r="S1346" t="s">
        <v>19</v>
      </c>
      <c r="T1346" t="s">
        <v>19</v>
      </c>
    </row>
    <row r="1347" spans="1:21" ht="15" customHeight="1" x14ac:dyDescent="0.25">
      <c r="A1347" t="s">
        <v>19</v>
      </c>
      <c r="B1347" t="s">
        <v>20</v>
      </c>
      <c r="C1347" t="s">
        <v>22</v>
      </c>
      <c r="D1347">
        <v>3</v>
      </c>
      <c r="E1347" t="s">
        <v>114</v>
      </c>
      <c r="F1347" t="s">
        <v>388</v>
      </c>
      <c r="G1347">
        <v>7</v>
      </c>
      <c r="H1347">
        <v>1</v>
      </c>
      <c r="I1347">
        <f>G1347+H1347</f>
        <v>8</v>
      </c>
      <c r="J1347">
        <f>100-G1347-H1347</f>
        <v>92</v>
      </c>
      <c r="K1347" t="s">
        <v>19</v>
      </c>
      <c r="L1347" t="s">
        <v>19</v>
      </c>
      <c r="M1347" t="s">
        <v>19</v>
      </c>
      <c r="N1347" t="s">
        <v>19</v>
      </c>
      <c r="O1347" t="s">
        <v>19</v>
      </c>
      <c r="P1347" t="s">
        <v>19</v>
      </c>
      <c r="Q1347">
        <f>I1347</f>
        <v>8</v>
      </c>
      <c r="R1347" t="s">
        <v>19</v>
      </c>
      <c r="S1347" t="s">
        <v>19</v>
      </c>
      <c r="T1347" t="s">
        <v>19</v>
      </c>
    </row>
    <row r="1348" spans="1:21" ht="15" customHeight="1" x14ac:dyDescent="0.25">
      <c r="A1348" t="s">
        <v>19</v>
      </c>
      <c r="B1348" t="s">
        <v>20</v>
      </c>
      <c r="C1348" t="s">
        <v>305</v>
      </c>
      <c r="D1348">
        <v>3</v>
      </c>
      <c r="E1348" t="s">
        <v>114</v>
      </c>
      <c r="F1348" t="s">
        <v>388</v>
      </c>
      <c r="G1348">
        <v>5</v>
      </c>
      <c r="H1348">
        <v>2</v>
      </c>
      <c r="I1348">
        <f>G1348+H1348</f>
        <v>7</v>
      </c>
      <c r="J1348">
        <f>100-G1348-H1348</f>
        <v>93</v>
      </c>
      <c r="K1348" t="s">
        <v>19</v>
      </c>
      <c r="L1348" t="s">
        <v>19</v>
      </c>
      <c r="M1348" t="s">
        <v>19</v>
      </c>
      <c r="N1348" t="s">
        <v>19</v>
      </c>
      <c r="O1348" t="s">
        <v>19</v>
      </c>
      <c r="P1348" t="s">
        <v>19</v>
      </c>
      <c r="Q1348">
        <f>I1348</f>
        <v>7</v>
      </c>
      <c r="R1348" t="s">
        <v>19</v>
      </c>
      <c r="S1348" t="s">
        <v>19</v>
      </c>
      <c r="T1348" t="s">
        <v>19</v>
      </c>
    </row>
    <row r="1349" spans="1:21" ht="15" customHeight="1" x14ac:dyDescent="0.25">
      <c r="A1349" t="s">
        <v>19</v>
      </c>
      <c r="B1349" t="s">
        <v>20</v>
      </c>
      <c r="C1349" t="s">
        <v>307</v>
      </c>
      <c r="D1349">
        <v>3</v>
      </c>
      <c r="E1349" t="s">
        <v>114</v>
      </c>
      <c r="F1349" t="s">
        <v>388</v>
      </c>
      <c r="G1349">
        <v>0</v>
      </c>
      <c r="H1349">
        <v>0</v>
      </c>
      <c r="I1349">
        <f>G1349+H1349</f>
        <v>0</v>
      </c>
      <c r="J1349">
        <f>100-G1349-H1349</f>
        <v>100</v>
      </c>
      <c r="K1349" t="s">
        <v>19</v>
      </c>
      <c r="L1349" t="s">
        <v>19</v>
      </c>
      <c r="M1349" t="s">
        <v>19</v>
      </c>
      <c r="N1349" t="s">
        <v>19</v>
      </c>
      <c r="O1349" t="s">
        <v>19</v>
      </c>
      <c r="P1349" t="s">
        <v>19</v>
      </c>
      <c r="Q1349">
        <f>I1349</f>
        <v>0</v>
      </c>
      <c r="R1349" t="s">
        <v>19</v>
      </c>
      <c r="S1349" t="s">
        <v>19</v>
      </c>
      <c r="T1349" t="s">
        <v>19</v>
      </c>
    </row>
    <row r="1350" spans="1:21" ht="15" customHeight="1" x14ac:dyDescent="0.25">
      <c r="A1350" s="2">
        <v>45253.581944444442</v>
      </c>
      <c r="B1350" t="s">
        <v>309</v>
      </c>
      <c r="C1350" t="s">
        <v>213</v>
      </c>
      <c r="D1350">
        <v>3</v>
      </c>
      <c r="E1350" t="s">
        <v>114</v>
      </c>
      <c r="F1350" t="s">
        <v>388</v>
      </c>
      <c r="G1350">
        <v>17.602040819999999</v>
      </c>
      <c r="H1350">
        <v>4.846938776</v>
      </c>
      <c r="I1350">
        <v>22.44897959</v>
      </c>
      <c r="J1350">
        <v>77.551020410000007</v>
      </c>
      <c r="K1350">
        <v>0.8</v>
      </c>
      <c r="L1350">
        <v>0.2</v>
      </c>
      <c r="M1350">
        <v>0.7</v>
      </c>
      <c r="N1350">
        <v>304</v>
      </c>
      <c r="O1350">
        <v>69</v>
      </c>
      <c r="P1350">
        <v>19</v>
      </c>
      <c r="Q1350">
        <v>22.45</v>
      </c>
      <c r="R1350" t="s">
        <v>289</v>
      </c>
      <c r="S1350">
        <v>2.69</v>
      </c>
      <c r="T1350">
        <v>2.95</v>
      </c>
    </row>
    <row r="1351" spans="1:21" ht="15" customHeight="1" x14ac:dyDescent="0.25">
      <c r="A1351" s="2">
        <v>45253.856249999997</v>
      </c>
      <c r="B1351" t="s">
        <v>309</v>
      </c>
      <c r="C1351" t="s">
        <v>215</v>
      </c>
      <c r="D1351">
        <v>2</v>
      </c>
      <c r="E1351" t="s">
        <v>114</v>
      </c>
      <c r="F1351" t="s">
        <v>388</v>
      </c>
      <c r="G1351">
        <v>77.857142859999996</v>
      </c>
      <c r="H1351">
        <v>0</v>
      </c>
      <c r="I1351">
        <v>77.857142859999996</v>
      </c>
      <c r="J1351">
        <v>22.14285714</v>
      </c>
      <c r="K1351">
        <v>0.8</v>
      </c>
      <c r="L1351">
        <v>0.2</v>
      </c>
      <c r="M1351">
        <v>0.7</v>
      </c>
      <c r="N1351">
        <v>155</v>
      </c>
      <c r="O1351">
        <v>545</v>
      </c>
      <c r="P1351">
        <v>0</v>
      </c>
      <c r="Q1351">
        <v>77.86</v>
      </c>
      <c r="R1351" t="s">
        <v>228</v>
      </c>
      <c r="S1351">
        <v>1.72</v>
      </c>
      <c r="T1351">
        <v>1.87</v>
      </c>
    </row>
    <row r="1352" spans="1:21" ht="15" customHeight="1" x14ac:dyDescent="0.25">
      <c r="A1352" s="2">
        <v>45254.024305555555</v>
      </c>
      <c r="B1352" t="s">
        <v>309</v>
      </c>
      <c r="C1352" t="s">
        <v>217</v>
      </c>
      <c r="D1352">
        <v>2</v>
      </c>
      <c r="E1352" t="s">
        <v>114</v>
      </c>
      <c r="F1352" t="s">
        <v>388</v>
      </c>
      <c r="G1352">
        <v>76.700434150000007</v>
      </c>
      <c r="H1352">
        <v>0</v>
      </c>
      <c r="I1352">
        <v>76.700434150000007</v>
      </c>
      <c r="J1352">
        <v>23.29956585</v>
      </c>
      <c r="K1352">
        <v>0.8</v>
      </c>
      <c r="L1352">
        <v>0.2</v>
      </c>
      <c r="M1352">
        <v>0.7</v>
      </c>
      <c r="N1352">
        <v>161</v>
      </c>
      <c r="O1352">
        <v>530</v>
      </c>
      <c r="P1352">
        <v>0</v>
      </c>
      <c r="Q1352">
        <v>76.7</v>
      </c>
      <c r="R1352" t="s">
        <v>250</v>
      </c>
      <c r="S1352">
        <v>1.9</v>
      </c>
      <c r="T1352">
        <v>2.0099999999999998</v>
      </c>
    </row>
    <row r="1353" spans="1:21" ht="15" customHeight="1" x14ac:dyDescent="0.25">
      <c r="A1353" s="2">
        <v>45316.535416666666</v>
      </c>
      <c r="B1353" t="s">
        <v>309</v>
      </c>
      <c r="C1353" t="s">
        <v>219</v>
      </c>
      <c r="D1353">
        <v>3</v>
      </c>
      <c r="E1353" t="s">
        <v>114</v>
      </c>
      <c r="F1353" t="s">
        <v>388</v>
      </c>
      <c r="G1353">
        <v>43.283582090000003</v>
      </c>
      <c r="H1353">
        <v>5.9701492539999998</v>
      </c>
      <c r="I1353">
        <v>49.253731340000002</v>
      </c>
      <c r="J1353">
        <v>50.746268659999998</v>
      </c>
      <c r="K1353">
        <v>0.8</v>
      </c>
      <c r="L1353">
        <v>0.2</v>
      </c>
      <c r="M1353">
        <v>0.7</v>
      </c>
      <c r="N1353">
        <v>102</v>
      </c>
      <c r="O1353">
        <v>87</v>
      </c>
      <c r="P1353">
        <v>12</v>
      </c>
      <c r="Q1353">
        <v>49.25</v>
      </c>
      <c r="R1353" t="s">
        <v>220</v>
      </c>
      <c r="S1353">
        <v>3.14</v>
      </c>
      <c r="T1353">
        <v>4.08</v>
      </c>
    </row>
    <row r="1354" spans="1:21" ht="15" customHeight="1" x14ac:dyDescent="0.25">
      <c r="A1354" s="2">
        <v>45320.876388888886</v>
      </c>
      <c r="B1354" t="s">
        <v>309</v>
      </c>
      <c r="C1354" t="s">
        <v>221</v>
      </c>
      <c r="D1354">
        <v>2</v>
      </c>
      <c r="E1354" t="s">
        <v>114</v>
      </c>
      <c r="F1354" t="s">
        <v>388</v>
      </c>
      <c r="G1354">
        <v>23.972602739999999</v>
      </c>
      <c r="H1354">
        <v>0</v>
      </c>
      <c r="I1354">
        <v>23.972602739999999</v>
      </c>
      <c r="J1354">
        <v>76.027397260000001</v>
      </c>
      <c r="K1354">
        <v>0.8</v>
      </c>
      <c r="L1354">
        <v>0.3</v>
      </c>
      <c r="M1354">
        <v>0.7</v>
      </c>
      <c r="N1354">
        <v>444</v>
      </c>
      <c r="O1354">
        <v>140</v>
      </c>
      <c r="P1354">
        <v>0</v>
      </c>
      <c r="Q1354">
        <v>23.97</v>
      </c>
      <c r="R1354" t="s">
        <v>281</v>
      </c>
      <c r="S1354">
        <v>0.7</v>
      </c>
      <c r="T1354">
        <v>0.78</v>
      </c>
    </row>
    <row r="1355" spans="1:21" ht="15" customHeight="1" x14ac:dyDescent="0.25">
      <c r="A1355" t="s">
        <v>19</v>
      </c>
      <c r="B1355" t="s">
        <v>20</v>
      </c>
      <c r="C1355" t="s">
        <v>306</v>
      </c>
      <c r="D1355">
        <v>3</v>
      </c>
      <c r="E1355" t="s">
        <v>114</v>
      </c>
      <c r="F1355" t="s">
        <v>388</v>
      </c>
      <c r="G1355">
        <v>15</v>
      </c>
      <c r="H1355">
        <v>5</v>
      </c>
      <c r="I1355">
        <f>G1355+H1355</f>
        <v>20</v>
      </c>
      <c r="J1355">
        <f>100-G1355-H1355</f>
        <v>80</v>
      </c>
      <c r="K1355" t="s">
        <v>19</v>
      </c>
      <c r="L1355" t="s">
        <v>19</v>
      </c>
      <c r="M1355" t="s">
        <v>19</v>
      </c>
      <c r="N1355" t="s">
        <v>19</v>
      </c>
      <c r="O1355" t="s">
        <v>19</v>
      </c>
      <c r="P1355" t="s">
        <v>19</v>
      </c>
      <c r="Q1355">
        <f>I1355</f>
        <v>20</v>
      </c>
      <c r="R1355" t="s">
        <v>19</v>
      </c>
      <c r="S1355" t="s">
        <v>19</v>
      </c>
      <c r="T1355" t="s">
        <v>19</v>
      </c>
    </row>
    <row r="1356" spans="1:21" ht="15" customHeight="1" x14ac:dyDescent="0.25">
      <c r="A1356" t="s">
        <v>19</v>
      </c>
      <c r="B1356" t="s">
        <v>20</v>
      </c>
      <c r="C1356" t="s">
        <v>320</v>
      </c>
      <c r="D1356">
        <v>3</v>
      </c>
      <c r="E1356" t="s">
        <v>114</v>
      </c>
      <c r="F1356" t="s">
        <v>388</v>
      </c>
      <c r="G1356">
        <v>0</v>
      </c>
      <c r="H1356">
        <v>0</v>
      </c>
      <c r="I1356">
        <f>100-J1356</f>
        <v>0</v>
      </c>
      <c r="J1356">
        <f>100-G1356-H1356</f>
        <v>100</v>
      </c>
      <c r="K1356" t="s">
        <v>19</v>
      </c>
      <c r="L1356" t="s">
        <v>19</v>
      </c>
      <c r="M1356" t="s">
        <v>19</v>
      </c>
      <c r="N1356" t="s">
        <v>19</v>
      </c>
      <c r="O1356" t="s">
        <v>19</v>
      </c>
      <c r="P1356" t="s">
        <v>19</v>
      </c>
      <c r="Q1356">
        <f>I1356</f>
        <v>0</v>
      </c>
      <c r="R1356" t="s">
        <v>19</v>
      </c>
      <c r="S1356" t="s">
        <v>19</v>
      </c>
      <c r="T1356" t="s">
        <v>19</v>
      </c>
    </row>
    <row r="1357" spans="1:21" ht="15" customHeight="1" x14ac:dyDescent="0.25">
      <c r="A1357" s="2">
        <v>45323.591979166667</v>
      </c>
      <c r="B1357" t="s">
        <v>309</v>
      </c>
      <c r="C1357" t="s">
        <v>322</v>
      </c>
      <c r="D1357">
        <v>3</v>
      </c>
      <c r="E1357" t="s">
        <v>114</v>
      </c>
      <c r="F1357" t="s">
        <v>388</v>
      </c>
      <c r="G1357">
        <f>(O1357/(N1357+O1357+P1357))*100</f>
        <v>16.722408026755854</v>
      </c>
      <c r="H1357">
        <f>(P1357/(O1357+P1357+N1357))*100</f>
        <v>1.3377926421404682</v>
      </c>
      <c r="I1357">
        <v>18.059999999999999</v>
      </c>
      <c r="J1357">
        <f>(N1357/(P1357+O1357+N1357))*100</f>
        <v>81.939799331103686</v>
      </c>
      <c r="K1357">
        <v>0.8</v>
      </c>
      <c r="L1357">
        <v>0.3</v>
      </c>
      <c r="M1357">
        <v>0.7</v>
      </c>
      <c r="N1357">
        <v>490</v>
      </c>
      <c r="O1357">
        <v>100</v>
      </c>
      <c r="P1357">
        <v>8</v>
      </c>
      <c r="Q1357">
        <v>18.059999999999999</v>
      </c>
      <c r="R1357" t="s">
        <v>350</v>
      </c>
      <c r="S1357">
        <v>2.4300000000000002</v>
      </c>
      <c r="T1357">
        <v>3.56</v>
      </c>
      <c r="U1357">
        <v>124</v>
      </c>
    </row>
    <row r="1358" spans="1:21" ht="15" customHeight="1" x14ac:dyDescent="0.25">
      <c r="A1358" s="2">
        <v>45323.589745370373</v>
      </c>
      <c r="B1358" t="s">
        <v>309</v>
      </c>
      <c r="C1358" t="s">
        <v>322</v>
      </c>
      <c r="D1358">
        <v>3</v>
      </c>
      <c r="E1358" t="s">
        <v>114</v>
      </c>
      <c r="F1358" t="s">
        <v>388</v>
      </c>
      <c r="G1358">
        <f>(O1358/(N1358+O1358+P1358))*100</f>
        <v>20.952380952380953</v>
      </c>
      <c r="H1358">
        <f>(P1358/(O1358+P1358+N1358))*100</f>
        <v>1.4285714285714286</v>
      </c>
      <c r="I1358">
        <v>22.38</v>
      </c>
      <c r="J1358">
        <f>(N1358/(P1358+O1358+N1358))*100</f>
        <v>77.61904761904762</v>
      </c>
      <c r="K1358">
        <v>0.7</v>
      </c>
      <c r="L1358">
        <v>0.3</v>
      </c>
      <c r="M1358">
        <v>0.7</v>
      </c>
      <c r="N1358">
        <v>489</v>
      </c>
      <c r="O1358">
        <v>132</v>
      </c>
      <c r="P1358">
        <v>9</v>
      </c>
      <c r="Q1358">
        <v>22.38</v>
      </c>
      <c r="R1358" t="s">
        <v>332</v>
      </c>
      <c r="S1358">
        <v>2.4300000000000002</v>
      </c>
      <c r="T1358">
        <v>3.56</v>
      </c>
      <c r="U1358">
        <v>92</v>
      </c>
    </row>
    <row r="1359" spans="1:21" ht="15" customHeight="1" x14ac:dyDescent="0.25">
      <c r="A1359" s="2">
        <v>45325.011006944442</v>
      </c>
      <c r="B1359" t="s">
        <v>309</v>
      </c>
      <c r="C1359" t="s">
        <v>368</v>
      </c>
      <c r="D1359">
        <v>2</v>
      </c>
      <c r="E1359" t="s">
        <v>114</v>
      </c>
      <c r="F1359" t="s">
        <v>388</v>
      </c>
      <c r="G1359">
        <f>(O1359/(N1359+O1359+P1359))*100</f>
        <v>22.25859247135843</v>
      </c>
      <c r="H1359">
        <f>(P1359/(O1359+P1359+N1359))*100</f>
        <v>0</v>
      </c>
      <c r="I1359">
        <v>22.26</v>
      </c>
      <c r="J1359">
        <f>(N1359/(P1359+O1359+N1359))*100</f>
        <v>77.741407528641574</v>
      </c>
      <c r="K1359">
        <v>0.8</v>
      </c>
      <c r="L1359">
        <v>0.3</v>
      </c>
      <c r="M1359">
        <v>0.7</v>
      </c>
      <c r="N1359">
        <v>475</v>
      </c>
      <c r="O1359">
        <v>136</v>
      </c>
      <c r="P1359">
        <v>0</v>
      </c>
      <c r="Q1359">
        <v>22.26</v>
      </c>
      <c r="R1359" t="s">
        <v>248</v>
      </c>
      <c r="S1359">
        <v>0.63</v>
      </c>
      <c r="T1359">
        <v>0.68</v>
      </c>
    </row>
    <row r="1360" spans="1:21" ht="15" customHeight="1" x14ac:dyDescent="0.25">
      <c r="A1360" t="s">
        <v>19</v>
      </c>
      <c r="B1360" t="s">
        <v>20</v>
      </c>
      <c r="C1360" t="s">
        <v>308</v>
      </c>
      <c r="D1360">
        <v>3</v>
      </c>
      <c r="E1360" t="s">
        <v>115</v>
      </c>
      <c r="F1360" t="s">
        <v>388</v>
      </c>
      <c r="G1360">
        <v>20</v>
      </c>
      <c r="H1360">
        <v>30</v>
      </c>
      <c r="I1360">
        <f>G1360+H1360</f>
        <v>50</v>
      </c>
      <c r="J1360">
        <f>100-G1360-H1360</f>
        <v>50</v>
      </c>
      <c r="K1360" t="s">
        <v>19</v>
      </c>
      <c r="L1360" t="s">
        <v>19</v>
      </c>
      <c r="M1360" t="s">
        <v>19</v>
      </c>
      <c r="N1360" t="s">
        <v>19</v>
      </c>
      <c r="O1360" t="s">
        <v>19</v>
      </c>
      <c r="P1360" t="s">
        <v>19</v>
      </c>
      <c r="Q1360">
        <f>I1360</f>
        <v>50</v>
      </c>
      <c r="R1360" t="s">
        <v>19</v>
      </c>
      <c r="S1360" t="s">
        <v>19</v>
      </c>
      <c r="T1360" t="s">
        <v>19</v>
      </c>
    </row>
    <row r="1361" spans="1:21" ht="15" customHeight="1" x14ac:dyDescent="0.25">
      <c r="A1361" t="s">
        <v>19</v>
      </c>
      <c r="B1361" t="s">
        <v>20</v>
      </c>
      <c r="C1361" t="s">
        <v>22</v>
      </c>
      <c r="D1361">
        <v>3</v>
      </c>
      <c r="E1361" t="s">
        <v>115</v>
      </c>
      <c r="F1361" t="s">
        <v>388</v>
      </c>
      <c r="G1361">
        <v>50</v>
      </c>
      <c r="H1361">
        <v>30</v>
      </c>
      <c r="I1361">
        <f>G1361+H1361</f>
        <v>80</v>
      </c>
      <c r="J1361">
        <f>100-G1361-H1361</f>
        <v>20</v>
      </c>
      <c r="K1361" t="s">
        <v>19</v>
      </c>
      <c r="L1361" t="s">
        <v>19</v>
      </c>
      <c r="M1361" t="s">
        <v>19</v>
      </c>
      <c r="N1361" t="s">
        <v>19</v>
      </c>
      <c r="O1361" t="s">
        <v>19</v>
      </c>
      <c r="P1361" t="s">
        <v>19</v>
      </c>
      <c r="Q1361">
        <f>I1361</f>
        <v>80</v>
      </c>
      <c r="R1361" t="s">
        <v>19</v>
      </c>
      <c r="S1361" t="s">
        <v>19</v>
      </c>
      <c r="T1361" t="s">
        <v>19</v>
      </c>
    </row>
    <row r="1362" spans="1:21" ht="15" customHeight="1" x14ac:dyDescent="0.25">
      <c r="A1362" t="s">
        <v>19</v>
      </c>
      <c r="B1362" t="s">
        <v>20</v>
      </c>
      <c r="C1362" t="s">
        <v>305</v>
      </c>
      <c r="D1362">
        <v>3</v>
      </c>
      <c r="E1362" t="s">
        <v>115</v>
      </c>
      <c r="F1362" t="s">
        <v>388</v>
      </c>
      <c r="G1362">
        <v>45</v>
      </c>
      <c r="H1362">
        <v>25</v>
      </c>
      <c r="I1362">
        <f>G1362+H1362</f>
        <v>70</v>
      </c>
      <c r="J1362">
        <f>100-G1362-H1362</f>
        <v>30</v>
      </c>
      <c r="K1362" t="s">
        <v>19</v>
      </c>
      <c r="L1362" t="s">
        <v>19</v>
      </c>
      <c r="M1362" t="s">
        <v>19</v>
      </c>
      <c r="N1362" t="s">
        <v>19</v>
      </c>
      <c r="O1362" t="s">
        <v>19</v>
      </c>
      <c r="P1362" t="s">
        <v>19</v>
      </c>
      <c r="Q1362">
        <f>I1362</f>
        <v>70</v>
      </c>
      <c r="R1362" t="s">
        <v>19</v>
      </c>
      <c r="S1362" t="s">
        <v>19</v>
      </c>
      <c r="T1362" t="s">
        <v>19</v>
      </c>
    </row>
    <row r="1363" spans="1:21" ht="15" customHeight="1" x14ac:dyDescent="0.25">
      <c r="A1363" t="s">
        <v>19</v>
      </c>
      <c r="B1363" t="s">
        <v>20</v>
      </c>
      <c r="C1363" t="s">
        <v>307</v>
      </c>
      <c r="D1363">
        <v>3</v>
      </c>
      <c r="E1363" t="s">
        <v>115</v>
      </c>
      <c r="F1363" t="s">
        <v>388</v>
      </c>
      <c r="G1363">
        <v>40</v>
      </c>
      <c r="H1363">
        <v>10</v>
      </c>
      <c r="I1363">
        <f>G1363+H1363</f>
        <v>50</v>
      </c>
      <c r="J1363">
        <f>100-G1363-H1363</f>
        <v>50</v>
      </c>
      <c r="K1363" t="s">
        <v>19</v>
      </c>
      <c r="L1363" t="s">
        <v>19</v>
      </c>
      <c r="M1363" t="s">
        <v>19</v>
      </c>
      <c r="N1363" t="s">
        <v>19</v>
      </c>
      <c r="O1363" t="s">
        <v>19</v>
      </c>
      <c r="P1363" t="s">
        <v>19</v>
      </c>
      <c r="Q1363">
        <f>I1363</f>
        <v>50</v>
      </c>
      <c r="R1363" t="s">
        <v>19</v>
      </c>
      <c r="S1363" t="s">
        <v>19</v>
      </c>
      <c r="T1363" t="s">
        <v>19</v>
      </c>
    </row>
    <row r="1364" spans="1:21" ht="15" customHeight="1" x14ac:dyDescent="0.25">
      <c r="A1364" s="2">
        <v>45253.583333333336</v>
      </c>
      <c r="B1364" t="s">
        <v>309</v>
      </c>
      <c r="C1364" t="s">
        <v>213</v>
      </c>
      <c r="D1364">
        <v>3</v>
      </c>
      <c r="E1364" t="s">
        <v>115</v>
      </c>
      <c r="F1364" t="s">
        <v>388</v>
      </c>
      <c r="G1364">
        <v>11.970534069999999</v>
      </c>
      <c r="H1364">
        <v>33.149171269999997</v>
      </c>
      <c r="I1364">
        <v>45.119705340000003</v>
      </c>
      <c r="J1364">
        <v>54.880294659999997</v>
      </c>
      <c r="K1364">
        <v>0.8</v>
      </c>
      <c r="L1364">
        <v>0.2</v>
      </c>
      <c r="M1364">
        <v>0.7</v>
      </c>
      <c r="N1364">
        <v>298</v>
      </c>
      <c r="O1364">
        <v>65</v>
      </c>
      <c r="P1364">
        <v>180</v>
      </c>
      <c r="Q1364">
        <v>45.12</v>
      </c>
      <c r="R1364" t="s">
        <v>240</v>
      </c>
      <c r="S1364">
        <v>2.7</v>
      </c>
      <c r="T1364">
        <v>3.05</v>
      </c>
    </row>
    <row r="1365" spans="1:21" ht="15" customHeight="1" x14ac:dyDescent="0.25">
      <c r="A1365" s="2">
        <v>45253.856944444444</v>
      </c>
      <c r="B1365" t="s">
        <v>309</v>
      </c>
      <c r="C1365" t="s">
        <v>215</v>
      </c>
      <c r="D1365">
        <v>2</v>
      </c>
      <c r="E1365" t="s">
        <v>115</v>
      </c>
      <c r="F1365" t="s">
        <v>388</v>
      </c>
      <c r="G1365">
        <v>24.528301890000002</v>
      </c>
      <c r="H1365">
        <v>0</v>
      </c>
      <c r="I1365">
        <v>24.528301890000002</v>
      </c>
      <c r="J1365">
        <v>75.471698110000005</v>
      </c>
      <c r="K1365">
        <v>0.8</v>
      </c>
      <c r="L1365">
        <v>0.2</v>
      </c>
      <c r="M1365">
        <v>0.7</v>
      </c>
      <c r="N1365">
        <v>440</v>
      </c>
      <c r="O1365">
        <v>143</v>
      </c>
      <c r="P1365">
        <v>0</v>
      </c>
      <c r="Q1365">
        <v>24.53</v>
      </c>
      <c r="R1365" t="s">
        <v>231</v>
      </c>
      <c r="S1365">
        <v>0.64</v>
      </c>
      <c r="T1365">
        <v>0.69</v>
      </c>
    </row>
    <row r="1366" spans="1:21" ht="15" customHeight="1" x14ac:dyDescent="0.25">
      <c r="A1366" s="2">
        <v>45254.025694444441</v>
      </c>
      <c r="B1366" t="s">
        <v>309</v>
      </c>
      <c r="C1366" t="s">
        <v>217</v>
      </c>
      <c r="D1366">
        <v>2</v>
      </c>
      <c r="E1366" t="s">
        <v>115</v>
      </c>
      <c r="F1366" t="s">
        <v>388</v>
      </c>
      <c r="G1366">
        <v>43.707482990000003</v>
      </c>
      <c r="H1366">
        <v>0</v>
      </c>
      <c r="I1366">
        <v>43.707482990000003</v>
      </c>
      <c r="J1366">
        <v>56.292517009999997</v>
      </c>
      <c r="K1366">
        <v>0.8</v>
      </c>
      <c r="L1366">
        <v>0.2</v>
      </c>
      <c r="M1366">
        <v>0.7</v>
      </c>
      <c r="N1366">
        <v>331</v>
      </c>
      <c r="O1366">
        <v>257</v>
      </c>
      <c r="P1366">
        <v>0</v>
      </c>
      <c r="Q1366">
        <v>43.71</v>
      </c>
      <c r="R1366" t="s">
        <v>228</v>
      </c>
      <c r="S1366">
        <v>1.05</v>
      </c>
      <c r="T1366">
        <v>1.1200000000000001</v>
      </c>
    </row>
    <row r="1367" spans="1:21" ht="15" customHeight="1" x14ac:dyDescent="0.25">
      <c r="A1367" s="2">
        <v>45316.536805555559</v>
      </c>
      <c r="B1367" t="s">
        <v>309</v>
      </c>
      <c r="C1367" t="s">
        <v>219</v>
      </c>
      <c r="D1367">
        <v>3</v>
      </c>
      <c r="E1367" t="s">
        <v>115</v>
      </c>
      <c r="F1367" t="s">
        <v>388</v>
      </c>
      <c r="G1367">
        <v>23.126338329999999</v>
      </c>
      <c r="H1367">
        <v>32.976445400000003</v>
      </c>
      <c r="I1367">
        <v>56.102783729999999</v>
      </c>
      <c r="J1367">
        <v>43.897216270000001</v>
      </c>
      <c r="K1367">
        <v>0.8</v>
      </c>
      <c r="L1367">
        <v>0.2</v>
      </c>
      <c r="M1367">
        <v>0.7</v>
      </c>
      <c r="N1367">
        <v>205</v>
      </c>
      <c r="O1367">
        <v>108</v>
      </c>
      <c r="P1367">
        <v>154</v>
      </c>
      <c r="Q1367">
        <v>56.1</v>
      </c>
      <c r="R1367" t="s">
        <v>225</v>
      </c>
      <c r="S1367">
        <v>3.11</v>
      </c>
      <c r="T1367">
        <v>4.1900000000000004</v>
      </c>
    </row>
    <row r="1368" spans="1:21" ht="15" customHeight="1" x14ac:dyDescent="0.25">
      <c r="A1368" s="2">
        <v>45320.87777777778</v>
      </c>
      <c r="B1368" t="s">
        <v>309</v>
      </c>
      <c r="C1368" t="s">
        <v>221</v>
      </c>
      <c r="D1368">
        <v>2</v>
      </c>
      <c r="E1368" t="s">
        <v>115</v>
      </c>
      <c r="F1368" t="s">
        <v>388</v>
      </c>
      <c r="G1368">
        <v>66.959578210000004</v>
      </c>
      <c r="H1368">
        <v>0</v>
      </c>
      <c r="I1368">
        <v>66.959578210000004</v>
      </c>
      <c r="J1368">
        <v>33.040421790000003</v>
      </c>
      <c r="K1368">
        <v>0.8</v>
      </c>
      <c r="L1368">
        <v>0.3</v>
      </c>
      <c r="M1368">
        <v>0.7</v>
      </c>
      <c r="N1368">
        <v>188</v>
      </c>
      <c r="O1368">
        <v>381</v>
      </c>
      <c r="P1368">
        <v>0</v>
      </c>
      <c r="Q1368">
        <v>66.959999999999994</v>
      </c>
      <c r="R1368" t="s">
        <v>250</v>
      </c>
      <c r="S1368">
        <v>1.68</v>
      </c>
      <c r="T1368">
        <v>1.81</v>
      </c>
    </row>
    <row r="1369" spans="1:21" ht="15" customHeight="1" x14ac:dyDescent="0.25">
      <c r="A1369" t="s">
        <v>19</v>
      </c>
      <c r="B1369" t="s">
        <v>20</v>
      </c>
      <c r="C1369" t="s">
        <v>306</v>
      </c>
      <c r="D1369">
        <v>3</v>
      </c>
      <c r="E1369" t="s">
        <v>115</v>
      </c>
      <c r="F1369" t="s">
        <v>388</v>
      </c>
      <c r="G1369">
        <v>45</v>
      </c>
      <c r="H1369">
        <v>35</v>
      </c>
      <c r="I1369">
        <f>G1369+H1369</f>
        <v>80</v>
      </c>
      <c r="J1369">
        <f>100-G1369-H1369</f>
        <v>20</v>
      </c>
      <c r="K1369" t="s">
        <v>19</v>
      </c>
      <c r="L1369" t="s">
        <v>19</v>
      </c>
      <c r="M1369" t="s">
        <v>19</v>
      </c>
      <c r="N1369" t="s">
        <v>19</v>
      </c>
      <c r="O1369" t="s">
        <v>19</v>
      </c>
      <c r="P1369" t="s">
        <v>19</v>
      </c>
      <c r="Q1369">
        <f>I1369</f>
        <v>80</v>
      </c>
      <c r="R1369" t="s">
        <v>19</v>
      </c>
      <c r="S1369" t="s">
        <v>19</v>
      </c>
      <c r="T1369" t="s">
        <v>19</v>
      </c>
    </row>
    <row r="1370" spans="1:21" ht="15" customHeight="1" x14ac:dyDescent="0.25">
      <c r="A1370" t="s">
        <v>19</v>
      </c>
      <c r="B1370" t="s">
        <v>20</v>
      </c>
      <c r="C1370" t="s">
        <v>320</v>
      </c>
      <c r="D1370">
        <v>3</v>
      </c>
      <c r="E1370" t="s">
        <v>115</v>
      </c>
      <c r="F1370" t="s">
        <v>388</v>
      </c>
      <c r="G1370">
        <v>10</v>
      </c>
      <c r="H1370">
        <v>0</v>
      </c>
      <c r="I1370">
        <f>100-J1370</f>
        <v>10</v>
      </c>
      <c r="J1370">
        <f>100-G1370-H1370</f>
        <v>90</v>
      </c>
      <c r="K1370" t="s">
        <v>19</v>
      </c>
      <c r="L1370" t="s">
        <v>19</v>
      </c>
      <c r="M1370" t="s">
        <v>19</v>
      </c>
      <c r="N1370" t="s">
        <v>19</v>
      </c>
      <c r="O1370" t="s">
        <v>19</v>
      </c>
      <c r="P1370" t="s">
        <v>19</v>
      </c>
      <c r="Q1370">
        <f>I1370</f>
        <v>10</v>
      </c>
      <c r="R1370" t="s">
        <v>19</v>
      </c>
      <c r="S1370" t="s">
        <v>19</v>
      </c>
      <c r="T1370" t="s">
        <v>19</v>
      </c>
    </row>
    <row r="1371" spans="1:21" ht="15" customHeight="1" x14ac:dyDescent="0.25">
      <c r="A1371" s="2">
        <v>45323.593900462962</v>
      </c>
      <c r="B1371" t="s">
        <v>309</v>
      </c>
      <c r="C1371" t="s">
        <v>322</v>
      </c>
      <c r="D1371">
        <v>3</v>
      </c>
      <c r="E1371" t="s">
        <v>115</v>
      </c>
      <c r="F1371" t="s">
        <v>388</v>
      </c>
      <c r="G1371">
        <f>(O1371/(N1371+O1371+P1371))*100</f>
        <v>27.238095238095241</v>
      </c>
      <c r="H1371">
        <f>(P1371/(O1371+P1371+N1371))*100</f>
        <v>28.000000000000004</v>
      </c>
      <c r="I1371">
        <v>55.24</v>
      </c>
      <c r="J1371">
        <f>(N1371/(P1371+O1371+N1371))*100</f>
        <v>44.761904761904766</v>
      </c>
      <c r="K1371">
        <v>0.8</v>
      </c>
      <c r="L1371">
        <v>0.3</v>
      </c>
      <c r="M1371">
        <v>0.7</v>
      </c>
      <c r="N1371">
        <v>235</v>
      </c>
      <c r="O1371">
        <v>143</v>
      </c>
      <c r="P1371">
        <v>147</v>
      </c>
      <c r="Q1371">
        <v>55.24</v>
      </c>
      <c r="R1371" t="s">
        <v>255</v>
      </c>
      <c r="S1371">
        <v>2.5499999999999998</v>
      </c>
      <c r="T1371">
        <v>3.82</v>
      </c>
      <c r="U1371">
        <v>147</v>
      </c>
    </row>
    <row r="1372" spans="1:21" ht="15" customHeight="1" x14ac:dyDescent="0.25">
      <c r="A1372" s="2">
        <v>45323.591446759259</v>
      </c>
      <c r="B1372" t="s">
        <v>309</v>
      </c>
      <c r="C1372" t="s">
        <v>322</v>
      </c>
      <c r="D1372">
        <v>3</v>
      </c>
      <c r="E1372" t="s">
        <v>115</v>
      </c>
      <c r="F1372" t="s">
        <v>388</v>
      </c>
      <c r="G1372">
        <f>(O1372/(N1372+O1372+P1372))*100</f>
        <v>31.785714285714285</v>
      </c>
      <c r="H1372">
        <f>(P1372/(O1372+P1372+N1372))*100</f>
        <v>28.035714285714285</v>
      </c>
      <c r="I1372">
        <v>59.82</v>
      </c>
      <c r="J1372">
        <f>(N1372/(P1372+O1372+N1372))*100</f>
        <v>40.178571428571431</v>
      </c>
      <c r="K1372">
        <v>0.7</v>
      </c>
      <c r="L1372">
        <v>0.3</v>
      </c>
      <c r="M1372">
        <v>0.7</v>
      </c>
      <c r="N1372">
        <v>225</v>
      </c>
      <c r="O1372">
        <v>178</v>
      </c>
      <c r="P1372">
        <v>157</v>
      </c>
      <c r="Q1372">
        <v>59.82</v>
      </c>
      <c r="R1372" t="s">
        <v>339</v>
      </c>
      <c r="S1372">
        <v>2.5499999999999998</v>
      </c>
      <c r="T1372">
        <v>3.82</v>
      </c>
      <c r="U1372">
        <v>112</v>
      </c>
    </row>
    <row r="1373" spans="1:21" ht="15" customHeight="1" x14ac:dyDescent="0.25">
      <c r="A1373" s="2">
        <v>45325.012476851851</v>
      </c>
      <c r="B1373" t="s">
        <v>309</v>
      </c>
      <c r="C1373" t="s">
        <v>368</v>
      </c>
      <c r="D1373">
        <v>2</v>
      </c>
      <c r="E1373" t="s">
        <v>115</v>
      </c>
      <c r="F1373" t="s">
        <v>388</v>
      </c>
      <c r="G1373">
        <f>(O1373/(N1373+O1373+P1373))*100</f>
        <v>73.440285204991085</v>
      </c>
      <c r="H1373">
        <f>(P1373/(O1373+P1373+N1373))*100</f>
        <v>0</v>
      </c>
      <c r="I1373">
        <v>73.44</v>
      </c>
      <c r="J1373">
        <f>(N1373/(P1373+O1373+N1373))*100</f>
        <v>26.559714795008915</v>
      </c>
      <c r="K1373">
        <v>0.8</v>
      </c>
      <c r="L1373">
        <v>0.3</v>
      </c>
      <c r="M1373">
        <v>0.7</v>
      </c>
      <c r="N1373">
        <v>149</v>
      </c>
      <c r="O1373">
        <v>412</v>
      </c>
      <c r="P1373">
        <v>0</v>
      </c>
      <c r="Q1373">
        <v>73.44</v>
      </c>
      <c r="R1373" t="s">
        <v>296</v>
      </c>
      <c r="S1373">
        <v>1.78</v>
      </c>
      <c r="T1373">
        <v>1.98</v>
      </c>
    </row>
    <row r="1374" spans="1:21" ht="15" customHeight="1" x14ac:dyDescent="0.25">
      <c r="A1374" t="s">
        <v>19</v>
      </c>
      <c r="B1374" t="s">
        <v>20</v>
      </c>
      <c r="C1374" t="s">
        <v>306</v>
      </c>
      <c r="D1374">
        <v>3</v>
      </c>
      <c r="E1374" t="s">
        <v>116</v>
      </c>
      <c r="F1374" t="s">
        <v>373</v>
      </c>
      <c r="G1374">
        <v>4</v>
      </c>
      <c r="H1374">
        <v>0</v>
      </c>
      <c r="I1374">
        <f>G1374+H1374</f>
        <v>4</v>
      </c>
      <c r="J1374">
        <f>100-G1374-H1374</f>
        <v>96</v>
      </c>
      <c r="K1374" t="s">
        <v>19</v>
      </c>
      <c r="L1374" t="s">
        <v>19</v>
      </c>
      <c r="M1374" t="s">
        <v>19</v>
      </c>
      <c r="N1374" t="s">
        <v>19</v>
      </c>
      <c r="O1374" t="s">
        <v>19</v>
      </c>
      <c r="P1374" t="s">
        <v>19</v>
      </c>
      <c r="Q1374">
        <f>I1374</f>
        <v>4</v>
      </c>
      <c r="R1374" t="s">
        <v>19</v>
      </c>
      <c r="S1374" t="s">
        <v>19</v>
      </c>
      <c r="T1374" t="s">
        <v>19</v>
      </c>
    </row>
    <row r="1375" spans="1:21" ht="15" customHeight="1" x14ac:dyDescent="0.25">
      <c r="A1375" t="s">
        <v>19</v>
      </c>
      <c r="B1375" t="s">
        <v>20</v>
      </c>
      <c r="C1375" t="s">
        <v>308</v>
      </c>
      <c r="D1375">
        <v>3</v>
      </c>
      <c r="E1375" t="s">
        <v>116</v>
      </c>
      <c r="F1375" t="s">
        <v>373</v>
      </c>
      <c r="G1375">
        <v>7</v>
      </c>
      <c r="H1375">
        <v>0</v>
      </c>
      <c r="I1375">
        <f>G1375+H1375</f>
        <v>7</v>
      </c>
      <c r="J1375">
        <f>100-G1375-H1375</f>
        <v>93</v>
      </c>
      <c r="K1375" t="s">
        <v>19</v>
      </c>
      <c r="L1375" t="s">
        <v>19</v>
      </c>
      <c r="M1375" t="s">
        <v>19</v>
      </c>
      <c r="N1375" t="s">
        <v>19</v>
      </c>
      <c r="O1375" t="s">
        <v>19</v>
      </c>
      <c r="P1375" t="s">
        <v>19</v>
      </c>
      <c r="Q1375">
        <f>I1375</f>
        <v>7</v>
      </c>
      <c r="R1375" t="s">
        <v>19</v>
      </c>
      <c r="S1375" t="s">
        <v>19</v>
      </c>
      <c r="T1375" t="s">
        <v>19</v>
      </c>
    </row>
    <row r="1376" spans="1:21" ht="15" customHeight="1" x14ac:dyDescent="0.25">
      <c r="A1376" t="s">
        <v>19</v>
      </c>
      <c r="B1376" t="s">
        <v>20</v>
      </c>
      <c r="C1376" t="s">
        <v>22</v>
      </c>
      <c r="D1376">
        <v>3</v>
      </c>
      <c r="E1376" t="s">
        <v>116</v>
      </c>
      <c r="F1376" t="s">
        <v>373</v>
      </c>
      <c r="G1376">
        <v>0</v>
      </c>
      <c r="H1376">
        <v>0</v>
      </c>
      <c r="I1376">
        <f>G1376+H1376</f>
        <v>0</v>
      </c>
      <c r="J1376">
        <f>100-G1376-H1376</f>
        <v>100</v>
      </c>
      <c r="K1376" t="s">
        <v>19</v>
      </c>
      <c r="L1376" t="s">
        <v>19</v>
      </c>
      <c r="M1376" t="s">
        <v>19</v>
      </c>
      <c r="N1376" t="s">
        <v>19</v>
      </c>
      <c r="O1376" t="s">
        <v>19</v>
      </c>
      <c r="P1376" t="s">
        <v>19</v>
      </c>
      <c r="Q1376">
        <f>I1376</f>
        <v>0</v>
      </c>
      <c r="R1376" t="s">
        <v>19</v>
      </c>
      <c r="S1376" t="s">
        <v>19</v>
      </c>
      <c r="T1376" t="s">
        <v>19</v>
      </c>
    </row>
    <row r="1377" spans="1:21" ht="15" customHeight="1" x14ac:dyDescent="0.25">
      <c r="A1377" t="s">
        <v>19</v>
      </c>
      <c r="B1377" t="s">
        <v>20</v>
      </c>
      <c r="C1377" t="s">
        <v>305</v>
      </c>
      <c r="D1377">
        <v>3</v>
      </c>
      <c r="E1377" t="s">
        <v>116</v>
      </c>
      <c r="F1377" t="s">
        <v>373</v>
      </c>
      <c r="G1377">
        <v>1</v>
      </c>
      <c r="H1377">
        <v>0</v>
      </c>
      <c r="I1377">
        <f>G1377+H1377</f>
        <v>1</v>
      </c>
      <c r="J1377">
        <f>100-G1377-H1377</f>
        <v>99</v>
      </c>
      <c r="K1377" t="s">
        <v>19</v>
      </c>
      <c r="L1377" t="s">
        <v>19</v>
      </c>
      <c r="M1377" t="s">
        <v>19</v>
      </c>
      <c r="N1377" t="s">
        <v>19</v>
      </c>
      <c r="O1377" t="s">
        <v>19</v>
      </c>
      <c r="P1377" t="s">
        <v>19</v>
      </c>
      <c r="Q1377">
        <f>I1377</f>
        <v>1</v>
      </c>
      <c r="R1377" t="s">
        <v>19</v>
      </c>
      <c r="S1377" t="s">
        <v>19</v>
      </c>
      <c r="T1377" t="s">
        <v>19</v>
      </c>
    </row>
    <row r="1378" spans="1:21" ht="15" customHeight="1" x14ac:dyDescent="0.25">
      <c r="A1378" t="s">
        <v>19</v>
      </c>
      <c r="B1378" t="s">
        <v>20</v>
      </c>
      <c r="C1378" t="s">
        <v>307</v>
      </c>
      <c r="D1378">
        <v>3</v>
      </c>
      <c r="E1378" t="s">
        <v>116</v>
      </c>
      <c r="F1378" t="s">
        <v>373</v>
      </c>
      <c r="G1378">
        <v>0</v>
      </c>
      <c r="H1378">
        <v>0</v>
      </c>
      <c r="I1378">
        <f>G1378+H1378</f>
        <v>0</v>
      </c>
      <c r="J1378">
        <f>100-G1378-H1378</f>
        <v>100</v>
      </c>
      <c r="K1378" t="s">
        <v>19</v>
      </c>
      <c r="L1378" t="s">
        <v>19</v>
      </c>
      <c r="M1378" t="s">
        <v>19</v>
      </c>
      <c r="N1378" t="s">
        <v>19</v>
      </c>
      <c r="O1378" t="s">
        <v>19</v>
      </c>
      <c r="P1378" t="s">
        <v>19</v>
      </c>
      <c r="Q1378">
        <f>I1378</f>
        <v>0</v>
      </c>
      <c r="R1378" t="s">
        <v>19</v>
      </c>
      <c r="S1378" t="s">
        <v>19</v>
      </c>
      <c r="T1378" t="s">
        <v>19</v>
      </c>
    </row>
    <row r="1379" spans="1:21" ht="15" customHeight="1" x14ac:dyDescent="0.25">
      <c r="A1379" s="2">
        <v>45253.736111111109</v>
      </c>
      <c r="B1379" t="s">
        <v>309</v>
      </c>
      <c r="C1379" t="s">
        <v>213</v>
      </c>
      <c r="D1379">
        <v>3</v>
      </c>
      <c r="E1379" t="s">
        <v>116</v>
      </c>
      <c r="F1379" t="s">
        <v>373</v>
      </c>
      <c r="G1379">
        <v>4.6315789470000004</v>
      </c>
      <c r="H1379">
        <v>0</v>
      </c>
      <c r="I1379">
        <v>4.6315789470000004</v>
      </c>
      <c r="J1379">
        <v>95.368421049999995</v>
      </c>
      <c r="K1379">
        <v>0.8</v>
      </c>
      <c r="L1379">
        <v>0.2</v>
      </c>
      <c r="M1379">
        <v>0.7</v>
      </c>
      <c r="N1379">
        <v>453</v>
      </c>
      <c r="O1379">
        <v>22</v>
      </c>
      <c r="P1379">
        <v>0</v>
      </c>
      <c r="Q1379">
        <v>4.63</v>
      </c>
      <c r="R1379" t="s">
        <v>279</v>
      </c>
      <c r="S1379">
        <v>2.99</v>
      </c>
      <c r="T1379">
        <v>3.58</v>
      </c>
    </row>
    <row r="1380" spans="1:21" ht="15" customHeight="1" x14ac:dyDescent="0.25">
      <c r="A1380" s="2">
        <v>45253.938194444447</v>
      </c>
      <c r="B1380" t="s">
        <v>309</v>
      </c>
      <c r="C1380" t="s">
        <v>215</v>
      </c>
      <c r="D1380">
        <v>2</v>
      </c>
      <c r="E1380" t="s">
        <v>116</v>
      </c>
      <c r="F1380" t="s">
        <v>373</v>
      </c>
      <c r="G1380">
        <v>0.322061192</v>
      </c>
      <c r="H1380">
        <v>0</v>
      </c>
      <c r="I1380">
        <v>0.322061192</v>
      </c>
      <c r="J1380">
        <v>99.677938810000001</v>
      </c>
      <c r="K1380">
        <v>0.8</v>
      </c>
      <c r="L1380">
        <v>0.2</v>
      </c>
      <c r="M1380">
        <v>0.7</v>
      </c>
      <c r="N1380">
        <v>619</v>
      </c>
      <c r="O1380">
        <v>2</v>
      </c>
      <c r="P1380">
        <v>0</v>
      </c>
      <c r="Q1380">
        <v>0.32</v>
      </c>
      <c r="R1380" t="s">
        <v>290</v>
      </c>
      <c r="S1380">
        <v>0.01</v>
      </c>
      <c r="T1380">
        <v>0.02</v>
      </c>
    </row>
    <row r="1381" spans="1:21" ht="15" customHeight="1" x14ac:dyDescent="0.25">
      <c r="A1381" s="2">
        <v>45254.113194444442</v>
      </c>
      <c r="B1381" t="s">
        <v>309</v>
      </c>
      <c r="C1381" t="s">
        <v>217</v>
      </c>
      <c r="D1381">
        <v>2</v>
      </c>
      <c r="E1381" t="s">
        <v>116</v>
      </c>
      <c r="F1381" t="s">
        <v>373</v>
      </c>
      <c r="G1381">
        <v>0.96</v>
      </c>
      <c r="H1381">
        <v>0</v>
      </c>
      <c r="I1381">
        <v>0.96</v>
      </c>
      <c r="J1381">
        <v>99.04</v>
      </c>
      <c r="K1381">
        <v>0.8</v>
      </c>
      <c r="L1381">
        <v>0.2</v>
      </c>
      <c r="M1381">
        <v>0.7</v>
      </c>
      <c r="N1381">
        <v>619</v>
      </c>
      <c r="O1381">
        <v>6</v>
      </c>
      <c r="P1381">
        <v>0</v>
      </c>
      <c r="Q1381">
        <v>0.96</v>
      </c>
      <c r="R1381" t="s">
        <v>224</v>
      </c>
      <c r="S1381">
        <v>0.04</v>
      </c>
      <c r="T1381">
        <v>0.04</v>
      </c>
    </row>
    <row r="1382" spans="1:21" ht="15" customHeight="1" x14ac:dyDescent="0.25">
      <c r="A1382" s="2">
        <v>45316.449305555558</v>
      </c>
      <c r="B1382" t="s">
        <v>309</v>
      </c>
      <c r="C1382" t="s">
        <v>219</v>
      </c>
      <c r="D1382">
        <v>3</v>
      </c>
      <c r="E1382" t="s">
        <v>116</v>
      </c>
      <c r="F1382" t="s">
        <v>373</v>
      </c>
      <c r="G1382">
        <v>7.1022727269999999</v>
      </c>
      <c r="H1382">
        <v>0</v>
      </c>
      <c r="I1382">
        <v>7.1022727269999999</v>
      </c>
      <c r="J1382">
        <v>92.897727270000004</v>
      </c>
      <c r="K1382">
        <v>0.8</v>
      </c>
      <c r="L1382">
        <v>0.2</v>
      </c>
      <c r="M1382">
        <v>0.7</v>
      </c>
      <c r="N1382">
        <v>327</v>
      </c>
      <c r="O1382">
        <v>25</v>
      </c>
      <c r="P1382">
        <v>0</v>
      </c>
      <c r="Q1382">
        <v>7.1</v>
      </c>
      <c r="R1382" t="s">
        <v>257</v>
      </c>
      <c r="S1382">
        <v>3.18</v>
      </c>
      <c r="T1382">
        <v>4.5</v>
      </c>
    </row>
    <row r="1383" spans="1:21" ht="15" customHeight="1" x14ac:dyDescent="0.25">
      <c r="A1383" s="2">
        <v>45320.972222222219</v>
      </c>
      <c r="B1383" t="s">
        <v>309</v>
      </c>
      <c r="C1383" t="s">
        <v>221</v>
      </c>
      <c r="D1383">
        <v>2</v>
      </c>
      <c r="E1383" t="s">
        <v>116</v>
      </c>
      <c r="F1383" t="s">
        <v>373</v>
      </c>
      <c r="G1383">
        <v>3.8938053099999999</v>
      </c>
      <c r="H1383">
        <v>0</v>
      </c>
      <c r="I1383">
        <v>3.8938053099999999</v>
      </c>
      <c r="J1383">
        <v>96.106194689999995</v>
      </c>
      <c r="K1383">
        <v>0.8</v>
      </c>
      <c r="L1383">
        <v>0.3</v>
      </c>
      <c r="M1383">
        <v>0.7</v>
      </c>
      <c r="N1383">
        <v>543</v>
      </c>
      <c r="O1383">
        <v>22</v>
      </c>
      <c r="P1383">
        <v>0</v>
      </c>
      <c r="Q1383">
        <v>3.89</v>
      </c>
      <c r="R1383" t="s">
        <v>235</v>
      </c>
      <c r="S1383">
        <v>0.23</v>
      </c>
      <c r="T1383">
        <v>0.25</v>
      </c>
    </row>
    <row r="1384" spans="1:21" ht="15" customHeight="1" x14ac:dyDescent="0.25">
      <c r="A1384" t="s">
        <v>19</v>
      </c>
      <c r="B1384" t="s">
        <v>20</v>
      </c>
      <c r="C1384" t="s">
        <v>320</v>
      </c>
      <c r="D1384">
        <v>3</v>
      </c>
      <c r="E1384" t="s">
        <v>116</v>
      </c>
      <c r="F1384" t="s">
        <v>373</v>
      </c>
      <c r="G1384">
        <v>0</v>
      </c>
      <c r="H1384">
        <v>0</v>
      </c>
      <c r="I1384">
        <f>100-J1384</f>
        <v>0</v>
      </c>
      <c r="J1384">
        <f>100-G1384-H1384</f>
        <v>100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  <c r="P1384" t="s">
        <v>19</v>
      </c>
      <c r="Q1384">
        <f>I1384</f>
        <v>0</v>
      </c>
      <c r="R1384" t="s">
        <v>19</v>
      </c>
      <c r="S1384" t="s">
        <v>19</v>
      </c>
      <c r="T1384" t="s">
        <v>19</v>
      </c>
    </row>
    <row r="1385" spans="1:21" ht="15" customHeight="1" x14ac:dyDescent="0.25">
      <c r="A1385" s="2">
        <v>45323.581678240742</v>
      </c>
      <c r="B1385" t="s">
        <v>309</v>
      </c>
      <c r="C1385" t="s">
        <v>322</v>
      </c>
      <c r="D1385">
        <v>3</v>
      </c>
      <c r="E1385" t="s">
        <v>116</v>
      </c>
      <c r="F1385" t="s">
        <v>373</v>
      </c>
      <c r="G1385">
        <f>(O1385/(N1385+O1385+P1385))*100</f>
        <v>2.2807017543859649</v>
      </c>
      <c r="H1385">
        <f>(P1385/(O1385+P1385+N1385))*100</f>
        <v>0</v>
      </c>
      <c r="I1385">
        <f>((O1385+P1385)/(P1385+O1385+N1385))*100</f>
        <v>2.2807017543859649</v>
      </c>
      <c r="J1385">
        <f>(N1385/(P1385+O1385+N1385))*100</f>
        <v>97.719298245614041</v>
      </c>
      <c r="K1385">
        <v>0.8</v>
      </c>
      <c r="L1385">
        <v>0.3</v>
      </c>
      <c r="M1385">
        <v>0.7</v>
      </c>
      <c r="N1385">
        <v>557</v>
      </c>
      <c r="O1385">
        <v>13</v>
      </c>
      <c r="P1385">
        <v>0</v>
      </c>
      <c r="Q1385">
        <v>2.2799999999999998</v>
      </c>
      <c r="R1385" t="s">
        <v>253</v>
      </c>
      <c r="S1385">
        <v>2.67</v>
      </c>
      <c r="T1385">
        <v>3.1</v>
      </c>
      <c r="U1385">
        <v>48</v>
      </c>
    </row>
    <row r="1386" spans="1:21" ht="15" customHeight="1" x14ac:dyDescent="0.25">
      <c r="A1386" s="2">
        <v>45323.584837962961</v>
      </c>
      <c r="B1386" t="s">
        <v>309</v>
      </c>
      <c r="C1386" t="s">
        <v>322</v>
      </c>
      <c r="D1386">
        <v>3</v>
      </c>
      <c r="E1386" t="s">
        <v>116</v>
      </c>
      <c r="F1386" t="s">
        <v>373</v>
      </c>
      <c r="G1386">
        <f>(O1386/(N1386+O1386+P1386))*100</f>
        <v>3.7996545768566494</v>
      </c>
      <c r="H1386">
        <f>(P1386/(O1386+P1386+N1386))*100</f>
        <v>0</v>
      </c>
      <c r="I1386">
        <f>((O1386+P1386)/(P1386+O1386+N1386))*100</f>
        <v>3.7996545768566494</v>
      </c>
      <c r="J1386">
        <f>(N1386/(P1386+O1386+N1386))*100</f>
        <v>96.200345423143347</v>
      </c>
      <c r="K1386">
        <v>0.7</v>
      </c>
      <c r="L1386">
        <v>0.3</v>
      </c>
      <c r="M1386">
        <v>0.7</v>
      </c>
      <c r="N1386">
        <v>557</v>
      </c>
      <c r="O1386">
        <v>22</v>
      </c>
      <c r="P1386">
        <v>0</v>
      </c>
      <c r="Q1386">
        <v>3.8</v>
      </c>
      <c r="R1386" t="s">
        <v>296</v>
      </c>
      <c r="S1386">
        <v>2.67</v>
      </c>
      <c r="T1386">
        <v>3.1</v>
      </c>
      <c r="U1386">
        <v>39</v>
      </c>
    </row>
    <row r="1387" spans="1:21" ht="15" customHeight="1" x14ac:dyDescent="0.25">
      <c r="A1387" s="2">
        <v>45325.151516203703</v>
      </c>
      <c r="B1387" t="s">
        <v>309</v>
      </c>
      <c r="C1387" t="s">
        <v>368</v>
      </c>
      <c r="D1387">
        <v>2</v>
      </c>
      <c r="E1387" t="s">
        <v>116</v>
      </c>
      <c r="F1387" t="s">
        <v>373</v>
      </c>
      <c r="G1387">
        <f>(O1387/(N1387+O1387+P1387))*100</f>
        <v>17.429193899782135</v>
      </c>
      <c r="H1387">
        <f>(P1387/(O1387+P1387+N1387))*100</f>
        <v>0</v>
      </c>
      <c r="I1387">
        <v>17.43</v>
      </c>
      <c r="J1387">
        <f>(N1387/(P1387+O1387+N1387))*100</f>
        <v>82.570806100217865</v>
      </c>
      <c r="K1387">
        <v>0.8</v>
      </c>
      <c r="L1387">
        <v>0.3</v>
      </c>
      <c r="M1387">
        <v>0.7</v>
      </c>
      <c r="N1387">
        <v>379</v>
      </c>
      <c r="O1387">
        <v>80</v>
      </c>
      <c r="P1387">
        <v>0</v>
      </c>
      <c r="Q1387">
        <v>17.43</v>
      </c>
      <c r="R1387" t="s">
        <v>285</v>
      </c>
      <c r="S1387">
        <v>0.68</v>
      </c>
      <c r="T1387">
        <v>0.71</v>
      </c>
    </row>
    <row r="1388" spans="1:21" ht="15" customHeight="1" x14ac:dyDescent="0.25">
      <c r="A1388" t="s">
        <v>19</v>
      </c>
      <c r="B1388" t="s">
        <v>20</v>
      </c>
      <c r="C1388" t="s">
        <v>308</v>
      </c>
      <c r="D1388">
        <v>3</v>
      </c>
      <c r="E1388" t="s">
        <v>117</v>
      </c>
      <c r="F1388" t="s">
        <v>388</v>
      </c>
      <c r="G1388">
        <v>2</v>
      </c>
      <c r="H1388">
        <v>0</v>
      </c>
      <c r="I1388">
        <f>G1388+H1388</f>
        <v>2</v>
      </c>
      <c r="J1388">
        <f>100-G1388-H1388</f>
        <v>98</v>
      </c>
      <c r="K1388" t="s">
        <v>19</v>
      </c>
      <c r="L1388" t="s">
        <v>19</v>
      </c>
      <c r="M1388" t="s">
        <v>19</v>
      </c>
      <c r="N1388" t="s">
        <v>19</v>
      </c>
      <c r="O1388" t="s">
        <v>19</v>
      </c>
      <c r="P1388" t="s">
        <v>19</v>
      </c>
      <c r="Q1388">
        <f>I1388</f>
        <v>2</v>
      </c>
      <c r="R1388" t="s">
        <v>19</v>
      </c>
      <c r="S1388" t="s">
        <v>19</v>
      </c>
      <c r="T1388" t="s">
        <v>19</v>
      </c>
    </row>
    <row r="1389" spans="1:21" ht="15" customHeight="1" x14ac:dyDescent="0.25">
      <c r="A1389" t="s">
        <v>19</v>
      </c>
      <c r="B1389" t="s">
        <v>20</v>
      </c>
      <c r="C1389" t="s">
        <v>22</v>
      </c>
      <c r="D1389">
        <v>3</v>
      </c>
      <c r="E1389" t="s">
        <v>117</v>
      </c>
      <c r="F1389" t="s">
        <v>388</v>
      </c>
      <c r="G1389">
        <v>2</v>
      </c>
      <c r="H1389">
        <v>0</v>
      </c>
      <c r="I1389">
        <f>G1389+H1389</f>
        <v>2</v>
      </c>
      <c r="J1389">
        <f>100-G1389-H1389</f>
        <v>98</v>
      </c>
      <c r="K1389" t="s">
        <v>19</v>
      </c>
      <c r="L1389" t="s">
        <v>19</v>
      </c>
      <c r="M1389" t="s">
        <v>19</v>
      </c>
      <c r="N1389" t="s">
        <v>19</v>
      </c>
      <c r="O1389" t="s">
        <v>19</v>
      </c>
      <c r="P1389" t="s">
        <v>19</v>
      </c>
      <c r="Q1389">
        <f>I1389</f>
        <v>2</v>
      </c>
      <c r="R1389" t="s">
        <v>19</v>
      </c>
      <c r="S1389" t="s">
        <v>19</v>
      </c>
      <c r="T1389" t="s">
        <v>19</v>
      </c>
    </row>
    <row r="1390" spans="1:21" ht="15" customHeight="1" x14ac:dyDescent="0.25">
      <c r="A1390" t="s">
        <v>19</v>
      </c>
      <c r="B1390" t="s">
        <v>20</v>
      </c>
      <c r="C1390" t="s">
        <v>305</v>
      </c>
      <c r="D1390">
        <v>3</v>
      </c>
      <c r="E1390" t="s">
        <v>117</v>
      </c>
      <c r="F1390" t="s">
        <v>388</v>
      </c>
      <c r="G1390">
        <v>3</v>
      </c>
      <c r="H1390">
        <v>0</v>
      </c>
      <c r="I1390">
        <f>G1390+H1390</f>
        <v>3</v>
      </c>
      <c r="J1390">
        <f>100-G1390-H1390</f>
        <v>97</v>
      </c>
      <c r="K1390" t="s">
        <v>19</v>
      </c>
      <c r="L1390" t="s">
        <v>19</v>
      </c>
      <c r="M1390" t="s">
        <v>19</v>
      </c>
      <c r="N1390" t="s">
        <v>19</v>
      </c>
      <c r="O1390" t="s">
        <v>19</v>
      </c>
      <c r="P1390" t="s">
        <v>19</v>
      </c>
      <c r="Q1390">
        <f>I1390</f>
        <v>3</v>
      </c>
      <c r="R1390" t="s">
        <v>19</v>
      </c>
      <c r="S1390" t="s">
        <v>19</v>
      </c>
      <c r="T1390" t="s">
        <v>19</v>
      </c>
    </row>
    <row r="1391" spans="1:21" ht="15" customHeight="1" x14ac:dyDescent="0.25">
      <c r="A1391" t="s">
        <v>19</v>
      </c>
      <c r="B1391" t="s">
        <v>20</v>
      </c>
      <c r="C1391" t="s">
        <v>307</v>
      </c>
      <c r="D1391">
        <v>3</v>
      </c>
      <c r="E1391" t="s">
        <v>117</v>
      </c>
      <c r="F1391" t="s">
        <v>388</v>
      </c>
      <c r="G1391">
        <v>2</v>
      </c>
      <c r="H1391">
        <v>0</v>
      </c>
      <c r="I1391">
        <f>G1391+H1391</f>
        <v>2</v>
      </c>
      <c r="J1391">
        <f>100-G1391-H1391</f>
        <v>98</v>
      </c>
      <c r="K1391" t="s">
        <v>19</v>
      </c>
      <c r="L1391" t="s">
        <v>19</v>
      </c>
      <c r="M1391" t="s">
        <v>19</v>
      </c>
      <c r="N1391" t="s">
        <v>19</v>
      </c>
      <c r="O1391" t="s">
        <v>19</v>
      </c>
      <c r="P1391" t="s">
        <v>19</v>
      </c>
      <c r="Q1391">
        <f>I1391</f>
        <v>2</v>
      </c>
      <c r="R1391" t="s">
        <v>19</v>
      </c>
      <c r="S1391" t="s">
        <v>19</v>
      </c>
      <c r="T1391" t="s">
        <v>19</v>
      </c>
    </row>
    <row r="1392" spans="1:21" ht="15" customHeight="1" x14ac:dyDescent="0.25">
      <c r="A1392" s="2">
        <v>45253.584722222222</v>
      </c>
      <c r="B1392" t="s">
        <v>309</v>
      </c>
      <c r="C1392" t="s">
        <v>213</v>
      </c>
      <c r="D1392">
        <v>3</v>
      </c>
      <c r="E1392" t="s">
        <v>117</v>
      </c>
      <c r="F1392" t="s">
        <v>388</v>
      </c>
      <c r="G1392">
        <v>1.710730949</v>
      </c>
      <c r="H1392">
        <v>0.31104199100000002</v>
      </c>
      <c r="I1392">
        <v>2.0217729389999999</v>
      </c>
      <c r="J1392">
        <v>97.978227059999995</v>
      </c>
      <c r="K1392">
        <v>0.8</v>
      </c>
      <c r="L1392">
        <v>0.2</v>
      </c>
      <c r="M1392">
        <v>0.7</v>
      </c>
      <c r="N1392">
        <v>630</v>
      </c>
      <c r="O1392">
        <v>11</v>
      </c>
      <c r="P1392">
        <v>2</v>
      </c>
      <c r="Q1392">
        <v>2.02</v>
      </c>
      <c r="R1392" t="s">
        <v>240</v>
      </c>
      <c r="S1392">
        <v>2.5099999999999998</v>
      </c>
      <c r="T1392">
        <v>3.22</v>
      </c>
    </row>
    <row r="1393" spans="1:21" ht="15" customHeight="1" x14ac:dyDescent="0.25">
      <c r="A1393" s="2">
        <v>45253.857638888891</v>
      </c>
      <c r="B1393" t="s">
        <v>309</v>
      </c>
      <c r="C1393" t="s">
        <v>215</v>
      </c>
      <c r="D1393">
        <v>2</v>
      </c>
      <c r="E1393" t="s">
        <v>117</v>
      </c>
      <c r="F1393" t="s">
        <v>388</v>
      </c>
      <c r="G1393">
        <v>17.637795279999999</v>
      </c>
      <c r="H1393">
        <v>0</v>
      </c>
      <c r="I1393">
        <v>17.637795279999999</v>
      </c>
      <c r="J1393">
        <v>82.362204719999994</v>
      </c>
      <c r="K1393">
        <v>0.8</v>
      </c>
      <c r="L1393">
        <v>0.2</v>
      </c>
      <c r="M1393">
        <v>0.7</v>
      </c>
      <c r="N1393">
        <v>523</v>
      </c>
      <c r="O1393">
        <v>112</v>
      </c>
      <c r="P1393">
        <v>0</v>
      </c>
      <c r="Q1393">
        <v>17.64</v>
      </c>
      <c r="R1393" t="s">
        <v>231</v>
      </c>
      <c r="S1393">
        <v>0.44</v>
      </c>
      <c r="T1393">
        <v>0.47</v>
      </c>
    </row>
    <row r="1394" spans="1:21" ht="15" customHeight="1" x14ac:dyDescent="0.25">
      <c r="A1394" s="2">
        <v>45254.026388888888</v>
      </c>
      <c r="B1394" t="s">
        <v>309</v>
      </c>
      <c r="C1394" t="s">
        <v>217</v>
      </c>
      <c r="D1394">
        <v>2</v>
      </c>
      <c r="E1394" t="s">
        <v>117</v>
      </c>
      <c r="F1394" t="s">
        <v>388</v>
      </c>
      <c r="G1394">
        <v>22.82430213</v>
      </c>
      <c r="H1394">
        <v>0</v>
      </c>
      <c r="I1394">
        <v>22.82430213</v>
      </c>
      <c r="J1394">
        <v>77.175697869999993</v>
      </c>
      <c r="K1394">
        <v>0.8</v>
      </c>
      <c r="L1394">
        <v>0.2</v>
      </c>
      <c r="M1394">
        <v>0.7</v>
      </c>
      <c r="N1394">
        <v>470</v>
      </c>
      <c r="O1394">
        <v>139</v>
      </c>
      <c r="P1394">
        <v>0</v>
      </c>
      <c r="Q1394">
        <v>22.82</v>
      </c>
      <c r="R1394" t="s">
        <v>235</v>
      </c>
      <c r="S1394">
        <v>0.56999999999999995</v>
      </c>
      <c r="T1394">
        <v>0.59</v>
      </c>
    </row>
    <row r="1395" spans="1:21" ht="15" customHeight="1" x14ac:dyDescent="0.25">
      <c r="A1395" s="2">
        <v>45316.537499999999</v>
      </c>
      <c r="B1395" t="s">
        <v>309</v>
      </c>
      <c r="C1395" t="s">
        <v>219</v>
      </c>
      <c r="D1395">
        <v>3</v>
      </c>
      <c r="E1395" t="s">
        <v>117</v>
      </c>
      <c r="F1395" t="s">
        <v>388</v>
      </c>
      <c r="G1395">
        <v>0.302571861</v>
      </c>
      <c r="H1395">
        <v>0.45385779100000001</v>
      </c>
      <c r="I1395">
        <v>0.75642965200000001</v>
      </c>
      <c r="J1395">
        <v>99.243570349999999</v>
      </c>
      <c r="K1395">
        <v>0.8</v>
      </c>
      <c r="L1395">
        <v>0.2</v>
      </c>
      <c r="M1395">
        <v>0.7</v>
      </c>
      <c r="N1395">
        <v>656</v>
      </c>
      <c r="O1395">
        <v>2</v>
      </c>
      <c r="P1395">
        <v>3</v>
      </c>
      <c r="Q1395">
        <v>0.76</v>
      </c>
      <c r="R1395" t="s">
        <v>225</v>
      </c>
      <c r="S1395">
        <v>2.9</v>
      </c>
      <c r="T1395">
        <v>3.98</v>
      </c>
    </row>
    <row r="1396" spans="1:21" ht="15" customHeight="1" x14ac:dyDescent="0.25">
      <c r="A1396" s="2">
        <v>45320.878472222219</v>
      </c>
      <c r="B1396" t="s">
        <v>309</v>
      </c>
      <c r="C1396" t="s">
        <v>221</v>
      </c>
      <c r="D1396">
        <v>2</v>
      </c>
      <c r="E1396" t="s">
        <v>117</v>
      </c>
      <c r="F1396" t="s">
        <v>388</v>
      </c>
      <c r="G1396">
        <v>2.6113671269999998</v>
      </c>
      <c r="H1396">
        <v>0</v>
      </c>
      <c r="I1396">
        <v>2.6113671269999998</v>
      </c>
      <c r="J1396">
        <v>97.388632869999995</v>
      </c>
      <c r="K1396">
        <v>0.8</v>
      </c>
      <c r="L1396">
        <v>0.3</v>
      </c>
      <c r="M1396">
        <v>0.7</v>
      </c>
      <c r="N1396">
        <v>634</v>
      </c>
      <c r="O1396">
        <v>17</v>
      </c>
      <c r="P1396">
        <v>0</v>
      </c>
      <c r="Q1396">
        <v>2.61</v>
      </c>
      <c r="R1396" t="s">
        <v>229</v>
      </c>
      <c r="S1396">
        <v>0.17</v>
      </c>
      <c r="T1396">
        <v>0.19</v>
      </c>
    </row>
    <row r="1397" spans="1:21" ht="15" customHeight="1" x14ac:dyDescent="0.25">
      <c r="A1397" t="s">
        <v>19</v>
      </c>
      <c r="B1397" t="s">
        <v>20</v>
      </c>
      <c r="C1397" t="s">
        <v>306</v>
      </c>
      <c r="D1397">
        <v>3</v>
      </c>
      <c r="E1397" t="s">
        <v>117</v>
      </c>
      <c r="F1397" t="s">
        <v>388</v>
      </c>
      <c r="G1397">
        <v>0</v>
      </c>
      <c r="H1397">
        <v>0</v>
      </c>
      <c r="I1397">
        <f>G1397+H1397</f>
        <v>0</v>
      </c>
      <c r="J1397">
        <f>100-G1397-H1397</f>
        <v>100</v>
      </c>
      <c r="K1397" t="s">
        <v>19</v>
      </c>
      <c r="L1397" t="s">
        <v>19</v>
      </c>
      <c r="M1397" t="s">
        <v>19</v>
      </c>
      <c r="N1397" t="s">
        <v>19</v>
      </c>
      <c r="O1397" t="s">
        <v>19</v>
      </c>
      <c r="P1397" t="s">
        <v>19</v>
      </c>
      <c r="Q1397">
        <f>I1397</f>
        <v>0</v>
      </c>
      <c r="R1397" t="s">
        <v>19</v>
      </c>
      <c r="S1397" t="s">
        <v>19</v>
      </c>
      <c r="T1397" t="s">
        <v>19</v>
      </c>
    </row>
    <row r="1398" spans="1:21" ht="15" customHeight="1" x14ac:dyDescent="0.25">
      <c r="A1398" t="s">
        <v>19</v>
      </c>
      <c r="B1398" t="s">
        <v>20</v>
      </c>
      <c r="C1398" t="s">
        <v>320</v>
      </c>
      <c r="D1398">
        <v>3</v>
      </c>
      <c r="E1398" t="s">
        <v>117</v>
      </c>
      <c r="F1398" t="s">
        <v>388</v>
      </c>
      <c r="G1398">
        <v>0</v>
      </c>
      <c r="H1398">
        <v>0</v>
      </c>
      <c r="I1398">
        <f>100-J1398</f>
        <v>0</v>
      </c>
      <c r="J1398">
        <f>100-G1398-H1398</f>
        <v>100</v>
      </c>
      <c r="K1398" t="s">
        <v>19</v>
      </c>
      <c r="L1398" t="s">
        <v>19</v>
      </c>
      <c r="M1398" t="s">
        <v>19</v>
      </c>
      <c r="N1398" t="s">
        <v>19</v>
      </c>
      <c r="O1398" t="s">
        <v>19</v>
      </c>
      <c r="P1398" t="s">
        <v>19</v>
      </c>
      <c r="Q1398">
        <f>I1398</f>
        <v>0</v>
      </c>
      <c r="R1398" t="s">
        <v>19</v>
      </c>
      <c r="S1398" t="s">
        <v>19</v>
      </c>
      <c r="T1398" t="s">
        <v>19</v>
      </c>
    </row>
    <row r="1399" spans="1:21" ht="15" customHeight="1" x14ac:dyDescent="0.25">
      <c r="A1399" s="2">
        <v>45323.595451388886</v>
      </c>
      <c r="B1399" t="s">
        <v>309</v>
      </c>
      <c r="C1399" t="s">
        <v>322</v>
      </c>
      <c r="D1399">
        <v>3</v>
      </c>
      <c r="E1399" t="s">
        <v>117</v>
      </c>
      <c r="F1399" t="s">
        <v>388</v>
      </c>
      <c r="G1399">
        <f>(O1399/(N1399+O1399+P1399))*100</f>
        <v>1.0294117647058822</v>
      </c>
      <c r="H1399">
        <f>(P1399/(O1399+P1399+N1399))*100</f>
        <v>0</v>
      </c>
      <c r="I1399">
        <v>1.03</v>
      </c>
      <c r="J1399">
        <f>(N1399/(P1399+O1399+N1399))*100</f>
        <v>98.970588235294116</v>
      </c>
      <c r="K1399">
        <v>0.8</v>
      </c>
      <c r="L1399">
        <v>0.3</v>
      </c>
      <c r="M1399">
        <v>0.7</v>
      </c>
      <c r="N1399">
        <v>673</v>
      </c>
      <c r="O1399">
        <v>7</v>
      </c>
      <c r="P1399">
        <v>0</v>
      </c>
      <c r="Q1399">
        <v>1.03</v>
      </c>
      <c r="R1399" t="s">
        <v>337</v>
      </c>
      <c r="S1399">
        <v>2.48</v>
      </c>
      <c r="T1399">
        <v>3.03</v>
      </c>
      <c r="U1399">
        <v>34</v>
      </c>
    </row>
    <row r="1400" spans="1:21" ht="15" customHeight="1" x14ac:dyDescent="0.25">
      <c r="A1400" s="2">
        <v>45323.593101851853</v>
      </c>
      <c r="B1400" t="s">
        <v>309</v>
      </c>
      <c r="C1400" t="s">
        <v>322</v>
      </c>
      <c r="D1400">
        <v>3</v>
      </c>
      <c r="E1400" t="s">
        <v>117</v>
      </c>
      <c r="F1400" t="s">
        <v>388</v>
      </c>
      <c r="G1400" t="e">
        <f>(O1400/(N1400+O1400+P1400))*100</f>
        <v>#VALUE!</v>
      </c>
      <c r="H1400" t="e">
        <f>(P1400/(O1400+P1400+N1400))*100</f>
        <v>#VALUE!</v>
      </c>
      <c r="I1400">
        <v>1.9</v>
      </c>
      <c r="J1400" t="e">
        <f>(N1400/(P1400+O1400+N1400))*100</f>
        <v>#VALUE!</v>
      </c>
      <c r="K1400">
        <v>0.7</v>
      </c>
      <c r="L1400">
        <v>0.3</v>
      </c>
      <c r="M1400">
        <v>0.7</v>
      </c>
      <c r="N1400">
        <v>672</v>
      </c>
      <c r="O1400" t="s">
        <v>266</v>
      </c>
      <c r="P1400" t="s">
        <v>266</v>
      </c>
      <c r="Q1400">
        <v>1.9</v>
      </c>
      <c r="R1400" t="s">
        <v>332</v>
      </c>
      <c r="S1400">
        <v>2.48</v>
      </c>
      <c r="T1400">
        <v>3.03</v>
      </c>
      <c r="U1400">
        <v>29</v>
      </c>
    </row>
    <row r="1401" spans="1:21" ht="15" customHeight="1" x14ac:dyDescent="0.25">
      <c r="A1401" s="2">
        <v>45325.014097222222</v>
      </c>
      <c r="B1401" t="s">
        <v>309</v>
      </c>
      <c r="C1401" t="s">
        <v>368</v>
      </c>
      <c r="D1401">
        <v>2</v>
      </c>
      <c r="E1401" t="s">
        <v>117</v>
      </c>
      <c r="F1401" t="s">
        <v>388</v>
      </c>
      <c r="G1401">
        <f>(O1401/(N1401+O1401+P1401))*100</f>
        <v>0.72358900144717797</v>
      </c>
      <c r="H1401">
        <f>(P1401/(O1401+P1401+N1401))*100</f>
        <v>0</v>
      </c>
      <c r="I1401">
        <v>0.72</v>
      </c>
      <c r="J1401">
        <f>(N1401/(P1401+O1401+N1401))*100</f>
        <v>99.276410998552819</v>
      </c>
      <c r="K1401">
        <v>0.8</v>
      </c>
      <c r="L1401">
        <v>0.3</v>
      </c>
      <c r="M1401">
        <v>0.7</v>
      </c>
      <c r="N1401">
        <v>686</v>
      </c>
      <c r="O1401">
        <v>5</v>
      </c>
      <c r="P1401">
        <v>0</v>
      </c>
      <c r="Q1401">
        <v>0.72</v>
      </c>
      <c r="R1401" t="s">
        <v>276</v>
      </c>
      <c r="S1401">
        <v>0.05</v>
      </c>
      <c r="T1401">
        <v>0.06</v>
      </c>
    </row>
    <row r="1402" spans="1:21" ht="15" customHeight="1" x14ac:dyDescent="0.25">
      <c r="A1402" t="s">
        <v>19</v>
      </c>
      <c r="B1402" t="s">
        <v>20</v>
      </c>
      <c r="C1402" t="s">
        <v>306</v>
      </c>
      <c r="D1402">
        <v>3</v>
      </c>
      <c r="E1402" t="s">
        <v>118</v>
      </c>
      <c r="F1402" t="s">
        <v>373</v>
      </c>
      <c r="G1402">
        <v>2</v>
      </c>
      <c r="H1402">
        <v>0</v>
      </c>
      <c r="I1402">
        <f>G1402+H1402</f>
        <v>2</v>
      </c>
      <c r="J1402">
        <f>100-G1402-H1402</f>
        <v>98</v>
      </c>
      <c r="K1402" t="s">
        <v>19</v>
      </c>
      <c r="L1402" t="s">
        <v>19</v>
      </c>
      <c r="M1402" t="s">
        <v>19</v>
      </c>
      <c r="N1402" t="s">
        <v>19</v>
      </c>
      <c r="O1402" t="s">
        <v>19</v>
      </c>
      <c r="P1402" t="s">
        <v>19</v>
      </c>
      <c r="Q1402">
        <f>I1402</f>
        <v>2</v>
      </c>
      <c r="R1402" t="s">
        <v>19</v>
      </c>
      <c r="S1402" t="s">
        <v>19</v>
      </c>
      <c r="T1402" t="s">
        <v>19</v>
      </c>
    </row>
    <row r="1403" spans="1:21" ht="15" customHeight="1" x14ac:dyDescent="0.25">
      <c r="A1403" t="s">
        <v>19</v>
      </c>
      <c r="B1403" t="s">
        <v>20</v>
      </c>
      <c r="C1403" t="s">
        <v>308</v>
      </c>
      <c r="D1403">
        <v>3</v>
      </c>
      <c r="E1403" t="s">
        <v>118</v>
      </c>
      <c r="F1403" t="s">
        <v>373</v>
      </c>
      <c r="G1403">
        <v>4</v>
      </c>
      <c r="H1403">
        <v>0</v>
      </c>
      <c r="I1403">
        <f>G1403+H1403</f>
        <v>4</v>
      </c>
      <c r="J1403">
        <f>100-G1403-H1403</f>
        <v>96</v>
      </c>
      <c r="K1403" t="s">
        <v>19</v>
      </c>
      <c r="L1403" t="s">
        <v>19</v>
      </c>
      <c r="M1403" t="s">
        <v>19</v>
      </c>
      <c r="N1403" t="s">
        <v>19</v>
      </c>
      <c r="O1403" t="s">
        <v>19</v>
      </c>
      <c r="P1403" t="s">
        <v>19</v>
      </c>
      <c r="Q1403">
        <f>I1403</f>
        <v>4</v>
      </c>
      <c r="R1403" t="s">
        <v>19</v>
      </c>
      <c r="S1403" t="s">
        <v>19</v>
      </c>
      <c r="T1403" t="s">
        <v>19</v>
      </c>
    </row>
    <row r="1404" spans="1:21" ht="15" customHeight="1" x14ac:dyDescent="0.25">
      <c r="A1404" t="s">
        <v>19</v>
      </c>
      <c r="B1404" t="s">
        <v>20</v>
      </c>
      <c r="C1404" t="s">
        <v>22</v>
      </c>
      <c r="D1404">
        <v>3</v>
      </c>
      <c r="E1404" t="s">
        <v>118</v>
      </c>
      <c r="F1404" t="s">
        <v>373</v>
      </c>
      <c r="G1404">
        <v>5</v>
      </c>
      <c r="H1404">
        <v>0</v>
      </c>
      <c r="I1404">
        <f>G1404+H1404</f>
        <v>5</v>
      </c>
      <c r="J1404">
        <f>100-G1404-H1404</f>
        <v>95</v>
      </c>
      <c r="K1404" t="s">
        <v>19</v>
      </c>
      <c r="L1404" t="s">
        <v>19</v>
      </c>
      <c r="M1404" t="s">
        <v>19</v>
      </c>
      <c r="N1404" t="s">
        <v>19</v>
      </c>
      <c r="O1404" t="s">
        <v>19</v>
      </c>
      <c r="P1404" t="s">
        <v>19</v>
      </c>
      <c r="Q1404">
        <f>I1404</f>
        <v>5</v>
      </c>
      <c r="R1404" t="s">
        <v>19</v>
      </c>
      <c r="S1404" t="s">
        <v>19</v>
      </c>
      <c r="T1404" t="s">
        <v>19</v>
      </c>
    </row>
    <row r="1405" spans="1:21" ht="15" customHeight="1" x14ac:dyDescent="0.25">
      <c r="A1405" t="s">
        <v>19</v>
      </c>
      <c r="B1405" t="s">
        <v>20</v>
      </c>
      <c r="C1405" t="s">
        <v>305</v>
      </c>
      <c r="D1405">
        <v>3</v>
      </c>
      <c r="E1405" t="s">
        <v>118</v>
      </c>
      <c r="F1405" t="s">
        <v>373</v>
      </c>
      <c r="G1405">
        <v>4</v>
      </c>
      <c r="H1405">
        <v>0</v>
      </c>
      <c r="I1405">
        <f>G1405+H1405</f>
        <v>4</v>
      </c>
      <c r="J1405">
        <f>100-G1405-H1405</f>
        <v>96</v>
      </c>
      <c r="K1405" t="s">
        <v>19</v>
      </c>
      <c r="L1405" t="s">
        <v>19</v>
      </c>
      <c r="M1405" t="s">
        <v>19</v>
      </c>
      <c r="N1405" t="s">
        <v>19</v>
      </c>
      <c r="O1405" t="s">
        <v>19</v>
      </c>
      <c r="P1405" t="s">
        <v>19</v>
      </c>
      <c r="Q1405">
        <f>I1405</f>
        <v>4</v>
      </c>
      <c r="R1405" t="s">
        <v>19</v>
      </c>
      <c r="S1405" t="s">
        <v>19</v>
      </c>
      <c r="T1405" t="s">
        <v>19</v>
      </c>
    </row>
    <row r="1406" spans="1:21" ht="15" customHeight="1" x14ac:dyDescent="0.25">
      <c r="A1406" t="s">
        <v>19</v>
      </c>
      <c r="B1406" t="s">
        <v>20</v>
      </c>
      <c r="C1406" t="s">
        <v>307</v>
      </c>
      <c r="D1406">
        <v>3</v>
      </c>
      <c r="E1406" t="s">
        <v>118</v>
      </c>
      <c r="F1406" t="s">
        <v>373</v>
      </c>
      <c r="G1406">
        <v>1</v>
      </c>
      <c r="H1406">
        <v>0</v>
      </c>
      <c r="I1406">
        <f>G1406+H1406</f>
        <v>1</v>
      </c>
      <c r="J1406">
        <f>100-G1406-H1406</f>
        <v>99</v>
      </c>
      <c r="K1406" t="s">
        <v>19</v>
      </c>
      <c r="L1406" t="s">
        <v>19</v>
      </c>
      <c r="M1406" t="s">
        <v>19</v>
      </c>
      <c r="N1406" t="s">
        <v>19</v>
      </c>
      <c r="O1406" t="s">
        <v>19</v>
      </c>
      <c r="P1406" t="s">
        <v>19</v>
      </c>
      <c r="Q1406">
        <f>I1406</f>
        <v>1</v>
      </c>
      <c r="R1406" t="s">
        <v>19</v>
      </c>
      <c r="S1406" t="s">
        <v>19</v>
      </c>
      <c r="T1406" t="s">
        <v>19</v>
      </c>
    </row>
    <row r="1407" spans="1:21" ht="15" customHeight="1" x14ac:dyDescent="0.25">
      <c r="A1407" s="2">
        <v>45253.737500000003</v>
      </c>
      <c r="B1407" t="s">
        <v>309</v>
      </c>
      <c r="C1407" t="s">
        <v>213</v>
      </c>
      <c r="D1407">
        <v>3</v>
      </c>
      <c r="E1407" t="s">
        <v>118</v>
      </c>
      <c r="F1407" t="s">
        <v>373</v>
      </c>
      <c r="G1407">
        <v>12.43386243</v>
      </c>
      <c r="H1407">
        <v>0.52910052900000004</v>
      </c>
      <c r="I1407">
        <v>12.96296296</v>
      </c>
      <c r="J1407">
        <v>87.037037040000001</v>
      </c>
      <c r="K1407">
        <v>0.8</v>
      </c>
      <c r="L1407">
        <v>0.2</v>
      </c>
      <c r="M1407">
        <v>0.7</v>
      </c>
      <c r="N1407">
        <v>329</v>
      </c>
      <c r="O1407">
        <v>47</v>
      </c>
      <c r="P1407">
        <v>2</v>
      </c>
      <c r="Q1407">
        <v>12.96</v>
      </c>
      <c r="R1407" t="s">
        <v>236</v>
      </c>
      <c r="S1407">
        <v>2.8</v>
      </c>
      <c r="T1407">
        <v>3.11</v>
      </c>
    </row>
    <row r="1408" spans="1:21" ht="15" customHeight="1" x14ac:dyDescent="0.25">
      <c r="A1408" s="2">
        <v>45253.938888888886</v>
      </c>
      <c r="B1408" t="s">
        <v>309</v>
      </c>
      <c r="C1408" t="s">
        <v>215</v>
      </c>
      <c r="D1408">
        <v>2</v>
      </c>
      <c r="E1408" t="s">
        <v>118</v>
      </c>
      <c r="F1408" t="s">
        <v>373</v>
      </c>
      <c r="G1408">
        <v>1.7379679139999999</v>
      </c>
      <c r="H1408">
        <v>0</v>
      </c>
      <c r="I1408">
        <v>1.7379679139999999</v>
      </c>
      <c r="J1408">
        <v>98.262032090000005</v>
      </c>
      <c r="K1408">
        <v>0.8</v>
      </c>
      <c r="L1408">
        <v>0.2</v>
      </c>
      <c r="M1408">
        <v>0.7</v>
      </c>
      <c r="N1408">
        <v>735</v>
      </c>
      <c r="O1408">
        <v>13</v>
      </c>
      <c r="P1408">
        <v>0</v>
      </c>
      <c r="Q1408">
        <v>1.74</v>
      </c>
      <c r="R1408" t="s">
        <v>243</v>
      </c>
      <c r="S1408">
        <v>0.04</v>
      </c>
      <c r="T1408">
        <v>0.05</v>
      </c>
    </row>
    <row r="1409" spans="1:21" ht="15" customHeight="1" x14ac:dyDescent="0.25">
      <c r="A1409" s="2">
        <v>45254.113888888889</v>
      </c>
      <c r="B1409" t="s">
        <v>309</v>
      </c>
      <c r="C1409" t="s">
        <v>217</v>
      </c>
      <c r="D1409">
        <v>2</v>
      </c>
      <c r="E1409" t="s">
        <v>118</v>
      </c>
      <c r="F1409" t="s">
        <v>373</v>
      </c>
      <c r="G1409">
        <v>2.2191400830000001</v>
      </c>
      <c r="H1409">
        <v>0</v>
      </c>
      <c r="I1409">
        <v>2.2191400830000001</v>
      </c>
      <c r="J1409">
        <v>97.780859919999997</v>
      </c>
      <c r="K1409">
        <v>0.8</v>
      </c>
      <c r="L1409">
        <v>0.2</v>
      </c>
      <c r="M1409">
        <v>0.7</v>
      </c>
      <c r="N1409">
        <v>705</v>
      </c>
      <c r="O1409">
        <v>16</v>
      </c>
      <c r="P1409">
        <v>0</v>
      </c>
      <c r="Q1409">
        <v>2.2200000000000002</v>
      </c>
      <c r="R1409" t="s">
        <v>231</v>
      </c>
      <c r="S1409">
        <v>0.08</v>
      </c>
      <c r="T1409">
        <v>0.08</v>
      </c>
    </row>
    <row r="1410" spans="1:21" ht="15" customHeight="1" x14ac:dyDescent="0.25">
      <c r="A1410" s="2">
        <v>45316.45</v>
      </c>
      <c r="B1410" t="s">
        <v>309</v>
      </c>
      <c r="C1410" t="s">
        <v>219</v>
      </c>
      <c r="D1410">
        <v>3</v>
      </c>
      <c r="E1410" t="s">
        <v>118</v>
      </c>
      <c r="F1410" t="s">
        <v>373</v>
      </c>
      <c r="G1410">
        <v>6</v>
      </c>
      <c r="H1410">
        <v>0</v>
      </c>
      <c r="I1410">
        <v>6</v>
      </c>
      <c r="J1410">
        <v>94</v>
      </c>
      <c r="K1410">
        <v>0.8</v>
      </c>
      <c r="L1410">
        <v>0.2</v>
      </c>
      <c r="M1410">
        <v>0.7</v>
      </c>
      <c r="N1410">
        <v>235</v>
      </c>
      <c r="O1410">
        <v>15</v>
      </c>
      <c r="P1410">
        <v>0</v>
      </c>
      <c r="Q1410">
        <v>6</v>
      </c>
      <c r="R1410" t="s">
        <v>220</v>
      </c>
      <c r="S1410">
        <v>3.1</v>
      </c>
      <c r="T1410">
        <v>4</v>
      </c>
    </row>
    <row r="1411" spans="1:21" ht="15" customHeight="1" x14ac:dyDescent="0.25">
      <c r="A1411" s="2">
        <v>45320.972916666666</v>
      </c>
      <c r="B1411" t="s">
        <v>309</v>
      </c>
      <c r="C1411" t="s">
        <v>221</v>
      </c>
      <c r="D1411">
        <v>2</v>
      </c>
      <c r="E1411" t="s">
        <v>118</v>
      </c>
      <c r="F1411" t="s">
        <v>373</v>
      </c>
      <c r="G1411">
        <v>3.3674963400000002</v>
      </c>
      <c r="H1411">
        <v>0</v>
      </c>
      <c r="I1411">
        <v>3.3674963400000002</v>
      </c>
      <c r="J1411">
        <v>96.632503659999998</v>
      </c>
      <c r="K1411">
        <v>0.8</v>
      </c>
      <c r="L1411">
        <v>0.3</v>
      </c>
      <c r="M1411">
        <v>0.7</v>
      </c>
      <c r="N1411">
        <v>660</v>
      </c>
      <c r="O1411">
        <v>23</v>
      </c>
      <c r="P1411">
        <v>0</v>
      </c>
      <c r="Q1411">
        <v>3.37</v>
      </c>
      <c r="R1411" t="s">
        <v>222</v>
      </c>
      <c r="S1411">
        <v>0.12</v>
      </c>
      <c r="T1411">
        <v>0.13</v>
      </c>
    </row>
    <row r="1412" spans="1:21" ht="15" customHeight="1" x14ac:dyDescent="0.25">
      <c r="A1412" t="s">
        <v>19</v>
      </c>
      <c r="B1412" t="s">
        <v>20</v>
      </c>
      <c r="C1412" t="s">
        <v>320</v>
      </c>
      <c r="D1412">
        <v>3</v>
      </c>
      <c r="E1412" t="s">
        <v>118</v>
      </c>
      <c r="F1412" t="s">
        <v>373</v>
      </c>
      <c r="G1412">
        <v>0</v>
      </c>
      <c r="H1412">
        <v>0</v>
      </c>
      <c r="I1412">
        <f>100-J1412</f>
        <v>0</v>
      </c>
      <c r="J1412">
        <f>100-G1412-H1412</f>
        <v>100</v>
      </c>
      <c r="K1412" t="s">
        <v>19</v>
      </c>
      <c r="L1412" t="s">
        <v>19</v>
      </c>
      <c r="M1412" t="s">
        <v>19</v>
      </c>
      <c r="N1412" t="s">
        <v>19</v>
      </c>
      <c r="O1412" t="s">
        <v>19</v>
      </c>
      <c r="P1412" t="s">
        <v>19</v>
      </c>
      <c r="Q1412">
        <f>I1412</f>
        <v>0</v>
      </c>
      <c r="R1412" t="s">
        <v>19</v>
      </c>
      <c r="S1412" t="s">
        <v>19</v>
      </c>
      <c r="T1412" t="s">
        <v>19</v>
      </c>
    </row>
    <row r="1413" spans="1:21" ht="15" customHeight="1" x14ac:dyDescent="0.25">
      <c r="A1413" s="2">
        <v>45323.583229166667</v>
      </c>
      <c r="B1413" t="s">
        <v>309</v>
      </c>
      <c r="C1413" t="s">
        <v>322</v>
      </c>
      <c r="D1413">
        <v>3</v>
      </c>
      <c r="E1413" t="s">
        <v>118</v>
      </c>
      <c r="F1413" t="s">
        <v>373</v>
      </c>
      <c r="G1413">
        <f>(O1413/(N1413+O1413+P1413))*100</f>
        <v>3.2457496136012365</v>
      </c>
      <c r="H1413">
        <f>(P1413/(O1413+P1413+N1413))*100</f>
        <v>0</v>
      </c>
      <c r="I1413">
        <f>((O1413+P1413)/(P1413+O1413+N1413))*100</f>
        <v>3.2457496136012365</v>
      </c>
      <c r="J1413">
        <f>(N1413/(P1413+O1413+N1413))*100</f>
        <v>96.754250386398766</v>
      </c>
      <c r="K1413">
        <v>0.8</v>
      </c>
      <c r="L1413">
        <v>0.3</v>
      </c>
      <c r="M1413">
        <v>0.7</v>
      </c>
      <c r="N1413">
        <v>626</v>
      </c>
      <c r="O1413">
        <v>21</v>
      </c>
      <c r="P1413">
        <v>0</v>
      </c>
      <c r="Q1413">
        <v>3.25</v>
      </c>
      <c r="R1413" t="s">
        <v>339</v>
      </c>
      <c r="S1413">
        <v>2.6</v>
      </c>
      <c r="T1413">
        <v>3.38</v>
      </c>
      <c r="U1413">
        <v>68</v>
      </c>
    </row>
    <row r="1414" spans="1:21" ht="15" customHeight="1" x14ac:dyDescent="0.25">
      <c r="A1414" s="2">
        <v>45323.586458333331</v>
      </c>
      <c r="B1414" t="s">
        <v>309</v>
      </c>
      <c r="C1414" t="s">
        <v>322</v>
      </c>
      <c r="D1414">
        <v>3</v>
      </c>
      <c r="E1414" t="s">
        <v>118</v>
      </c>
      <c r="F1414" t="s">
        <v>373</v>
      </c>
      <c r="G1414">
        <f>(O1414/(N1414+O1414+P1414))*100</f>
        <v>4.281345565749235</v>
      </c>
      <c r="H1414">
        <f>(P1414/(O1414+P1414+N1414))*100</f>
        <v>0</v>
      </c>
      <c r="I1414">
        <f>((O1414+P1414)/(P1414+O1414+N1414))*100</f>
        <v>4.281345565749235</v>
      </c>
      <c r="J1414">
        <f>(N1414/(P1414+O1414+N1414))*100</f>
        <v>95.718654434250766</v>
      </c>
      <c r="K1414">
        <v>0.7</v>
      </c>
      <c r="L1414">
        <v>0.3</v>
      </c>
      <c r="M1414">
        <v>0.7</v>
      </c>
      <c r="N1414">
        <v>626</v>
      </c>
      <c r="O1414">
        <v>28</v>
      </c>
      <c r="P1414">
        <v>0</v>
      </c>
      <c r="Q1414">
        <v>4.28</v>
      </c>
      <c r="R1414" t="s">
        <v>355</v>
      </c>
      <c r="S1414">
        <v>2.6</v>
      </c>
      <c r="T1414">
        <v>3.38</v>
      </c>
      <c r="U1414">
        <v>61</v>
      </c>
    </row>
    <row r="1415" spans="1:21" ht="15" customHeight="1" x14ac:dyDescent="0.25">
      <c r="A1415" s="2">
        <v>45325.152881944443</v>
      </c>
      <c r="B1415" t="s">
        <v>309</v>
      </c>
      <c r="C1415" t="s">
        <v>368</v>
      </c>
      <c r="D1415">
        <v>2</v>
      </c>
      <c r="E1415" t="s">
        <v>118</v>
      </c>
      <c r="F1415" t="s">
        <v>373</v>
      </c>
      <c r="G1415">
        <f>(O1415/(N1415+O1415+P1415))*100</f>
        <v>5.4263565891472867</v>
      </c>
      <c r="H1415">
        <f>(P1415/(O1415+P1415+N1415))*100</f>
        <v>0</v>
      </c>
      <c r="I1415">
        <v>5.43</v>
      </c>
      <c r="J1415">
        <f>(N1415/(P1415+O1415+N1415))*100</f>
        <v>94.573643410852711</v>
      </c>
      <c r="K1415">
        <v>0.8</v>
      </c>
      <c r="L1415">
        <v>0.3</v>
      </c>
      <c r="M1415">
        <v>0.7</v>
      </c>
      <c r="N1415">
        <v>610</v>
      </c>
      <c r="O1415">
        <v>35</v>
      </c>
      <c r="P1415">
        <v>0</v>
      </c>
      <c r="Q1415">
        <v>5.43</v>
      </c>
      <c r="R1415" t="s">
        <v>271</v>
      </c>
      <c r="S1415">
        <v>0.21</v>
      </c>
      <c r="T1415">
        <v>0.23</v>
      </c>
    </row>
    <row r="1416" spans="1:21" ht="15" customHeight="1" x14ac:dyDescent="0.25">
      <c r="A1416" t="s">
        <v>19</v>
      </c>
      <c r="B1416" t="s">
        <v>20</v>
      </c>
      <c r="C1416" t="s">
        <v>308</v>
      </c>
      <c r="D1416">
        <v>3</v>
      </c>
      <c r="E1416" t="s">
        <v>119</v>
      </c>
      <c r="F1416" t="s">
        <v>388</v>
      </c>
      <c r="G1416">
        <v>7</v>
      </c>
      <c r="H1416">
        <v>18</v>
      </c>
      <c r="I1416">
        <f>G1416+H1416</f>
        <v>25</v>
      </c>
      <c r="J1416">
        <f>100-G1416-H1416</f>
        <v>75</v>
      </c>
      <c r="K1416" t="s">
        <v>19</v>
      </c>
      <c r="L1416" t="s">
        <v>19</v>
      </c>
      <c r="M1416" t="s">
        <v>19</v>
      </c>
      <c r="N1416" t="s">
        <v>19</v>
      </c>
      <c r="O1416" t="s">
        <v>19</v>
      </c>
      <c r="P1416" t="s">
        <v>19</v>
      </c>
      <c r="Q1416">
        <f>I1416</f>
        <v>25</v>
      </c>
      <c r="R1416" t="s">
        <v>19</v>
      </c>
      <c r="S1416" t="s">
        <v>19</v>
      </c>
      <c r="T1416" t="s">
        <v>19</v>
      </c>
    </row>
    <row r="1417" spans="1:21" ht="15" customHeight="1" x14ac:dyDescent="0.25">
      <c r="A1417" s="2">
        <v>45253.586111111108</v>
      </c>
      <c r="B1417" t="s">
        <v>309</v>
      </c>
      <c r="C1417" t="s">
        <v>213</v>
      </c>
      <c r="D1417">
        <v>3</v>
      </c>
      <c r="E1417" t="s">
        <v>119</v>
      </c>
      <c r="F1417" t="s">
        <v>388</v>
      </c>
      <c r="G1417">
        <v>0</v>
      </c>
      <c r="H1417">
        <v>3.8567493110000002</v>
      </c>
      <c r="I1417">
        <v>3.8567493110000002</v>
      </c>
      <c r="J1417">
        <v>96.143250690000002</v>
      </c>
      <c r="K1417">
        <v>0.8</v>
      </c>
      <c r="L1417">
        <v>0.2</v>
      </c>
      <c r="M1417">
        <v>0.7</v>
      </c>
      <c r="N1417">
        <v>349</v>
      </c>
      <c r="O1417">
        <v>0</v>
      </c>
      <c r="P1417">
        <v>14</v>
      </c>
      <c r="Q1417">
        <v>3.86</v>
      </c>
      <c r="R1417" t="s">
        <v>252</v>
      </c>
      <c r="S1417">
        <v>3.5</v>
      </c>
      <c r="T1417">
        <v>6.33</v>
      </c>
    </row>
    <row r="1418" spans="1:21" ht="15" customHeight="1" x14ac:dyDescent="0.25">
      <c r="A1418" s="2">
        <v>45253.85833333333</v>
      </c>
      <c r="B1418" t="s">
        <v>309</v>
      </c>
      <c r="C1418" t="s">
        <v>215</v>
      </c>
      <c r="D1418">
        <v>2</v>
      </c>
      <c r="E1418" t="s">
        <v>119</v>
      </c>
      <c r="F1418" t="s">
        <v>388</v>
      </c>
      <c r="G1418">
        <v>0</v>
      </c>
      <c r="H1418">
        <v>0</v>
      </c>
      <c r="I1418">
        <v>0</v>
      </c>
      <c r="J1418">
        <v>100</v>
      </c>
      <c r="K1418">
        <v>0.8</v>
      </c>
      <c r="L1418">
        <v>0.2</v>
      </c>
      <c r="M1418">
        <v>0.7</v>
      </c>
      <c r="N1418">
        <v>365</v>
      </c>
      <c r="O1418">
        <v>0</v>
      </c>
      <c r="P1418">
        <v>0</v>
      </c>
      <c r="Q1418">
        <v>0</v>
      </c>
      <c r="R1418" t="s">
        <v>290</v>
      </c>
      <c r="S1418">
        <v>0</v>
      </c>
      <c r="T1418">
        <v>0</v>
      </c>
    </row>
    <row r="1419" spans="1:21" ht="15" customHeight="1" x14ac:dyDescent="0.25">
      <c r="A1419" s="2">
        <v>45254.027083333334</v>
      </c>
      <c r="B1419" t="s">
        <v>309</v>
      </c>
      <c r="C1419" t="s">
        <v>217</v>
      </c>
      <c r="D1419">
        <v>2</v>
      </c>
      <c r="E1419" t="s">
        <v>119</v>
      </c>
      <c r="F1419" t="s">
        <v>388</v>
      </c>
      <c r="G1419">
        <v>0</v>
      </c>
      <c r="H1419">
        <v>0</v>
      </c>
      <c r="I1419">
        <v>0</v>
      </c>
      <c r="J1419">
        <v>100</v>
      </c>
      <c r="K1419">
        <v>0.8</v>
      </c>
      <c r="L1419">
        <v>0.2</v>
      </c>
      <c r="M1419">
        <v>0.7</v>
      </c>
      <c r="N1419">
        <v>365</v>
      </c>
      <c r="O1419">
        <v>0</v>
      </c>
      <c r="P1419">
        <v>0</v>
      </c>
      <c r="Q1419">
        <v>0</v>
      </c>
      <c r="R1419" t="s">
        <v>243</v>
      </c>
      <c r="S1419">
        <v>0</v>
      </c>
      <c r="T1419">
        <v>0</v>
      </c>
    </row>
    <row r="1420" spans="1:21" ht="15" customHeight="1" x14ac:dyDescent="0.25">
      <c r="A1420" s="2">
        <v>45316.538194444445</v>
      </c>
      <c r="B1420" t="s">
        <v>309</v>
      </c>
      <c r="C1420" t="s">
        <v>219</v>
      </c>
      <c r="D1420">
        <v>3</v>
      </c>
      <c r="E1420" t="s">
        <v>119</v>
      </c>
      <c r="F1420" t="s">
        <v>388</v>
      </c>
      <c r="G1420">
        <v>0</v>
      </c>
      <c r="H1420">
        <v>0.27548209400000001</v>
      </c>
      <c r="I1420">
        <v>0.27548209400000001</v>
      </c>
      <c r="J1420">
        <v>99.724517910000003</v>
      </c>
      <c r="K1420">
        <v>0.8</v>
      </c>
      <c r="L1420">
        <v>0.2</v>
      </c>
      <c r="M1420">
        <v>0.7</v>
      </c>
      <c r="N1420">
        <v>362</v>
      </c>
      <c r="O1420">
        <v>0</v>
      </c>
      <c r="P1420">
        <v>1</v>
      </c>
      <c r="Q1420">
        <v>0.28000000000000003</v>
      </c>
      <c r="R1420" t="s">
        <v>291</v>
      </c>
      <c r="S1420">
        <v>3.24</v>
      </c>
      <c r="T1420">
        <v>5.76</v>
      </c>
    </row>
    <row r="1421" spans="1:21" ht="15" customHeight="1" x14ac:dyDescent="0.25">
      <c r="A1421" t="s">
        <v>19</v>
      </c>
      <c r="B1421" t="s">
        <v>20</v>
      </c>
      <c r="C1421" t="s">
        <v>306</v>
      </c>
      <c r="D1421">
        <v>3</v>
      </c>
      <c r="E1421" t="s">
        <v>120</v>
      </c>
      <c r="F1421" t="s">
        <v>373</v>
      </c>
      <c r="G1421">
        <v>7</v>
      </c>
      <c r="H1421">
        <v>0</v>
      </c>
      <c r="I1421">
        <f>G1421+H1421</f>
        <v>7</v>
      </c>
      <c r="J1421">
        <f>100-G1421-H1421</f>
        <v>93</v>
      </c>
      <c r="K1421" t="s">
        <v>19</v>
      </c>
      <c r="L1421" t="s">
        <v>19</v>
      </c>
      <c r="M1421" t="s">
        <v>19</v>
      </c>
      <c r="N1421" t="s">
        <v>19</v>
      </c>
      <c r="O1421" t="s">
        <v>19</v>
      </c>
      <c r="P1421" t="s">
        <v>19</v>
      </c>
      <c r="Q1421">
        <f>I1421</f>
        <v>7</v>
      </c>
      <c r="R1421" t="s">
        <v>19</v>
      </c>
      <c r="S1421" t="s">
        <v>19</v>
      </c>
      <c r="T1421" t="s">
        <v>19</v>
      </c>
    </row>
    <row r="1422" spans="1:21" ht="15" customHeight="1" x14ac:dyDescent="0.25">
      <c r="A1422" t="s">
        <v>19</v>
      </c>
      <c r="B1422" t="s">
        <v>20</v>
      </c>
      <c r="C1422" t="s">
        <v>308</v>
      </c>
      <c r="D1422">
        <v>3</v>
      </c>
      <c r="E1422" t="s">
        <v>120</v>
      </c>
      <c r="F1422" t="s">
        <v>373</v>
      </c>
      <c r="G1422">
        <v>5</v>
      </c>
      <c r="H1422">
        <v>0</v>
      </c>
      <c r="I1422">
        <f>G1422+H1422</f>
        <v>5</v>
      </c>
      <c r="J1422">
        <f>100-G1422-H1422</f>
        <v>95</v>
      </c>
      <c r="K1422" t="s">
        <v>19</v>
      </c>
      <c r="L1422" t="s">
        <v>19</v>
      </c>
      <c r="M1422" t="s">
        <v>19</v>
      </c>
      <c r="N1422" t="s">
        <v>19</v>
      </c>
      <c r="O1422" t="s">
        <v>19</v>
      </c>
      <c r="P1422" t="s">
        <v>19</v>
      </c>
      <c r="Q1422">
        <f>I1422</f>
        <v>5</v>
      </c>
      <c r="R1422" t="s">
        <v>19</v>
      </c>
      <c r="S1422" t="s">
        <v>19</v>
      </c>
      <c r="T1422" t="s">
        <v>19</v>
      </c>
    </row>
    <row r="1423" spans="1:21" ht="15" customHeight="1" x14ac:dyDescent="0.25">
      <c r="A1423" t="s">
        <v>19</v>
      </c>
      <c r="B1423" t="s">
        <v>20</v>
      </c>
      <c r="C1423" t="s">
        <v>22</v>
      </c>
      <c r="D1423">
        <v>3</v>
      </c>
      <c r="E1423" t="s">
        <v>120</v>
      </c>
      <c r="F1423" t="s">
        <v>373</v>
      </c>
      <c r="G1423">
        <v>5</v>
      </c>
      <c r="H1423">
        <v>0</v>
      </c>
      <c r="I1423">
        <f>G1423+H1423</f>
        <v>5</v>
      </c>
      <c r="J1423">
        <f>100-G1423-H1423</f>
        <v>95</v>
      </c>
      <c r="K1423" t="s">
        <v>19</v>
      </c>
      <c r="L1423" t="s">
        <v>19</v>
      </c>
      <c r="M1423" t="s">
        <v>19</v>
      </c>
      <c r="N1423" t="s">
        <v>19</v>
      </c>
      <c r="O1423" t="s">
        <v>19</v>
      </c>
      <c r="P1423" t="s">
        <v>19</v>
      </c>
      <c r="Q1423">
        <f>I1423</f>
        <v>5</v>
      </c>
      <c r="R1423" t="s">
        <v>19</v>
      </c>
      <c r="S1423" t="s">
        <v>19</v>
      </c>
      <c r="T1423" t="s">
        <v>19</v>
      </c>
    </row>
    <row r="1424" spans="1:21" ht="15" customHeight="1" x14ac:dyDescent="0.25">
      <c r="A1424" t="s">
        <v>19</v>
      </c>
      <c r="B1424" t="s">
        <v>20</v>
      </c>
      <c r="C1424" t="s">
        <v>305</v>
      </c>
      <c r="D1424">
        <v>3</v>
      </c>
      <c r="E1424" t="s">
        <v>120</v>
      </c>
      <c r="F1424" t="s">
        <v>373</v>
      </c>
      <c r="G1424">
        <v>8</v>
      </c>
      <c r="H1424">
        <v>0</v>
      </c>
      <c r="I1424">
        <f>G1424+H1424</f>
        <v>8</v>
      </c>
      <c r="J1424">
        <f>100-G1424-H1424</f>
        <v>92</v>
      </c>
      <c r="K1424" t="s">
        <v>19</v>
      </c>
      <c r="L1424" t="s">
        <v>19</v>
      </c>
      <c r="M1424" t="s">
        <v>19</v>
      </c>
      <c r="N1424" t="s">
        <v>19</v>
      </c>
      <c r="O1424" t="s">
        <v>19</v>
      </c>
      <c r="P1424" t="s">
        <v>19</v>
      </c>
      <c r="Q1424">
        <f>I1424</f>
        <v>8</v>
      </c>
      <c r="R1424" t="s">
        <v>19</v>
      </c>
      <c r="S1424" t="s">
        <v>19</v>
      </c>
      <c r="T1424" t="s">
        <v>19</v>
      </c>
    </row>
    <row r="1425" spans="1:21" ht="15" customHeight="1" x14ac:dyDescent="0.25">
      <c r="A1425" t="s">
        <v>19</v>
      </c>
      <c r="B1425" t="s">
        <v>20</v>
      </c>
      <c r="C1425" t="s">
        <v>307</v>
      </c>
      <c r="D1425">
        <v>3</v>
      </c>
      <c r="E1425" t="s">
        <v>120</v>
      </c>
      <c r="F1425" t="s">
        <v>373</v>
      </c>
      <c r="G1425">
        <v>0</v>
      </c>
      <c r="H1425">
        <v>0</v>
      </c>
      <c r="I1425">
        <f>G1425+H1425</f>
        <v>0</v>
      </c>
      <c r="J1425">
        <f>100-G1425-H1425</f>
        <v>100</v>
      </c>
      <c r="K1425" t="s">
        <v>19</v>
      </c>
      <c r="L1425" t="s">
        <v>19</v>
      </c>
      <c r="M1425" t="s">
        <v>19</v>
      </c>
      <c r="N1425" t="s">
        <v>19</v>
      </c>
      <c r="O1425" t="s">
        <v>19</v>
      </c>
      <c r="P1425" t="s">
        <v>19</v>
      </c>
      <c r="Q1425">
        <f>I1425</f>
        <v>0</v>
      </c>
      <c r="R1425" t="s">
        <v>19</v>
      </c>
      <c r="S1425" t="s">
        <v>19</v>
      </c>
      <c r="T1425" t="s">
        <v>19</v>
      </c>
    </row>
    <row r="1426" spans="1:21" ht="15" customHeight="1" x14ac:dyDescent="0.25">
      <c r="A1426" s="2">
        <v>45253.738888888889</v>
      </c>
      <c r="B1426" t="s">
        <v>309</v>
      </c>
      <c r="C1426" t="s">
        <v>213</v>
      </c>
      <c r="D1426">
        <v>3</v>
      </c>
      <c r="E1426" t="s">
        <v>120</v>
      </c>
      <c r="F1426" t="s">
        <v>373</v>
      </c>
      <c r="G1426">
        <v>3.3639143730000001</v>
      </c>
      <c r="H1426">
        <v>0.15290519899999999</v>
      </c>
      <c r="I1426">
        <v>3.5168195720000002</v>
      </c>
      <c r="J1426">
        <v>96.483180430000004</v>
      </c>
      <c r="K1426">
        <v>0.8</v>
      </c>
      <c r="L1426">
        <v>0.2</v>
      </c>
      <c r="M1426">
        <v>0.7</v>
      </c>
      <c r="N1426">
        <v>631</v>
      </c>
      <c r="O1426">
        <v>22</v>
      </c>
      <c r="P1426">
        <v>1</v>
      </c>
      <c r="Q1426">
        <v>3.52</v>
      </c>
      <c r="R1426" t="s">
        <v>248</v>
      </c>
      <c r="S1426">
        <v>2.8</v>
      </c>
      <c r="T1426">
        <v>3.13</v>
      </c>
    </row>
    <row r="1427" spans="1:21" ht="15" customHeight="1" x14ac:dyDescent="0.25">
      <c r="A1427" s="2">
        <v>45253.939583333333</v>
      </c>
      <c r="B1427" t="s">
        <v>309</v>
      </c>
      <c r="C1427" t="s">
        <v>215</v>
      </c>
      <c r="D1427">
        <v>2</v>
      </c>
      <c r="E1427" t="s">
        <v>120</v>
      </c>
      <c r="F1427" t="s">
        <v>373</v>
      </c>
      <c r="G1427">
        <v>1.4598540149999999</v>
      </c>
      <c r="H1427">
        <v>0</v>
      </c>
      <c r="I1427">
        <v>1.4598540149999999</v>
      </c>
      <c r="J1427">
        <v>98.540145989999999</v>
      </c>
      <c r="K1427">
        <v>0.8</v>
      </c>
      <c r="L1427">
        <v>0.2</v>
      </c>
      <c r="M1427">
        <v>0.7</v>
      </c>
      <c r="N1427">
        <v>675</v>
      </c>
      <c r="O1427">
        <v>10</v>
      </c>
      <c r="P1427">
        <v>0</v>
      </c>
      <c r="Q1427">
        <v>1.46</v>
      </c>
      <c r="R1427" t="s">
        <v>257</v>
      </c>
      <c r="S1427">
        <v>7.0000000000000007E-2</v>
      </c>
      <c r="T1427">
        <v>7.0000000000000007E-2</v>
      </c>
    </row>
    <row r="1428" spans="1:21" ht="15" customHeight="1" x14ac:dyDescent="0.25">
      <c r="A1428" s="2">
        <v>45254.114583333336</v>
      </c>
      <c r="B1428" t="s">
        <v>309</v>
      </c>
      <c r="C1428" t="s">
        <v>217</v>
      </c>
      <c r="D1428">
        <v>2</v>
      </c>
      <c r="E1428" t="s">
        <v>120</v>
      </c>
      <c r="F1428" t="s">
        <v>373</v>
      </c>
      <c r="G1428">
        <v>3.4596375620000002</v>
      </c>
      <c r="H1428">
        <v>0</v>
      </c>
      <c r="I1428">
        <v>3.4596375620000002</v>
      </c>
      <c r="J1428">
        <v>96.540362439999996</v>
      </c>
      <c r="K1428">
        <v>0.8</v>
      </c>
      <c r="L1428">
        <v>0.2</v>
      </c>
      <c r="M1428">
        <v>0.7</v>
      </c>
      <c r="N1428">
        <v>586</v>
      </c>
      <c r="O1428">
        <v>21</v>
      </c>
      <c r="P1428">
        <v>0</v>
      </c>
      <c r="Q1428">
        <v>3.46</v>
      </c>
      <c r="R1428" t="s">
        <v>231</v>
      </c>
      <c r="S1428">
        <v>0.15</v>
      </c>
      <c r="T1428">
        <v>0.16</v>
      </c>
    </row>
    <row r="1429" spans="1:21" ht="15" customHeight="1" x14ac:dyDescent="0.25">
      <c r="A1429" s="2">
        <v>45316.450694444444</v>
      </c>
      <c r="B1429" t="s">
        <v>309</v>
      </c>
      <c r="C1429" t="s">
        <v>219</v>
      </c>
      <c r="D1429">
        <v>3</v>
      </c>
      <c r="E1429" t="s">
        <v>120</v>
      </c>
      <c r="F1429" t="s">
        <v>373</v>
      </c>
      <c r="G1429">
        <v>2.2847100180000002</v>
      </c>
      <c r="H1429">
        <v>0.87873462199999997</v>
      </c>
      <c r="I1429">
        <v>3.1634446399999998</v>
      </c>
      <c r="J1429">
        <v>96.836555360000006</v>
      </c>
      <c r="K1429">
        <v>0.8</v>
      </c>
      <c r="L1429">
        <v>0.2</v>
      </c>
      <c r="M1429">
        <v>0.7</v>
      </c>
      <c r="N1429">
        <v>551</v>
      </c>
      <c r="O1429">
        <v>13</v>
      </c>
      <c r="P1429">
        <v>5</v>
      </c>
      <c r="Q1429">
        <v>3.16</v>
      </c>
      <c r="R1429" t="s">
        <v>225</v>
      </c>
      <c r="S1429">
        <v>3.14</v>
      </c>
      <c r="T1429">
        <v>4.12</v>
      </c>
    </row>
    <row r="1430" spans="1:21" ht="15" customHeight="1" x14ac:dyDescent="0.25">
      <c r="A1430" s="2">
        <v>45320.974305555559</v>
      </c>
      <c r="B1430" t="s">
        <v>309</v>
      </c>
      <c r="C1430" t="s">
        <v>221</v>
      </c>
      <c r="D1430">
        <v>2</v>
      </c>
      <c r="E1430" t="s">
        <v>120</v>
      </c>
      <c r="F1430" t="s">
        <v>373</v>
      </c>
      <c r="G1430">
        <v>3.3132530120000001</v>
      </c>
      <c r="H1430">
        <v>0</v>
      </c>
      <c r="I1430">
        <v>3.3132530120000001</v>
      </c>
      <c r="J1430">
        <v>96.686746990000003</v>
      </c>
      <c r="K1430">
        <v>0.8</v>
      </c>
      <c r="L1430">
        <v>0.3</v>
      </c>
      <c r="M1430">
        <v>0.7</v>
      </c>
      <c r="N1430">
        <v>642</v>
      </c>
      <c r="O1430">
        <v>22</v>
      </c>
      <c r="P1430">
        <v>0</v>
      </c>
      <c r="Q1430">
        <v>3.31</v>
      </c>
      <c r="R1430" t="s">
        <v>235</v>
      </c>
      <c r="S1430">
        <v>0.14000000000000001</v>
      </c>
      <c r="T1430">
        <v>0.14000000000000001</v>
      </c>
    </row>
    <row r="1431" spans="1:21" ht="15" customHeight="1" x14ac:dyDescent="0.25">
      <c r="A1431" t="s">
        <v>19</v>
      </c>
      <c r="B1431" t="s">
        <v>20</v>
      </c>
      <c r="C1431" t="s">
        <v>320</v>
      </c>
      <c r="D1431">
        <v>3</v>
      </c>
      <c r="E1431" t="s">
        <v>120</v>
      </c>
      <c r="F1431" t="s">
        <v>373</v>
      </c>
      <c r="G1431">
        <v>0</v>
      </c>
      <c r="H1431">
        <v>0</v>
      </c>
      <c r="I1431">
        <f>100-J1431</f>
        <v>0</v>
      </c>
      <c r="J1431">
        <f>100-G1431-H1431</f>
        <v>100</v>
      </c>
      <c r="K1431" t="s">
        <v>19</v>
      </c>
      <c r="L1431" t="s">
        <v>19</v>
      </c>
      <c r="M1431" t="s">
        <v>19</v>
      </c>
      <c r="N1431" t="s">
        <v>19</v>
      </c>
      <c r="O1431" t="s">
        <v>19</v>
      </c>
      <c r="P1431" t="s">
        <v>19</v>
      </c>
      <c r="Q1431">
        <f>I1431</f>
        <v>0</v>
      </c>
      <c r="R1431" t="s">
        <v>19</v>
      </c>
      <c r="S1431" t="s">
        <v>19</v>
      </c>
      <c r="T1431" t="s">
        <v>19</v>
      </c>
    </row>
    <row r="1432" spans="1:21" ht="15" customHeight="1" x14ac:dyDescent="0.25">
      <c r="A1432" s="2">
        <v>45323.58488425926</v>
      </c>
      <c r="B1432" t="s">
        <v>309</v>
      </c>
      <c r="C1432" t="s">
        <v>322</v>
      </c>
      <c r="D1432">
        <v>3</v>
      </c>
      <c r="E1432" t="s">
        <v>120</v>
      </c>
      <c r="F1432" t="s">
        <v>373</v>
      </c>
      <c r="G1432">
        <f>(O1432/(N1432+O1432+P1432))*100</f>
        <v>4.5857988165680474</v>
      </c>
      <c r="H1432">
        <f>(P1432/(O1432+P1432+N1432))*100</f>
        <v>0</v>
      </c>
      <c r="I1432">
        <f>((O1432+P1432)/(P1432+O1432+N1432))*100</f>
        <v>4.5857988165680474</v>
      </c>
      <c r="J1432">
        <f>(N1432/(P1432+O1432+N1432))*100</f>
        <v>95.414201183431956</v>
      </c>
      <c r="K1432">
        <v>0.8</v>
      </c>
      <c r="L1432">
        <v>0.3</v>
      </c>
      <c r="M1432">
        <v>0.7</v>
      </c>
      <c r="N1432">
        <v>645</v>
      </c>
      <c r="O1432">
        <v>31</v>
      </c>
      <c r="P1432">
        <v>0</v>
      </c>
      <c r="Q1432">
        <v>4.59</v>
      </c>
      <c r="R1432" t="s">
        <v>341</v>
      </c>
      <c r="S1432">
        <v>2.67</v>
      </c>
      <c r="T1432">
        <v>3.03</v>
      </c>
      <c r="U1432">
        <v>14</v>
      </c>
    </row>
    <row r="1433" spans="1:21" ht="15" customHeight="1" x14ac:dyDescent="0.25">
      <c r="A1433" s="2">
        <v>45323.588240740741</v>
      </c>
      <c r="B1433" t="s">
        <v>309</v>
      </c>
      <c r="C1433" t="s">
        <v>322</v>
      </c>
      <c r="D1433">
        <v>3</v>
      </c>
      <c r="E1433" t="s">
        <v>120</v>
      </c>
      <c r="F1433" t="s">
        <v>373</v>
      </c>
      <c r="G1433">
        <f>(O1433/(N1433+O1433+P1433))*100</f>
        <v>4.8672566371681416</v>
      </c>
      <c r="H1433">
        <f>(P1433/(O1433+P1433+N1433))*100</f>
        <v>0</v>
      </c>
      <c r="I1433">
        <f>((O1433+P1433)/(P1433+O1433+N1433))*100</f>
        <v>4.8672566371681416</v>
      </c>
      <c r="J1433">
        <f>(N1433/(P1433+O1433+N1433))*100</f>
        <v>95.13274336283186</v>
      </c>
      <c r="K1433">
        <v>0.7</v>
      </c>
      <c r="L1433">
        <v>0.3</v>
      </c>
      <c r="M1433">
        <v>0.7</v>
      </c>
      <c r="N1433">
        <v>645</v>
      </c>
      <c r="O1433">
        <v>33</v>
      </c>
      <c r="P1433">
        <v>0</v>
      </c>
      <c r="Q1433">
        <v>4.87</v>
      </c>
      <c r="R1433" t="s">
        <v>337</v>
      </c>
      <c r="S1433">
        <v>2.67</v>
      </c>
      <c r="T1433">
        <v>3.03</v>
      </c>
      <c r="U1433">
        <v>12</v>
      </c>
    </row>
    <row r="1434" spans="1:21" ht="15" customHeight="1" x14ac:dyDescent="0.25">
      <c r="A1434" s="2">
        <v>45325.15415509259</v>
      </c>
      <c r="B1434" t="s">
        <v>309</v>
      </c>
      <c r="C1434" t="s">
        <v>368</v>
      </c>
      <c r="D1434">
        <v>2</v>
      </c>
      <c r="E1434" t="s">
        <v>120</v>
      </c>
      <c r="F1434" t="s">
        <v>373</v>
      </c>
      <c r="G1434">
        <f>(O1434/(N1434+O1434+P1434))*100</f>
        <v>4.7328244274809164</v>
      </c>
      <c r="H1434">
        <f>(P1434/(O1434+P1434+N1434))*100</f>
        <v>0</v>
      </c>
      <c r="I1434">
        <v>4.7300000000000004</v>
      </c>
      <c r="J1434">
        <f>(N1434/(P1434+O1434+N1434))*100</f>
        <v>95.267175572519079</v>
      </c>
      <c r="K1434">
        <v>0.8</v>
      </c>
      <c r="L1434">
        <v>0.3</v>
      </c>
      <c r="M1434">
        <v>0.7</v>
      </c>
      <c r="N1434">
        <v>624</v>
      </c>
      <c r="O1434">
        <v>31</v>
      </c>
      <c r="P1434">
        <v>0</v>
      </c>
      <c r="Q1434">
        <v>4.7300000000000004</v>
      </c>
      <c r="R1434" t="s">
        <v>346</v>
      </c>
      <c r="S1434">
        <v>0.19</v>
      </c>
      <c r="T1434">
        <v>0.2</v>
      </c>
    </row>
    <row r="1435" spans="1:21" ht="15" customHeight="1" x14ac:dyDescent="0.25">
      <c r="A1435" t="s">
        <v>19</v>
      </c>
      <c r="B1435" t="s">
        <v>20</v>
      </c>
      <c r="C1435" t="s">
        <v>308</v>
      </c>
      <c r="D1435">
        <v>3</v>
      </c>
      <c r="E1435" t="s">
        <v>121</v>
      </c>
      <c r="F1435" t="s">
        <v>388</v>
      </c>
      <c r="G1435">
        <v>15</v>
      </c>
      <c r="H1435">
        <v>25</v>
      </c>
      <c r="I1435">
        <f>G1435+H1435</f>
        <v>40</v>
      </c>
      <c r="J1435">
        <f>100-G1435-H1435</f>
        <v>60</v>
      </c>
      <c r="K1435" t="s">
        <v>19</v>
      </c>
      <c r="L1435" t="s">
        <v>19</v>
      </c>
      <c r="M1435" t="s">
        <v>19</v>
      </c>
      <c r="N1435" t="s">
        <v>19</v>
      </c>
      <c r="O1435" t="s">
        <v>19</v>
      </c>
      <c r="P1435" t="s">
        <v>19</v>
      </c>
      <c r="Q1435">
        <f>I1435</f>
        <v>40</v>
      </c>
      <c r="R1435" t="s">
        <v>19</v>
      </c>
      <c r="S1435" t="s">
        <v>19</v>
      </c>
      <c r="T1435" t="s">
        <v>19</v>
      </c>
    </row>
    <row r="1436" spans="1:21" ht="15" customHeight="1" x14ac:dyDescent="0.25">
      <c r="A1436" t="s">
        <v>19</v>
      </c>
      <c r="B1436" t="s">
        <v>20</v>
      </c>
      <c r="C1436" t="s">
        <v>22</v>
      </c>
      <c r="D1436">
        <v>3</v>
      </c>
      <c r="E1436" t="s">
        <v>121</v>
      </c>
      <c r="F1436" t="s">
        <v>388</v>
      </c>
      <c r="G1436">
        <v>20</v>
      </c>
      <c r="H1436">
        <v>30</v>
      </c>
      <c r="I1436">
        <f>G1436+H1436</f>
        <v>50</v>
      </c>
      <c r="J1436">
        <f>100-G1436-H1436</f>
        <v>50</v>
      </c>
      <c r="K1436" t="s">
        <v>19</v>
      </c>
      <c r="L1436" t="s">
        <v>19</v>
      </c>
      <c r="M1436" t="s">
        <v>19</v>
      </c>
      <c r="N1436" t="s">
        <v>19</v>
      </c>
      <c r="O1436" t="s">
        <v>19</v>
      </c>
      <c r="P1436" t="s">
        <v>19</v>
      </c>
      <c r="Q1436">
        <f>I1436</f>
        <v>50</v>
      </c>
      <c r="R1436" t="s">
        <v>19</v>
      </c>
      <c r="S1436" t="s">
        <v>19</v>
      </c>
      <c r="T1436" t="s">
        <v>19</v>
      </c>
    </row>
    <row r="1437" spans="1:21" ht="15" customHeight="1" x14ac:dyDescent="0.25">
      <c r="A1437" t="s">
        <v>19</v>
      </c>
      <c r="B1437" t="s">
        <v>20</v>
      </c>
      <c r="C1437" t="s">
        <v>305</v>
      </c>
      <c r="D1437">
        <v>3</v>
      </c>
      <c r="E1437" t="s">
        <v>121</v>
      </c>
      <c r="F1437" t="s">
        <v>388</v>
      </c>
      <c r="G1437">
        <v>20</v>
      </c>
      <c r="H1437">
        <v>20</v>
      </c>
      <c r="I1437">
        <f>G1437+H1437</f>
        <v>40</v>
      </c>
      <c r="J1437">
        <f>100-G1437-H1437</f>
        <v>60</v>
      </c>
      <c r="K1437" t="s">
        <v>19</v>
      </c>
      <c r="L1437" t="s">
        <v>19</v>
      </c>
      <c r="M1437" t="s">
        <v>19</v>
      </c>
      <c r="N1437" t="s">
        <v>19</v>
      </c>
      <c r="O1437" t="s">
        <v>19</v>
      </c>
      <c r="P1437" t="s">
        <v>19</v>
      </c>
      <c r="Q1437">
        <f>I1437</f>
        <v>40</v>
      </c>
      <c r="R1437" t="s">
        <v>19</v>
      </c>
      <c r="S1437" t="s">
        <v>19</v>
      </c>
      <c r="T1437" t="s">
        <v>19</v>
      </c>
    </row>
    <row r="1438" spans="1:21" ht="15" customHeight="1" x14ac:dyDescent="0.25">
      <c r="A1438" t="s">
        <v>19</v>
      </c>
      <c r="B1438" t="s">
        <v>20</v>
      </c>
      <c r="C1438" t="s">
        <v>307</v>
      </c>
      <c r="D1438">
        <v>3</v>
      </c>
      <c r="E1438" t="s">
        <v>121</v>
      </c>
      <c r="F1438" t="s">
        <v>388</v>
      </c>
      <c r="G1438">
        <v>10</v>
      </c>
      <c r="H1438">
        <v>5</v>
      </c>
      <c r="I1438">
        <f>G1438+H1438</f>
        <v>15</v>
      </c>
      <c r="J1438">
        <f>100-G1438-H1438</f>
        <v>85</v>
      </c>
      <c r="K1438" t="s">
        <v>19</v>
      </c>
      <c r="L1438" t="s">
        <v>19</v>
      </c>
      <c r="M1438" t="s">
        <v>19</v>
      </c>
      <c r="N1438" t="s">
        <v>19</v>
      </c>
      <c r="O1438" t="s">
        <v>19</v>
      </c>
      <c r="P1438" t="s">
        <v>19</v>
      </c>
      <c r="Q1438">
        <f>I1438</f>
        <v>15</v>
      </c>
      <c r="R1438" t="s">
        <v>19</v>
      </c>
      <c r="S1438" t="s">
        <v>19</v>
      </c>
      <c r="T1438" t="s">
        <v>19</v>
      </c>
    </row>
    <row r="1439" spans="1:21" ht="15" customHeight="1" x14ac:dyDescent="0.25">
      <c r="A1439" s="2">
        <v>45253.587500000001</v>
      </c>
      <c r="B1439" t="s">
        <v>309</v>
      </c>
      <c r="C1439" t="s">
        <v>213</v>
      </c>
      <c r="D1439">
        <v>3</v>
      </c>
      <c r="E1439" t="s">
        <v>121</v>
      </c>
      <c r="F1439" t="s">
        <v>388</v>
      </c>
      <c r="G1439">
        <v>4.397394137</v>
      </c>
      <c r="H1439">
        <v>17.263843649999998</v>
      </c>
      <c r="I1439">
        <v>21.661237790000001</v>
      </c>
      <c r="J1439">
        <v>78.338762209999999</v>
      </c>
      <c r="K1439">
        <v>0.8</v>
      </c>
      <c r="L1439">
        <v>0.2</v>
      </c>
      <c r="M1439">
        <v>0.7</v>
      </c>
      <c r="N1439">
        <v>481</v>
      </c>
      <c r="O1439">
        <v>27</v>
      </c>
      <c r="P1439">
        <v>106</v>
      </c>
      <c r="Q1439">
        <v>21.66</v>
      </c>
      <c r="R1439" t="s">
        <v>240</v>
      </c>
      <c r="S1439">
        <v>2.7</v>
      </c>
      <c r="T1439">
        <v>3.15</v>
      </c>
    </row>
    <row r="1440" spans="1:21" ht="15" customHeight="1" x14ac:dyDescent="0.25">
      <c r="A1440" s="2">
        <v>45253.859027777777</v>
      </c>
      <c r="B1440" t="s">
        <v>309</v>
      </c>
      <c r="C1440" t="s">
        <v>215</v>
      </c>
      <c r="D1440">
        <v>2</v>
      </c>
      <c r="E1440" t="s">
        <v>121</v>
      </c>
      <c r="F1440" t="s">
        <v>388</v>
      </c>
      <c r="G1440">
        <v>13.05031447</v>
      </c>
      <c r="H1440">
        <v>0</v>
      </c>
      <c r="I1440">
        <v>13.05031447</v>
      </c>
      <c r="J1440">
        <v>86.949685529999996</v>
      </c>
      <c r="K1440">
        <v>0.8</v>
      </c>
      <c r="L1440">
        <v>0.2</v>
      </c>
      <c r="M1440">
        <v>0.7</v>
      </c>
      <c r="N1440">
        <v>553</v>
      </c>
      <c r="O1440">
        <v>83</v>
      </c>
      <c r="P1440">
        <v>0</v>
      </c>
      <c r="Q1440">
        <v>13.05</v>
      </c>
      <c r="R1440" t="s">
        <v>224</v>
      </c>
      <c r="S1440">
        <v>0.39</v>
      </c>
      <c r="T1440">
        <v>0.42</v>
      </c>
    </row>
    <row r="1441" spans="1:21" ht="15" customHeight="1" x14ac:dyDescent="0.25">
      <c r="A1441" s="2">
        <v>45254.02847222222</v>
      </c>
      <c r="B1441" t="s">
        <v>309</v>
      </c>
      <c r="C1441" t="s">
        <v>217</v>
      </c>
      <c r="D1441">
        <v>2</v>
      </c>
      <c r="E1441" t="s">
        <v>121</v>
      </c>
      <c r="F1441" t="s">
        <v>388</v>
      </c>
      <c r="G1441">
        <v>22.644628099999998</v>
      </c>
      <c r="H1441">
        <v>0</v>
      </c>
      <c r="I1441">
        <v>22.644628099999998</v>
      </c>
      <c r="J1441">
        <v>77.355371899999994</v>
      </c>
      <c r="K1441">
        <v>0.8</v>
      </c>
      <c r="L1441">
        <v>0.2</v>
      </c>
      <c r="M1441">
        <v>0.7</v>
      </c>
      <c r="N1441">
        <v>468</v>
      </c>
      <c r="O1441">
        <v>137</v>
      </c>
      <c r="P1441">
        <v>0</v>
      </c>
      <c r="Q1441">
        <v>22.64</v>
      </c>
      <c r="R1441" t="s">
        <v>229</v>
      </c>
      <c r="S1441">
        <v>0.56999999999999995</v>
      </c>
      <c r="T1441">
        <v>0.61</v>
      </c>
    </row>
    <row r="1442" spans="1:21" ht="15" customHeight="1" x14ac:dyDescent="0.25">
      <c r="A1442" s="2">
        <v>45316.538888888892</v>
      </c>
      <c r="B1442" t="s">
        <v>309</v>
      </c>
      <c r="C1442" t="s">
        <v>219</v>
      </c>
      <c r="D1442">
        <v>3</v>
      </c>
      <c r="E1442" t="s">
        <v>121</v>
      </c>
      <c r="F1442" t="s">
        <v>388</v>
      </c>
      <c r="G1442">
        <v>2.717391304</v>
      </c>
      <c r="H1442">
        <v>19.927536230000001</v>
      </c>
      <c r="I1442">
        <v>22.644927540000001</v>
      </c>
      <c r="J1442">
        <v>77.355072460000002</v>
      </c>
      <c r="K1442">
        <v>0.8</v>
      </c>
      <c r="L1442">
        <v>0.2</v>
      </c>
      <c r="M1442">
        <v>0.7</v>
      </c>
      <c r="N1442">
        <v>427</v>
      </c>
      <c r="O1442">
        <v>15</v>
      </c>
      <c r="P1442">
        <v>110</v>
      </c>
      <c r="Q1442">
        <v>22.64</v>
      </c>
      <c r="R1442" t="s">
        <v>225</v>
      </c>
      <c r="S1442">
        <v>3.08</v>
      </c>
      <c r="T1442">
        <v>4.47</v>
      </c>
    </row>
    <row r="1443" spans="1:21" ht="15" customHeight="1" x14ac:dyDescent="0.25">
      <c r="A1443" s="2">
        <v>45320.879166666666</v>
      </c>
      <c r="B1443" t="s">
        <v>309</v>
      </c>
      <c r="C1443" t="s">
        <v>221</v>
      </c>
      <c r="D1443">
        <v>2</v>
      </c>
      <c r="E1443" t="s">
        <v>121</v>
      </c>
      <c r="F1443" t="s">
        <v>388</v>
      </c>
      <c r="G1443">
        <v>36.496350360000001</v>
      </c>
      <c r="H1443">
        <v>0</v>
      </c>
      <c r="I1443">
        <v>36.496350360000001</v>
      </c>
      <c r="J1443">
        <v>63.503649639999999</v>
      </c>
      <c r="K1443">
        <v>0.8</v>
      </c>
      <c r="L1443">
        <v>0.3</v>
      </c>
      <c r="M1443">
        <v>0.7</v>
      </c>
      <c r="N1443">
        <v>348</v>
      </c>
      <c r="O1443">
        <v>200</v>
      </c>
      <c r="P1443">
        <v>0</v>
      </c>
      <c r="Q1443">
        <v>36.5</v>
      </c>
      <c r="R1443" t="s">
        <v>241</v>
      </c>
      <c r="S1443">
        <v>1.04</v>
      </c>
      <c r="T1443">
        <v>1.1399999999999999</v>
      </c>
    </row>
    <row r="1444" spans="1:21" ht="15" customHeight="1" x14ac:dyDescent="0.25">
      <c r="A1444" t="s">
        <v>19</v>
      </c>
      <c r="B1444" t="s">
        <v>20</v>
      </c>
      <c r="C1444" t="s">
        <v>306</v>
      </c>
      <c r="D1444">
        <v>3</v>
      </c>
      <c r="E1444" t="s">
        <v>121</v>
      </c>
      <c r="F1444" t="s">
        <v>388</v>
      </c>
      <c r="G1444">
        <v>30</v>
      </c>
      <c r="H1444">
        <v>30</v>
      </c>
      <c r="I1444">
        <v>60</v>
      </c>
      <c r="J1444">
        <v>40</v>
      </c>
      <c r="K1444" t="s">
        <v>19</v>
      </c>
      <c r="L1444" t="s">
        <v>19</v>
      </c>
      <c r="M1444" t="s">
        <v>19</v>
      </c>
      <c r="N1444" t="s">
        <v>19</v>
      </c>
      <c r="O1444" t="s">
        <v>19</v>
      </c>
      <c r="P1444" t="s">
        <v>19</v>
      </c>
      <c r="Q1444">
        <f>I1444</f>
        <v>60</v>
      </c>
      <c r="R1444" t="s">
        <v>19</v>
      </c>
      <c r="S1444" t="s">
        <v>19</v>
      </c>
      <c r="T1444" t="s">
        <v>19</v>
      </c>
    </row>
    <row r="1445" spans="1:21" ht="15" customHeight="1" x14ac:dyDescent="0.25">
      <c r="A1445" t="s">
        <v>19</v>
      </c>
      <c r="B1445" t="s">
        <v>20</v>
      </c>
      <c r="C1445" t="s">
        <v>320</v>
      </c>
      <c r="D1445">
        <v>3</v>
      </c>
      <c r="E1445" t="s">
        <v>121</v>
      </c>
      <c r="F1445" t="s">
        <v>388</v>
      </c>
      <c r="G1445">
        <v>10</v>
      </c>
      <c r="H1445">
        <v>25</v>
      </c>
      <c r="I1445">
        <f>100-J1445</f>
        <v>35</v>
      </c>
      <c r="J1445">
        <f>100-G1445-H1445</f>
        <v>65</v>
      </c>
      <c r="K1445" t="s">
        <v>19</v>
      </c>
      <c r="L1445" t="s">
        <v>19</v>
      </c>
      <c r="M1445" t="s">
        <v>19</v>
      </c>
      <c r="N1445" t="s">
        <v>19</v>
      </c>
      <c r="O1445" t="s">
        <v>19</v>
      </c>
      <c r="P1445" t="s">
        <v>19</v>
      </c>
      <c r="Q1445">
        <f>I1445</f>
        <v>35</v>
      </c>
      <c r="R1445" t="s">
        <v>19</v>
      </c>
      <c r="S1445" t="s">
        <v>19</v>
      </c>
      <c r="T1445" t="s">
        <v>19</v>
      </c>
    </row>
    <row r="1446" spans="1:21" ht="15" customHeight="1" x14ac:dyDescent="0.25">
      <c r="A1446" s="2">
        <v>45323.597453703704</v>
      </c>
      <c r="B1446" t="s">
        <v>309</v>
      </c>
      <c r="C1446" t="s">
        <v>322</v>
      </c>
      <c r="D1446">
        <v>3</v>
      </c>
      <c r="E1446" t="s">
        <v>121</v>
      </c>
      <c r="F1446" t="s">
        <v>388</v>
      </c>
      <c r="G1446">
        <f>(O1446/(N1446+O1446+P1446))*100</f>
        <v>13.761467889908257</v>
      </c>
      <c r="H1446">
        <f>(P1446/(O1446+P1446+N1446))*100</f>
        <v>13.211009174311927</v>
      </c>
      <c r="I1446">
        <v>26.97</v>
      </c>
      <c r="J1446">
        <f>(N1446/(P1446+O1446+N1446))*100</f>
        <v>73.027522935779814</v>
      </c>
      <c r="K1446">
        <v>0.8</v>
      </c>
      <c r="L1446">
        <v>0.3</v>
      </c>
      <c r="M1446">
        <v>0.7</v>
      </c>
      <c r="N1446">
        <v>398</v>
      </c>
      <c r="O1446">
        <v>75</v>
      </c>
      <c r="P1446">
        <v>72</v>
      </c>
      <c r="Q1446">
        <v>26.97</v>
      </c>
      <c r="R1446" t="s">
        <v>260</v>
      </c>
      <c r="S1446">
        <v>2.4900000000000002</v>
      </c>
      <c r="T1446">
        <v>3.43</v>
      </c>
      <c r="U1446">
        <v>82</v>
      </c>
    </row>
    <row r="1447" spans="1:21" ht="15" customHeight="1" x14ac:dyDescent="0.25">
      <c r="A1447" s="2">
        <v>45323.595057870371</v>
      </c>
      <c r="B1447" t="s">
        <v>309</v>
      </c>
      <c r="C1447" t="s">
        <v>322</v>
      </c>
      <c r="D1447">
        <v>3</v>
      </c>
      <c r="E1447" t="s">
        <v>121</v>
      </c>
      <c r="F1447" t="s">
        <v>388</v>
      </c>
      <c r="G1447">
        <f>(O1447/(N1447+O1447+P1447))*100</f>
        <v>16.370106761565836</v>
      </c>
      <c r="H1447">
        <f>(P1447/(O1447+P1447+N1447))*100</f>
        <v>14.23487544483986</v>
      </c>
      <c r="I1447">
        <v>30.6</v>
      </c>
      <c r="J1447">
        <f>(N1447/(P1447+O1447+N1447))*100</f>
        <v>69.395017793594306</v>
      </c>
      <c r="K1447">
        <v>0.7</v>
      </c>
      <c r="L1447">
        <v>0.3</v>
      </c>
      <c r="M1447">
        <v>0.7</v>
      </c>
      <c r="N1447">
        <v>390</v>
      </c>
      <c r="O1447">
        <v>92</v>
      </c>
      <c r="P1447">
        <v>80</v>
      </c>
      <c r="Q1447">
        <v>30.6</v>
      </c>
      <c r="R1447" t="s">
        <v>343</v>
      </c>
      <c r="S1447">
        <v>2.4900000000000002</v>
      </c>
      <c r="T1447">
        <v>3.43</v>
      </c>
      <c r="U1447">
        <v>65</v>
      </c>
    </row>
    <row r="1448" spans="1:21" ht="15" customHeight="1" x14ac:dyDescent="0.25">
      <c r="A1448" s="2">
        <v>45325.015636574077</v>
      </c>
      <c r="B1448" t="s">
        <v>309</v>
      </c>
      <c r="C1448" t="s">
        <v>368</v>
      </c>
      <c r="D1448">
        <v>2</v>
      </c>
      <c r="E1448" t="s">
        <v>121</v>
      </c>
      <c r="F1448" t="s">
        <v>388</v>
      </c>
      <c r="G1448">
        <f>(O1448/(N1448+O1448+P1448))*100</f>
        <v>38.918918918918919</v>
      </c>
      <c r="H1448">
        <f>(P1448/(O1448+P1448+N1448))*100</f>
        <v>0</v>
      </c>
      <c r="I1448">
        <v>38.92</v>
      </c>
      <c r="J1448">
        <f>(N1448/(P1448+O1448+N1448))*100</f>
        <v>61.081081081081081</v>
      </c>
      <c r="K1448">
        <v>0.8</v>
      </c>
      <c r="L1448">
        <v>0.3</v>
      </c>
      <c r="M1448">
        <v>0.7</v>
      </c>
      <c r="N1448">
        <v>339</v>
      </c>
      <c r="O1448">
        <v>216</v>
      </c>
      <c r="P1448">
        <v>0</v>
      </c>
      <c r="Q1448">
        <v>38.92</v>
      </c>
      <c r="R1448" t="s">
        <v>248</v>
      </c>
      <c r="S1448">
        <v>1.01</v>
      </c>
      <c r="T1448">
        <v>1.1100000000000001</v>
      </c>
    </row>
    <row r="1449" spans="1:21" ht="15" customHeight="1" x14ac:dyDescent="0.25">
      <c r="A1449" t="s">
        <v>19</v>
      </c>
      <c r="B1449" t="s">
        <v>20</v>
      </c>
      <c r="C1449" t="s">
        <v>308</v>
      </c>
      <c r="D1449">
        <v>3</v>
      </c>
      <c r="E1449" t="s">
        <v>122</v>
      </c>
      <c r="F1449" t="s">
        <v>388</v>
      </c>
      <c r="G1449">
        <v>10</v>
      </c>
      <c r="H1449">
        <v>35</v>
      </c>
      <c r="I1449">
        <f>G1449+H1449</f>
        <v>45</v>
      </c>
      <c r="J1449">
        <f>100-G1449-H1449</f>
        <v>55</v>
      </c>
      <c r="K1449" t="s">
        <v>19</v>
      </c>
      <c r="L1449" t="s">
        <v>19</v>
      </c>
      <c r="M1449" t="s">
        <v>19</v>
      </c>
      <c r="N1449" t="s">
        <v>19</v>
      </c>
      <c r="O1449" t="s">
        <v>19</v>
      </c>
      <c r="P1449" t="s">
        <v>19</v>
      </c>
      <c r="Q1449">
        <f>I1449</f>
        <v>45</v>
      </c>
      <c r="R1449" t="s">
        <v>19</v>
      </c>
      <c r="S1449" t="s">
        <v>19</v>
      </c>
      <c r="T1449" t="s">
        <v>19</v>
      </c>
    </row>
    <row r="1450" spans="1:21" ht="15" customHeight="1" x14ac:dyDescent="0.25">
      <c r="A1450" t="s">
        <v>19</v>
      </c>
      <c r="B1450" t="s">
        <v>20</v>
      </c>
      <c r="C1450" t="s">
        <v>22</v>
      </c>
      <c r="D1450">
        <v>3</v>
      </c>
      <c r="E1450" t="s">
        <v>122</v>
      </c>
      <c r="F1450" t="s">
        <v>388</v>
      </c>
      <c r="G1450">
        <v>10</v>
      </c>
      <c r="H1450">
        <v>25</v>
      </c>
      <c r="I1450">
        <f>G1450+H1450</f>
        <v>35</v>
      </c>
      <c r="J1450">
        <f>100-G1450-H1450</f>
        <v>65</v>
      </c>
      <c r="K1450" t="s">
        <v>19</v>
      </c>
      <c r="L1450" t="s">
        <v>19</v>
      </c>
      <c r="M1450" t="s">
        <v>19</v>
      </c>
      <c r="N1450" t="s">
        <v>19</v>
      </c>
      <c r="O1450" t="s">
        <v>19</v>
      </c>
      <c r="P1450" t="s">
        <v>19</v>
      </c>
      <c r="Q1450">
        <f>I1450</f>
        <v>35</v>
      </c>
      <c r="R1450" t="s">
        <v>19</v>
      </c>
      <c r="S1450" t="s">
        <v>19</v>
      </c>
      <c r="T1450" t="s">
        <v>19</v>
      </c>
    </row>
    <row r="1451" spans="1:21" ht="15" customHeight="1" x14ac:dyDescent="0.25">
      <c r="A1451" t="s">
        <v>19</v>
      </c>
      <c r="B1451" t="s">
        <v>20</v>
      </c>
      <c r="C1451" t="s">
        <v>305</v>
      </c>
      <c r="D1451">
        <v>3</v>
      </c>
      <c r="E1451" t="s">
        <v>122</v>
      </c>
      <c r="F1451" t="s">
        <v>388</v>
      </c>
      <c r="G1451">
        <v>20</v>
      </c>
      <c r="H1451">
        <v>20</v>
      </c>
      <c r="I1451">
        <f>G1451+H1451</f>
        <v>40</v>
      </c>
      <c r="J1451">
        <f>100-G1451-H1451</f>
        <v>60</v>
      </c>
      <c r="K1451" t="s">
        <v>19</v>
      </c>
      <c r="L1451" t="s">
        <v>19</v>
      </c>
      <c r="M1451" t="s">
        <v>19</v>
      </c>
      <c r="N1451" t="s">
        <v>19</v>
      </c>
      <c r="O1451" t="s">
        <v>19</v>
      </c>
      <c r="P1451" t="s">
        <v>19</v>
      </c>
      <c r="Q1451">
        <f>I1451</f>
        <v>40</v>
      </c>
      <c r="R1451" t="s">
        <v>19</v>
      </c>
      <c r="S1451" t="s">
        <v>19</v>
      </c>
      <c r="T1451" t="s">
        <v>19</v>
      </c>
    </row>
    <row r="1452" spans="1:21" ht="15" customHeight="1" x14ac:dyDescent="0.25">
      <c r="A1452" t="s">
        <v>19</v>
      </c>
      <c r="B1452" t="s">
        <v>20</v>
      </c>
      <c r="C1452" t="s">
        <v>307</v>
      </c>
      <c r="D1452">
        <v>3</v>
      </c>
      <c r="E1452" t="s">
        <v>122</v>
      </c>
      <c r="F1452" t="s">
        <v>388</v>
      </c>
      <c r="G1452">
        <v>15</v>
      </c>
      <c r="H1452">
        <v>15</v>
      </c>
      <c r="I1452">
        <f>G1452+H1452</f>
        <v>30</v>
      </c>
      <c r="J1452">
        <f>100-G1452-H1452</f>
        <v>70</v>
      </c>
      <c r="K1452" t="s">
        <v>19</v>
      </c>
      <c r="L1452" t="s">
        <v>19</v>
      </c>
      <c r="M1452" t="s">
        <v>19</v>
      </c>
      <c r="N1452" t="s">
        <v>19</v>
      </c>
      <c r="O1452" t="s">
        <v>19</v>
      </c>
      <c r="P1452" t="s">
        <v>19</v>
      </c>
      <c r="Q1452">
        <f>I1452</f>
        <v>30</v>
      </c>
      <c r="R1452" t="s">
        <v>19</v>
      </c>
      <c r="S1452" t="s">
        <v>19</v>
      </c>
      <c r="T1452" t="s">
        <v>19</v>
      </c>
    </row>
    <row r="1453" spans="1:21" ht="15" customHeight="1" x14ac:dyDescent="0.25">
      <c r="A1453" s="2">
        <v>45253.588888888888</v>
      </c>
      <c r="B1453" t="s">
        <v>309</v>
      </c>
      <c r="C1453" t="s">
        <v>213</v>
      </c>
      <c r="D1453">
        <v>3</v>
      </c>
      <c r="E1453" t="s">
        <v>122</v>
      </c>
      <c r="F1453" t="s">
        <v>388</v>
      </c>
      <c r="G1453">
        <v>5.2032520330000001</v>
      </c>
      <c r="H1453">
        <v>19.18699187</v>
      </c>
      <c r="I1453">
        <v>24.390243900000002</v>
      </c>
      <c r="J1453">
        <v>75.609756099999998</v>
      </c>
      <c r="K1453">
        <v>0.8</v>
      </c>
      <c r="L1453">
        <v>0.2</v>
      </c>
      <c r="M1453">
        <v>0.7</v>
      </c>
      <c r="N1453">
        <v>465</v>
      </c>
      <c r="O1453">
        <v>32</v>
      </c>
      <c r="P1453">
        <v>118</v>
      </c>
      <c r="Q1453">
        <v>24.39</v>
      </c>
      <c r="R1453" t="s">
        <v>253</v>
      </c>
      <c r="S1453">
        <v>2.74</v>
      </c>
      <c r="T1453">
        <v>3.32</v>
      </c>
    </row>
    <row r="1454" spans="1:21" ht="15" customHeight="1" x14ac:dyDescent="0.25">
      <c r="A1454" s="2">
        <v>45253.86041666667</v>
      </c>
      <c r="B1454" t="s">
        <v>309</v>
      </c>
      <c r="C1454" t="s">
        <v>215</v>
      </c>
      <c r="D1454">
        <v>2</v>
      </c>
      <c r="E1454" t="s">
        <v>122</v>
      </c>
      <c r="F1454" t="s">
        <v>388</v>
      </c>
      <c r="G1454">
        <v>9.1044776120000002</v>
      </c>
      <c r="H1454">
        <v>0</v>
      </c>
      <c r="I1454">
        <v>9.1044776120000002</v>
      </c>
      <c r="J1454">
        <v>90.895522389999996</v>
      </c>
      <c r="K1454">
        <v>0.8</v>
      </c>
      <c r="L1454">
        <v>0.2</v>
      </c>
      <c r="M1454">
        <v>0.7</v>
      </c>
      <c r="N1454">
        <v>609</v>
      </c>
      <c r="O1454">
        <v>61</v>
      </c>
      <c r="P1454">
        <v>0</v>
      </c>
      <c r="Q1454">
        <v>9.1</v>
      </c>
      <c r="R1454" t="s">
        <v>224</v>
      </c>
      <c r="S1454">
        <v>0.32</v>
      </c>
      <c r="T1454">
        <v>0.35</v>
      </c>
    </row>
    <row r="1455" spans="1:21" ht="15" customHeight="1" x14ac:dyDescent="0.25">
      <c r="A1455" s="2">
        <v>45254.029166666667</v>
      </c>
      <c r="B1455" t="s">
        <v>309</v>
      </c>
      <c r="C1455" t="s">
        <v>217</v>
      </c>
      <c r="D1455">
        <v>2</v>
      </c>
      <c r="E1455" t="s">
        <v>122</v>
      </c>
      <c r="F1455" t="s">
        <v>388</v>
      </c>
      <c r="G1455">
        <v>19.364599089999999</v>
      </c>
      <c r="H1455">
        <v>0</v>
      </c>
      <c r="I1455">
        <v>19.364599089999999</v>
      </c>
      <c r="J1455">
        <v>80.635400910000001</v>
      </c>
      <c r="K1455">
        <v>0.8</v>
      </c>
      <c r="L1455">
        <v>0.2</v>
      </c>
      <c r="M1455">
        <v>0.7</v>
      </c>
      <c r="N1455">
        <v>533</v>
      </c>
      <c r="O1455">
        <v>128</v>
      </c>
      <c r="P1455">
        <v>0</v>
      </c>
      <c r="Q1455">
        <v>19.36</v>
      </c>
      <c r="R1455" t="s">
        <v>235</v>
      </c>
      <c r="S1455">
        <v>0.56999999999999995</v>
      </c>
      <c r="T1455">
        <v>0.61</v>
      </c>
    </row>
    <row r="1456" spans="1:21" ht="15" customHeight="1" x14ac:dyDescent="0.25">
      <c r="A1456" s="2">
        <v>45316.539583333331</v>
      </c>
      <c r="B1456" t="s">
        <v>309</v>
      </c>
      <c r="C1456" t="s">
        <v>219</v>
      </c>
      <c r="D1456">
        <v>3</v>
      </c>
      <c r="E1456" t="s">
        <v>122</v>
      </c>
      <c r="F1456" t="s">
        <v>388</v>
      </c>
      <c r="G1456">
        <v>5.1792828689999997</v>
      </c>
      <c r="H1456">
        <v>23.107569720000001</v>
      </c>
      <c r="I1456">
        <v>28.286852589999999</v>
      </c>
      <c r="J1456">
        <v>71.713147410000005</v>
      </c>
      <c r="K1456">
        <v>0.8</v>
      </c>
      <c r="L1456">
        <v>0.2</v>
      </c>
      <c r="M1456">
        <v>0.7</v>
      </c>
      <c r="N1456">
        <v>360</v>
      </c>
      <c r="O1456">
        <v>26</v>
      </c>
      <c r="P1456">
        <v>116</v>
      </c>
      <c r="Q1456">
        <v>28.29</v>
      </c>
      <c r="R1456" t="s">
        <v>235</v>
      </c>
      <c r="S1456">
        <v>3.09</v>
      </c>
      <c r="T1456">
        <v>4.55</v>
      </c>
    </row>
    <row r="1457" spans="1:21" ht="15" customHeight="1" x14ac:dyDescent="0.25">
      <c r="A1457" s="2">
        <v>45320.880555555559</v>
      </c>
      <c r="B1457" t="s">
        <v>309</v>
      </c>
      <c r="C1457" t="s">
        <v>221</v>
      </c>
      <c r="D1457">
        <v>2</v>
      </c>
      <c r="E1457" t="s">
        <v>122</v>
      </c>
      <c r="F1457" t="s">
        <v>388</v>
      </c>
      <c r="G1457">
        <v>37.369207770000003</v>
      </c>
      <c r="H1457">
        <v>0</v>
      </c>
      <c r="I1457">
        <v>37.369207770000003</v>
      </c>
      <c r="J1457">
        <v>62.630792229999997</v>
      </c>
      <c r="K1457">
        <v>0.8</v>
      </c>
      <c r="L1457">
        <v>0.3</v>
      </c>
      <c r="M1457">
        <v>0.7</v>
      </c>
      <c r="N1457">
        <v>419</v>
      </c>
      <c r="O1457">
        <v>250</v>
      </c>
      <c r="P1457">
        <v>0</v>
      </c>
      <c r="Q1457">
        <v>37.369999999999997</v>
      </c>
      <c r="R1457" t="s">
        <v>281</v>
      </c>
      <c r="S1457">
        <v>1.04</v>
      </c>
      <c r="T1457">
        <v>1.1100000000000001</v>
      </c>
    </row>
    <row r="1458" spans="1:21" ht="15" customHeight="1" x14ac:dyDescent="0.25">
      <c r="A1458" t="s">
        <v>19</v>
      </c>
      <c r="B1458" t="s">
        <v>20</v>
      </c>
      <c r="C1458" t="s">
        <v>306</v>
      </c>
      <c r="D1458">
        <v>3</v>
      </c>
      <c r="E1458" t="s">
        <v>122</v>
      </c>
      <c r="F1458" t="s">
        <v>388</v>
      </c>
      <c r="G1458">
        <v>30</v>
      </c>
      <c r="H1458">
        <v>20</v>
      </c>
      <c r="I1458">
        <v>50</v>
      </c>
      <c r="J1458">
        <v>50</v>
      </c>
      <c r="K1458" t="s">
        <v>19</v>
      </c>
      <c r="L1458" t="s">
        <v>19</v>
      </c>
      <c r="M1458" t="s">
        <v>19</v>
      </c>
      <c r="N1458" t="s">
        <v>19</v>
      </c>
      <c r="O1458" t="s">
        <v>19</v>
      </c>
      <c r="P1458" t="s">
        <v>19</v>
      </c>
      <c r="Q1458">
        <f>I1458</f>
        <v>50</v>
      </c>
      <c r="R1458" t="s">
        <v>19</v>
      </c>
      <c r="S1458" t="s">
        <v>19</v>
      </c>
      <c r="T1458" t="s">
        <v>19</v>
      </c>
    </row>
    <row r="1459" spans="1:21" ht="15" customHeight="1" x14ac:dyDescent="0.25">
      <c r="A1459" t="s">
        <v>19</v>
      </c>
      <c r="B1459" t="s">
        <v>20</v>
      </c>
      <c r="C1459" t="s">
        <v>320</v>
      </c>
      <c r="D1459">
        <v>3</v>
      </c>
      <c r="E1459" t="s">
        <v>122</v>
      </c>
      <c r="F1459" t="s">
        <v>388</v>
      </c>
      <c r="G1459">
        <v>0</v>
      </c>
      <c r="H1459">
        <v>25</v>
      </c>
      <c r="I1459">
        <f>100-J1459</f>
        <v>25</v>
      </c>
      <c r="J1459">
        <f>100-G1459-H1459</f>
        <v>75</v>
      </c>
      <c r="K1459" t="s">
        <v>19</v>
      </c>
      <c r="L1459" t="s">
        <v>19</v>
      </c>
      <c r="M1459" t="s">
        <v>19</v>
      </c>
      <c r="N1459" t="s">
        <v>19</v>
      </c>
      <c r="O1459" t="s">
        <v>19</v>
      </c>
      <c r="P1459" t="s">
        <v>19</v>
      </c>
      <c r="Q1459">
        <f>I1459</f>
        <v>25</v>
      </c>
      <c r="R1459" t="s">
        <v>19</v>
      </c>
      <c r="S1459" t="s">
        <v>19</v>
      </c>
      <c r="T1459" t="s">
        <v>19</v>
      </c>
    </row>
    <row r="1460" spans="1:21" ht="15" customHeight="1" x14ac:dyDescent="0.25">
      <c r="A1460" s="2">
        <v>45323.59888888889</v>
      </c>
      <c r="B1460" t="s">
        <v>309</v>
      </c>
      <c r="C1460" t="s">
        <v>322</v>
      </c>
      <c r="D1460">
        <v>3</v>
      </c>
      <c r="E1460" t="s">
        <v>122</v>
      </c>
      <c r="F1460" t="s">
        <v>388</v>
      </c>
      <c r="G1460">
        <f>(O1460/(N1460+O1460+P1460))*100</f>
        <v>18.59706362153344</v>
      </c>
      <c r="H1460">
        <f>(P1460/(O1460+P1460+N1460))*100</f>
        <v>11.908646003262643</v>
      </c>
      <c r="I1460">
        <v>30.51</v>
      </c>
      <c r="J1460">
        <f>(N1460/(P1460+O1460+N1460))*100</f>
        <v>69.494290375203917</v>
      </c>
      <c r="K1460">
        <v>0.8</v>
      </c>
      <c r="L1460">
        <v>0.3</v>
      </c>
      <c r="M1460">
        <v>0.7</v>
      </c>
      <c r="N1460">
        <v>426</v>
      </c>
      <c r="O1460">
        <v>114</v>
      </c>
      <c r="P1460">
        <v>73</v>
      </c>
      <c r="Q1460">
        <v>30.51</v>
      </c>
      <c r="R1460" t="s">
        <v>329</v>
      </c>
      <c r="S1460">
        <v>2.59</v>
      </c>
      <c r="T1460">
        <v>3.73</v>
      </c>
      <c r="U1460">
        <v>116</v>
      </c>
    </row>
    <row r="1461" spans="1:21" ht="15" customHeight="1" x14ac:dyDescent="0.25">
      <c r="A1461" s="2">
        <v>45323.596736111111</v>
      </c>
      <c r="B1461" t="s">
        <v>309</v>
      </c>
      <c r="C1461" t="s">
        <v>322</v>
      </c>
      <c r="D1461">
        <v>3</v>
      </c>
      <c r="E1461" t="s">
        <v>122</v>
      </c>
      <c r="F1461" t="s">
        <v>388</v>
      </c>
      <c r="G1461">
        <f>(O1461/(N1461+O1461+P1461))*100</f>
        <v>22.274143302180686</v>
      </c>
      <c r="H1461">
        <f>(P1461/(O1461+P1461+N1461))*100</f>
        <v>13.395638629283487</v>
      </c>
      <c r="I1461">
        <v>35.67</v>
      </c>
      <c r="J1461">
        <f>(N1461/(P1461+O1461+N1461))*100</f>
        <v>64.330218068535828</v>
      </c>
      <c r="K1461">
        <v>0.7</v>
      </c>
      <c r="L1461">
        <v>0.3</v>
      </c>
      <c r="M1461">
        <v>0.7</v>
      </c>
      <c r="N1461">
        <v>413</v>
      </c>
      <c r="O1461">
        <v>143</v>
      </c>
      <c r="P1461">
        <v>86</v>
      </c>
      <c r="Q1461">
        <v>35.67</v>
      </c>
      <c r="R1461" t="s">
        <v>288</v>
      </c>
      <c r="S1461">
        <v>2.59</v>
      </c>
      <c r="T1461">
        <v>3.73</v>
      </c>
      <c r="U1461">
        <v>87</v>
      </c>
    </row>
    <row r="1462" spans="1:21" ht="15" customHeight="1" x14ac:dyDescent="0.25">
      <c r="A1462" s="2">
        <v>45325.017118055555</v>
      </c>
      <c r="B1462" t="s">
        <v>309</v>
      </c>
      <c r="C1462" t="s">
        <v>368</v>
      </c>
      <c r="D1462">
        <v>2</v>
      </c>
      <c r="E1462" t="s">
        <v>122</v>
      </c>
      <c r="F1462" t="s">
        <v>388</v>
      </c>
      <c r="G1462">
        <f>(O1462/(N1462+O1462+P1462))*100</f>
        <v>44.696969696969695</v>
      </c>
      <c r="H1462">
        <f>(P1462/(O1462+P1462+N1462))*100</f>
        <v>0</v>
      </c>
      <c r="I1462">
        <v>44.7</v>
      </c>
      <c r="J1462">
        <f>(N1462/(P1462+O1462+N1462))*100</f>
        <v>55.303030303030297</v>
      </c>
      <c r="K1462">
        <v>0.8</v>
      </c>
      <c r="L1462">
        <v>0.3</v>
      </c>
      <c r="M1462">
        <v>0.7</v>
      </c>
      <c r="N1462">
        <v>365</v>
      </c>
      <c r="O1462">
        <v>295</v>
      </c>
      <c r="P1462">
        <v>0</v>
      </c>
      <c r="Q1462">
        <v>44.7</v>
      </c>
      <c r="R1462" t="s">
        <v>245</v>
      </c>
      <c r="S1462">
        <v>1.19</v>
      </c>
      <c r="T1462">
        <v>1.3</v>
      </c>
    </row>
    <row r="1463" spans="1:21" ht="15" customHeight="1" x14ac:dyDescent="0.25">
      <c r="A1463" t="s">
        <v>19</v>
      </c>
      <c r="B1463" t="s">
        <v>20</v>
      </c>
      <c r="C1463" t="s">
        <v>306</v>
      </c>
      <c r="D1463">
        <v>3</v>
      </c>
      <c r="E1463" t="s">
        <v>123</v>
      </c>
      <c r="F1463" t="s">
        <v>373</v>
      </c>
      <c r="G1463">
        <v>1</v>
      </c>
      <c r="H1463">
        <v>0</v>
      </c>
      <c r="I1463">
        <f>G1463+H1463</f>
        <v>1</v>
      </c>
      <c r="J1463">
        <f>100-G1463-H1463</f>
        <v>99</v>
      </c>
      <c r="K1463" t="s">
        <v>19</v>
      </c>
      <c r="L1463" t="s">
        <v>19</v>
      </c>
      <c r="M1463" t="s">
        <v>19</v>
      </c>
      <c r="N1463" t="s">
        <v>19</v>
      </c>
      <c r="O1463" t="s">
        <v>19</v>
      </c>
      <c r="P1463" t="s">
        <v>19</v>
      </c>
      <c r="Q1463">
        <f>I1463</f>
        <v>1</v>
      </c>
      <c r="R1463" t="s">
        <v>19</v>
      </c>
      <c r="S1463" t="s">
        <v>19</v>
      </c>
      <c r="T1463" t="s">
        <v>19</v>
      </c>
    </row>
    <row r="1464" spans="1:21" ht="15" customHeight="1" x14ac:dyDescent="0.25">
      <c r="A1464" t="s">
        <v>19</v>
      </c>
      <c r="B1464" t="s">
        <v>20</v>
      </c>
      <c r="C1464" t="s">
        <v>308</v>
      </c>
      <c r="D1464">
        <v>3</v>
      </c>
      <c r="E1464" t="s">
        <v>123</v>
      </c>
      <c r="F1464" t="s">
        <v>373</v>
      </c>
      <c r="G1464">
        <v>3</v>
      </c>
      <c r="H1464">
        <v>0</v>
      </c>
      <c r="I1464">
        <f>G1464+H1464</f>
        <v>3</v>
      </c>
      <c r="J1464">
        <f>100-G1464-H1464</f>
        <v>97</v>
      </c>
      <c r="K1464" t="s">
        <v>19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  <c r="Q1464">
        <f>I1464</f>
        <v>3</v>
      </c>
      <c r="R1464" t="s">
        <v>19</v>
      </c>
      <c r="S1464" t="s">
        <v>19</v>
      </c>
      <c r="T1464" t="s">
        <v>19</v>
      </c>
    </row>
    <row r="1465" spans="1:21" ht="15" customHeight="1" x14ac:dyDescent="0.25">
      <c r="A1465" t="s">
        <v>19</v>
      </c>
      <c r="B1465" t="s">
        <v>20</v>
      </c>
      <c r="C1465" t="s">
        <v>22</v>
      </c>
      <c r="D1465">
        <v>3</v>
      </c>
      <c r="E1465" t="s">
        <v>123</v>
      </c>
      <c r="F1465" t="s">
        <v>373</v>
      </c>
      <c r="G1465">
        <v>0</v>
      </c>
      <c r="H1465">
        <v>0</v>
      </c>
      <c r="I1465">
        <f>G1465+H1465</f>
        <v>0</v>
      </c>
      <c r="J1465">
        <f>100-G1465-H1465</f>
        <v>100</v>
      </c>
      <c r="K1465" t="s">
        <v>19</v>
      </c>
      <c r="L1465" t="s">
        <v>19</v>
      </c>
      <c r="M1465" t="s">
        <v>19</v>
      </c>
      <c r="N1465" t="s">
        <v>19</v>
      </c>
      <c r="O1465" t="s">
        <v>19</v>
      </c>
      <c r="P1465" t="s">
        <v>19</v>
      </c>
      <c r="Q1465">
        <f>I1465</f>
        <v>0</v>
      </c>
      <c r="R1465" t="s">
        <v>19</v>
      </c>
      <c r="S1465" t="s">
        <v>19</v>
      </c>
      <c r="T1465" t="s">
        <v>19</v>
      </c>
    </row>
    <row r="1466" spans="1:21" ht="15" customHeight="1" x14ac:dyDescent="0.25">
      <c r="A1466" t="s">
        <v>19</v>
      </c>
      <c r="B1466" t="s">
        <v>20</v>
      </c>
      <c r="C1466" t="s">
        <v>305</v>
      </c>
      <c r="D1466">
        <v>3</v>
      </c>
      <c r="E1466" t="s">
        <v>123</v>
      </c>
      <c r="F1466" t="s">
        <v>373</v>
      </c>
      <c r="G1466">
        <v>0</v>
      </c>
      <c r="H1466">
        <v>0</v>
      </c>
      <c r="I1466">
        <f>G1466+H1466</f>
        <v>0</v>
      </c>
      <c r="J1466">
        <f>100-G1466-H1466</f>
        <v>100</v>
      </c>
      <c r="K1466" t="s">
        <v>19</v>
      </c>
      <c r="L1466" t="s">
        <v>19</v>
      </c>
      <c r="M1466" t="s">
        <v>19</v>
      </c>
      <c r="N1466" t="s">
        <v>19</v>
      </c>
      <c r="O1466" t="s">
        <v>19</v>
      </c>
      <c r="P1466" t="s">
        <v>19</v>
      </c>
      <c r="Q1466">
        <f>I1466</f>
        <v>0</v>
      </c>
      <c r="R1466" t="s">
        <v>19</v>
      </c>
      <c r="S1466" t="s">
        <v>19</v>
      </c>
      <c r="T1466" t="s">
        <v>19</v>
      </c>
    </row>
    <row r="1467" spans="1:21" ht="15" customHeight="1" x14ac:dyDescent="0.25">
      <c r="A1467" t="s">
        <v>19</v>
      </c>
      <c r="B1467" t="s">
        <v>20</v>
      </c>
      <c r="C1467" t="s">
        <v>307</v>
      </c>
      <c r="D1467">
        <v>3</v>
      </c>
      <c r="E1467" t="s">
        <v>123</v>
      </c>
      <c r="F1467" t="s">
        <v>373</v>
      </c>
      <c r="G1467">
        <v>1</v>
      </c>
      <c r="H1467">
        <v>0</v>
      </c>
      <c r="I1467">
        <f>G1467+H1467</f>
        <v>1</v>
      </c>
      <c r="J1467">
        <f>100-G1467-H1467</f>
        <v>99</v>
      </c>
      <c r="K1467" t="s">
        <v>19</v>
      </c>
      <c r="L1467" t="s">
        <v>19</v>
      </c>
      <c r="M1467" t="s">
        <v>19</v>
      </c>
      <c r="N1467" t="s">
        <v>19</v>
      </c>
      <c r="O1467" t="s">
        <v>19</v>
      </c>
      <c r="P1467" t="s">
        <v>19</v>
      </c>
      <c r="Q1467">
        <f>I1467</f>
        <v>1</v>
      </c>
      <c r="R1467" t="s">
        <v>19</v>
      </c>
      <c r="S1467" t="s">
        <v>19</v>
      </c>
      <c r="T1467" t="s">
        <v>19</v>
      </c>
    </row>
    <row r="1468" spans="1:21" ht="15" customHeight="1" x14ac:dyDescent="0.25">
      <c r="A1468" s="2">
        <v>45253.740277777775</v>
      </c>
      <c r="B1468" t="s">
        <v>309</v>
      </c>
      <c r="C1468" t="s">
        <v>213</v>
      </c>
      <c r="D1468">
        <v>3</v>
      </c>
      <c r="E1468" t="s">
        <v>123</v>
      </c>
      <c r="F1468" t="s">
        <v>373</v>
      </c>
      <c r="G1468">
        <v>1.063829787</v>
      </c>
      <c r="H1468">
        <v>0.303951368</v>
      </c>
      <c r="I1468">
        <v>1.3677811550000001</v>
      </c>
      <c r="J1468">
        <v>98.632218839999993</v>
      </c>
      <c r="K1468">
        <v>0.8</v>
      </c>
      <c r="L1468">
        <v>0.2</v>
      </c>
      <c r="M1468">
        <v>0.7</v>
      </c>
      <c r="N1468">
        <v>649</v>
      </c>
      <c r="O1468">
        <v>7</v>
      </c>
      <c r="P1468">
        <v>2</v>
      </c>
      <c r="Q1468">
        <v>1.37</v>
      </c>
      <c r="R1468" t="s">
        <v>238</v>
      </c>
      <c r="S1468">
        <v>2.91</v>
      </c>
      <c r="T1468">
        <v>3.36</v>
      </c>
    </row>
    <row r="1469" spans="1:21" ht="15" customHeight="1" x14ac:dyDescent="0.25">
      <c r="A1469" s="2">
        <v>45253.94027777778</v>
      </c>
      <c r="B1469" t="s">
        <v>309</v>
      </c>
      <c r="C1469" t="s">
        <v>215</v>
      </c>
      <c r="D1469">
        <v>2</v>
      </c>
      <c r="E1469" t="s">
        <v>123</v>
      </c>
      <c r="F1469" t="s">
        <v>373</v>
      </c>
      <c r="G1469">
        <v>1.289398281</v>
      </c>
      <c r="H1469">
        <v>0</v>
      </c>
      <c r="I1469">
        <v>1.289398281</v>
      </c>
      <c r="J1469">
        <v>98.71060172</v>
      </c>
      <c r="K1469">
        <v>0.8</v>
      </c>
      <c r="L1469">
        <v>0.2</v>
      </c>
      <c r="M1469">
        <v>0.7</v>
      </c>
      <c r="N1469">
        <v>689</v>
      </c>
      <c r="O1469">
        <v>9</v>
      </c>
      <c r="P1469">
        <v>0</v>
      </c>
      <c r="Q1469">
        <v>1.29</v>
      </c>
      <c r="R1469" t="s">
        <v>243</v>
      </c>
      <c r="S1469">
        <v>0.06</v>
      </c>
      <c r="T1469">
        <v>7.0000000000000007E-2</v>
      </c>
    </row>
    <row r="1470" spans="1:21" ht="15" customHeight="1" x14ac:dyDescent="0.25">
      <c r="A1470" s="2">
        <v>45254.115277777775</v>
      </c>
      <c r="B1470" t="s">
        <v>309</v>
      </c>
      <c r="C1470" t="s">
        <v>217</v>
      </c>
      <c r="D1470">
        <v>2</v>
      </c>
      <c r="E1470" t="s">
        <v>123</v>
      </c>
      <c r="F1470" t="s">
        <v>373</v>
      </c>
      <c r="G1470">
        <v>1.5256588069999999</v>
      </c>
      <c r="H1470">
        <v>0</v>
      </c>
      <c r="I1470">
        <v>1.5256588069999999</v>
      </c>
      <c r="J1470">
        <v>98.474341190000004</v>
      </c>
      <c r="K1470">
        <v>0.8</v>
      </c>
      <c r="L1470">
        <v>0.2</v>
      </c>
      <c r="M1470">
        <v>0.7</v>
      </c>
      <c r="N1470">
        <v>710</v>
      </c>
      <c r="O1470">
        <v>11</v>
      </c>
      <c r="P1470">
        <v>0</v>
      </c>
      <c r="Q1470">
        <v>1.53</v>
      </c>
      <c r="R1470" t="s">
        <v>227</v>
      </c>
      <c r="S1470">
        <v>0.05</v>
      </c>
      <c r="T1470">
        <v>0.06</v>
      </c>
    </row>
    <row r="1471" spans="1:21" ht="15" customHeight="1" x14ac:dyDescent="0.25">
      <c r="A1471" s="2">
        <v>45316.451388888891</v>
      </c>
      <c r="B1471" t="s">
        <v>309</v>
      </c>
      <c r="C1471" t="s">
        <v>219</v>
      </c>
      <c r="D1471">
        <v>3</v>
      </c>
      <c r="E1471" t="s">
        <v>123</v>
      </c>
      <c r="F1471" t="s">
        <v>373</v>
      </c>
      <c r="G1471">
        <v>0.83612040099999996</v>
      </c>
      <c r="H1471">
        <v>0.66889632099999996</v>
      </c>
      <c r="I1471">
        <v>1.5050167219999999</v>
      </c>
      <c r="J1471">
        <v>98.49498328</v>
      </c>
      <c r="K1471">
        <v>0.8</v>
      </c>
      <c r="L1471">
        <v>0.2</v>
      </c>
      <c r="M1471">
        <v>0.7</v>
      </c>
      <c r="N1471">
        <v>589</v>
      </c>
      <c r="O1471">
        <v>5</v>
      </c>
      <c r="P1471">
        <v>4</v>
      </c>
      <c r="Q1471">
        <v>1.51</v>
      </c>
      <c r="R1471" t="s">
        <v>218</v>
      </c>
      <c r="S1471">
        <v>3</v>
      </c>
      <c r="T1471">
        <v>4.0999999999999996</v>
      </c>
    </row>
    <row r="1472" spans="1:21" ht="15" customHeight="1" x14ac:dyDescent="0.25">
      <c r="A1472" s="2">
        <v>45320.974999999999</v>
      </c>
      <c r="B1472" t="s">
        <v>309</v>
      </c>
      <c r="C1472" t="s">
        <v>221</v>
      </c>
      <c r="D1472">
        <v>2</v>
      </c>
      <c r="E1472" t="s">
        <v>123</v>
      </c>
      <c r="F1472" t="s">
        <v>373</v>
      </c>
      <c r="G1472">
        <v>0.77639751599999995</v>
      </c>
      <c r="H1472">
        <v>0</v>
      </c>
      <c r="I1472">
        <v>0.77639751599999995</v>
      </c>
      <c r="J1472">
        <v>99.223602479999997</v>
      </c>
      <c r="K1472">
        <v>0.8</v>
      </c>
      <c r="L1472">
        <v>0.3</v>
      </c>
      <c r="M1472">
        <v>0.7</v>
      </c>
      <c r="N1472">
        <v>639</v>
      </c>
      <c r="O1472">
        <v>5</v>
      </c>
      <c r="P1472">
        <v>0</v>
      </c>
      <c r="Q1472">
        <v>0.78</v>
      </c>
      <c r="R1472" t="s">
        <v>235</v>
      </c>
      <c r="S1472">
        <v>0.05</v>
      </c>
      <c r="T1472">
        <v>0.05</v>
      </c>
    </row>
    <row r="1473" spans="1:21" ht="15" customHeight="1" x14ac:dyDescent="0.25">
      <c r="A1473" t="s">
        <v>19</v>
      </c>
      <c r="B1473" t="s">
        <v>20</v>
      </c>
      <c r="C1473" t="s">
        <v>320</v>
      </c>
      <c r="D1473">
        <v>3</v>
      </c>
      <c r="E1473" t="s">
        <v>123</v>
      </c>
      <c r="F1473" t="s">
        <v>373</v>
      </c>
      <c r="G1473">
        <v>0</v>
      </c>
      <c r="H1473">
        <v>0</v>
      </c>
      <c r="I1473">
        <f>100-J1473</f>
        <v>0</v>
      </c>
      <c r="J1473">
        <f>100-G1473-H1473</f>
        <v>100</v>
      </c>
      <c r="K1473" t="s">
        <v>19</v>
      </c>
      <c r="L1473" t="s">
        <v>19</v>
      </c>
      <c r="M1473" t="s">
        <v>19</v>
      </c>
      <c r="N1473" t="s">
        <v>19</v>
      </c>
      <c r="O1473" t="s">
        <v>19</v>
      </c>
      <c r="P1473" t="s">
        <v>19</v>
      </c>
      <c r="Q1473">
        <f>I1473</f>
        <v>0</v>
      </c>
      <c r="R1473" t="s">
        <v>19</v>
      </c>
      <c r="S1473" t="s">
        <v>19</v>
      </c>
      <c r="T1473" t="s">
        <v>19</v>
      </c>
    </row>
    <row r="1474" spans="1:21" ht="15" customHeight="1" x14ac:dyDescent="0.25">
      <c r="A1474" s="2">
        <v>45323.586550925924</v>
      </c>
      <c r="B1474" t="s">
        <v>309</v>
      </c>
      <c r="C1474" t="s">
        <v>322</v>
      </c>
      <c r="D1474">
        <v>3</v>
      </c>
      <c r="E1474" t="s">
        <v>123</v>
      </c>
      <c r="F1474" t="s">
        <v>373</v>
      </c>
      <c r="G1474">
        <f>(O1474/(N1474+O1474+P1474))*100</f>
        <v>0.15698587127158556</v>
      </c>
      <c r="H1474">
        <f>(P1474/(O1474+P1474+N1474))*100</f>
        <v>0</v>
      </c>
      <c r="I1474">
        <f>((O1474+P1474)/(P1474+O1474+N1474))*100</f>
        <v>0.15698587127158556</v>
      </c>
      <c r="J1474">
        <f>(N1474/(P1474+O1474+N1474))*100</f>
        <v>99.843014128728413</v>
      </c>
      <c r="K1474">
        <v>0.8</v>
      </c>
      <c r="L1474">
        <v>0.3</v>
      </c>
      <c r="M1474">
        <v>0.7</v>
      </c>
      <c r="N1474">
        <v>636</v>
      </c>
      <c r="O1474">
        <v>1</v>
      </c>
      <c r="P1474">
        <v>0</v>
      </c>
      <c r="Q1474">
        <v>0.16</v>
      </c>
      <c r="R1474" t="s">
        <v>341</v>
      </c>
      <c r="S1474">
        <v>2.85</v>
      </c>
      <c r="T1474">
        <v>3.14</v>
      </c>
      <c r="U1474">
        <v>22</v>
      </c>
    </row>
    <row r="1475" spans="1:21" ht="15" customHeight="1" x14ac:dyDescent="0.25">
      <c r="A1475" s="2">
        <v>45323.589988425927</v>
      </c>
      <c r="B1475" t="s">
        <v>309</v>
      </c>
      <c r="C1475" t="s">
        <v>322</v>
      </c>
      <c r="D1475">
        <v>3</v>
      </c>
      <c r="E1475" t="s">
        <v>123</v>
      </c>
      <c r="F1475" t="s">
        <v>373</v>
      </c>
      <c r="G1475">
        <f>(O1475/(N1475+O1475+P1475))*100</f>
        <v>0.625</v>
      </c>
      <c r="H1475">
        <f>(P1475/(O1475+P1475+N1475))*100</f>
        <v>0</v>
      </c>
      <c r="I1475">
        <f>((O1475+P1475)/(P1475+O1475+N1475))*100</f>
        <v>0.625</v>
      </c>
      <c r="J1475">
        <f>(N1475/(P1475+O1475+N1475))*100</f>
        <v>99.375</v>
      </c>
      <c r="K1475">
        <v>0.7</v>
      </c>
      <c r="L1475">
        <v>0.3</v>
      </c>
      <c r="M1475">
        <v>0.7</v>
      </c>
      <c r="N1475">
        <v>636</v>
      </c>
      <c r="O1475">
        <v>4</v>
      </c>
      <c r="P1475">
        <v>0</v>
      </c>
      <c r="Q1475">
        <v>0.62</v>
      </c>
      <c r="R1475" t="s">
        <v>343</v>
      </c>
      <c r="S1475">
        <v>2.85</v>
      </c>
      <c r="T1475">
        <v>3.14</v>
      </c>
      <c r="U1475">
        <v>19</v>
      </c>
    </row>
    <row r="1476" spans="1:21" ht="15" customHeight="1" x14ac:dyDescent="0.25">
      <c r="A1476" s="2">
        <v>45325.155405092592</v>
      </c>
      <c r="B1476" t="s">
        <v>309</v>
      </c>
      <c r="C1476" t="s">
        <v>368</v>
      </c>
      <c r="D1476">
        <v>2</v>
      </c>
      <c r="E1476" t="s">
        <v>123</v>
      </c>
      <c r="F1476" t="s">
        <v>373</v>
      </c>
      <c r="G1476">
        <f>(O1476/(N1476+O1476+P1476))*100</f>
        <v>0.15337423312883436</v>
      </c>
      <c r="H1476">
        <f>(P1476/(O1476+P1476+N1476))*100</f>
        <v>0</v>
      </c>
      <c r="I1476">
        <v>0.15</v>
      </c>
      <c r="J1476">
        <f>(N1476/(P1476+O1476+N1476))*100</f>
        <v>99.846625766871171</v>
      </c>
      <c r="K1476">
        <v>0.8</v>
      </c>
      <c r="L1476">
        <v>0.3</v>
      </c>
      <c r="M1476">
        <v>0.7</v>
      </c>
      <c r="N1476">
        <v>651</v>
      </c>
      <c r="O1476">
        <v>1</v>
      </c>
      <c r="P1476">
        <v>0</v>
      </c>
      <c r="Q1476">
        <v>0.15</v>
      </c>
      <c r="R1476" t="s">
        <v>346</v>
      </c>
      <c r="S1476">
        <v>0.02</v>
      </c>
      <c r="T1476">
        <v>0.02</v>
      </c>
    </row>
    <row r="1477" spans="1:21" ht="15" customHeight="1" x14ac:dyDescent="0.25">
      <c r="A1477" t="s">
        <v>19</v>
      </c>
      <c r="B1477" t="s">
        <v>20</v>
      </c>
      <c r="C1477" t="s">
        <v>306</v>
      </c>
      <c r="D1477">
        <v>3</v>
      </c>
      <c r="E1477" t="s">
        <v>124</v>
      </c>
      <c r="F1477" t="s">
        <v>373</v>
      </c>
      <c r="G1477">
        <v>83</v>
      </c>
      <c r="H1477">
        <v>3</v>
      </c>
      <c r="I1477">
        <f>G1477+H1477</f>
        <v>86</v>
      </c>
      <c r="J1477">
        <f>100-G1477-H1477</f>
        <v>14</v>
      </c>
      <c r="K1477" t="s">
        <v>19</v>
      </c>
      <c r="L1477" t="s">
        <v>19</v>
      </c>
      <c r="M1477" t="s">
        <v>19</v>
      </c>
      <c r="N1477" t="s">
        <v>19</v>
      </c>
      <c r="O1477" t="s">
        <v>19</v>
      </c>
      <c r="P1477" t="s">
        <v>19</v>
      </c>
      <c r="Q1477">
        <f>I1477</f>
        <v>86</v>
      </c>
      <c r="R1477" t="s">
        <v>19</v>
      </c>
      <c r="S1477" t="s">
        <v>19</v>
      </c>
      <c r="T1477" t="s">
        <v>19</v>
      </c>
    </row>
    <row r="1478" spans="1:21" ht="15" customHeight="1" x14ac:dyDescent="0.25">
      <c r="A1478" t="s">
        <v>19</v>
      </c>
      <c r="B1478" t="s">
        <v>20</v>
      </c>
      <c r="C1478" t="s">
        <v>308</v>
      </c>
      <c r="D1478">
        <v>3</v>
      </c>
      <c r="E1478" t="s">
        <v>124</v>
      </c>
      <c r="F1478" t="s">
        <v>373</v>
      </c>
      <c r="G1478">
        <v>70</v>
      </c>
      <c r="H1478">
        <v>3</v>
      </c>
      <c r="I1478">
        <f>G1478+H1478</f>
        <v>73</v>
      </c>
      <c r="J1478">
        <f>100-G1478-H1478</f>
        <v>27</v>
      </c>
      <c r="K1478" t="s">
        <v>19</v>
      </c>
      <c r="L1478" t="s">
        <v>19</v>
      </c>
      <c r="M1478" t="s">
        <v>19</v>
      </c>
      <c r="N1478" t="s">
        <v>19</v>
      </c>
      <c r="O1478" t="s">
        <v>19</v>
      </c>
      <c r="P1478" t="s">
        <v>19</v>
      </c>
      <c r="Q1478">
        <f>I1478</f>
        <v>73</v>
      </c>
      <c r="R1478" t="s">
        <v>19</v>
      </c>
      <c r="S1478" t="s">
        <v>19</v>
      </c>
      <c r="T1478" t="s">
        <v>19</v>
      </c>
    </row>
    <row r="1479" spans="1:21" ht="15" customHeight="1" x14ac:dyDescent="0.25">
      <c r="A1479" t="s">
        <v>19</v>
      </c>
      <c r="B1479" t="s">
        <v>20</v>
      </c>
      <c r="C1479" t="s">
        <v>22</v>
      </c>
      <c r="D1479">
        <v>3</v>
      </c>
      <c r="E1479" t="s">
        <v>124</v>
      </c>
      <c r="F1479" t="s">
        <v>373</v>
      </c>
      <c r="G1479">
        <v>80</v>
      </c>
      <c r="H1479">
        <v>0</v>
      </c>
      <c r="I1479">
        <f>G1479+H1479</f>
        <v>80</v>
      </c>
      <c r="J1479">
        <f>100-G1479-H1479</f>
        <v>20</v>
      </c>
      <c r="K1479" t="s">
        <v>19</v>
      </c>
      <c r="L1479" t="s">
        <v>19</v>
      </c>
      <c r="M1479" t="s">
        <v>19</v>
      </c>
      <c r="N1479" t="s">
        <v>19</v>
      </c>
      <c r="O1479" t="s">
        <v>19</v>
      </c>
      <c r="P1479" t="s">
        <v>19</v>
      </c>
      <c r="Q1479">
        <f>I1479</f>
        <v>80</v>
      </c>
      <c r="R1479" t="s">
        <v>19</v>
      </c>
      <c r="S1479" t="s">
        <v>19</v>
      </c>
      <c r="T1479" t="s">
        <v>19</v>
      </c>
    </row>
    <row r="1480" spans="1:21" ht="15" customHeight="1" x14ac:dyDescent="0.25">
      <c r="A1480" t="s">
        <v>19</v>
      </c>
      <c r="B1480" t="s">
        <v>20</v>
      </c>
      <c r="C1480" t="s">
        <v>305</v>
      </c>
      <c r="D1480">
        <v>3</v>
      </c>
      <c r="E1480" t="s">
        <v>124</v>
      </c>
      <c r="F1480" t="s">
        <v>373</v>
      </c>
      <c r="G1480">
        <v>54</v>
      </c>
      <c r="H1480">
        <v>1</v>
      </c>
      <c r="I1480">
        <f>G1480+H1480</f>
        <v>55</v>
      </c>
      <c r="J1480">
        <f>100-G1480-H1480</f>
        <v>45</v>
      </c>
      <c r="K1480" t="s">
        <v>19</v>
      </c>
      <c r="L1480" t="s">
        <v>19</v>
      </c>
      <c r="M1480" t="s">
        <v>19</v>
      </c>
      <c r="N1480" t="s">
        <v>19</v>
      </c>
      <c r="O1480" t="s">
        <v>19</v>
      </c>
      <c r="P1480" t="s">
        <v>19</v>
      </c>
      <c r="Q1480">
        <f>I1480</f>
        <v>55</v>
      </c>
      <c r="R1480" t="s">
        <v>19</v>
      </c>
      <c r="S1480" t="s">
        <v>19</v>
      </c>
      <c r="T1480" t="s">
        <v>19</v>
      </c>
    </row>
    <row r="1481" spans="1:21" ht="15" customHeight="1" x14ac:dyDescent="0.25">
      <c r="A1481" t="s">
        <v>19</v>
      </c>
      <c r="B1481" t="s">
        <v>20</v>
      </c>
      <c r="C1481" t="s">
        <v>307</v>
      </c>
      <c r="D1481">
        <v>3</v>
      </c>
      <c r="E1481" t="s">
        <v>124</v>
      </c>
      <c r="F1481" t="s">
        <v>373</v>
      </c>
      <c r="G1481">
        <v>40</v>
      </c>
      <c r="H1481">
        <v>10</v>
      </c>
      <c r="I1481">
        <f>G1481+H1481</f>
        <v>50</v>
      </c>
      <c r="J1481">
        <f>100-G1481-H1481</f>
        <v>50</v>
      </c>
      <c r="K1481" t="s">
        <v>19</v>
      </c>
      <c r="L1481" t="s">
        <v>19</v>
      </c>
      <c r="M1481" t="s">
        <v>19</v>
      </c>
      <c r="N1481" t="s">
        <v>19</v>
      </c>
      <c r="O1481" t="s">
        <v>19</v>
      </c>
      <c r="P1481" t="s">
        <v>19</v>
      </c>
      <c r="Q1481">
        <f>I1481</f>
        <v>50</v>
      </c>
      <c r="R1481" t="s">
        <v>19</v>
      </c>
      <c r="S1481" t="s">
        <v>19</v>
      </c>
      <c r="T1481" t="s">
        <v>19</v>
      </c>
    </row>
    <row r="1482" spans="1:21" ht="15" customHeight="1" x14ac:dyDescent="0.25">
      <c r="A1482" s="2">
        <v>45253.741666666669</v>
      </c>
      <c r="B1482" t="s">
        <v>309</v>
      </c>
      <c r="C1482" t="s">
        <v>213</v>
      </c>
      <c r="D1482">
        <v>3</v>
      </c>
      <c r="E1482" t="s">
        <v>124</v>
      </c>
      <c r="F1482" t="s">
        <v>373</v>
      </c>
      <c r="G1482">
        <v>80.985915489999996</v>
      </c>
      <c r="H1482">
        <v>0.17605633800000001</v>
      </c>
      <c r="I1482">
        <v>81.161971829999999</v>
      </c>
      <c r="J1482">
        <v>18.838028170000001</v>
      </c>
      <c r="K1482">
        <v>0.8</v>
      </c>
      <c r="L1482">
        <v>0.2</v>
      </c>
      <c r="M1482">
        <v>0.7</v>
      </c>
      <c r="N1482">
        <v>107</v>
      </c>
      <c r="O1482">
        <v>460</v>
      </c>
      <c r="P1482">
        <v>1</v>
      </c>
      <c r="Q1482">
        <v>81.16</v>
      </c>
      <c r="R1482" t="s">
        <v>240</v>
      </c>
      <c r="S1482">
        <v>3.16</v>
      </c>
      <c r="T1482">
        <v>3.79</v>
      </c>
    </row>
    <row r="1483" spans="1:21" ht="15" customHeight="1" x14ac:dyDescent="0.25">
      <c r="A1483" s="2">
        <v>45253.940972222219</v>
      </c>
      <c r="B1483" t="s">
        <v>309</v>
      </c>
      <c r="C1483" t="s">
        <v>215</v>
      </c>
      <c r="D1483">
        <v>2</v>
      </c>
      <c r="E1483" t="s">
        <v>124</v>
      </c>
      <c r="F1483" t="s">
        <v>373</v>
      </c>
      <c r="G1483">
        <v>13.197969540000001</v>
      </c>
      <c r="H1483">
        <v>0</v>
      </c>
      <c r="I1483">
        <v>13.197969540000001</v>
      </c>
      <c r="J1483">
        <v>86.802030459999997</v>
      </c>
      <c r="K1483">
        <v>0.8</v>
      </c>
      <c r="L1483">
        <v>0.2</v>
      </c>
      <c r="M1483">
        <v>0.7</v>
      </c>
      <c r="N1483">
        <v>513</v>
      </c>
      <c r="O1483">
        <v>78</v>
      </c>
      <c r="P1483">
        <v>0</v>
      </c>
      <c r="Q1483">
        <v>13.2</v>
      </c>
      <c r="R1483" t="s">
        <v>227</v>
      </c>
      <c r="S1483">
        <v>0.42</v>
      </c>
      <c r="T1483">
        <v>0.46</v>
      </c>
    </row>
    <row r="1484" spans="1:21" ht="15" customHeight="1" x14ac:dyDescent="0.25">
      <c r="A1484" s="2">
        <v>45254.115972222222</v>
      </c>
      <c r="B1484" t="s">
        <v>309</v>
      </c>
      <c r="C1484" t="s">
        <v>217</v>
      </c>
      <c r="D1484">
        <v>2</v>
      </c>
      <c r="E1484" t="s">
        <v>124</v>
      </c>
      <c r="F1484" t="s">
        <v>373</v>
      </c>
      <c r="G1484">
        <v>43.147208120000002</v>
      </c>
      <c r="H1484">
        <v>0</v>
      </c>
      <c r="I1484">
        <v>43.147208120000002</v>
      </c>
      <c r="J1484">
        <v>56.852791879999998</v>
      </c>
      <c r="K1484">
        <v>0.8</v>
      </c>
      <c r="L1484">
        <v>0.2</v>
      </c>
      <c r="M1484">
        <v>0.7</v>
      </c>
      <c r="N1484">
        <v>336</v>
      </c>
      <c r="O1484">
        <v>255</v>
      </c>
      <c r="P1484">
        <v>0</v>
      </c>
      <c r="Q1484">
        <v>43.15</v>
      </c>
      <c r="R1484" t="s">
        <v>228</v>
      </c>
      <c r="S1484">
        <v>1.18</v>
      </c>
      <c r="T1484">
        <v>1.26</v>
      </c>
    </row>
    <row r="1485" spans="1:21" ht="15" customHeight="1" x14ac:dyDescent="0.25">
      <c r="A1485" s="2">
        <v>45316.452777777777</v>
      </c>
      <c r="B1485" t="s">
        <v>309</v>
      </c>
      <c r="C1485" t="s">
        <v>219</v>
      </c>
      <c r="D1485">
        <v>3</v>
      </c>
      <c r="E1485" t="s">
        <v>124</v>
      </c>
      <c r="F1485" t="s">
        <v>373</v>
      </c>
      <c r="G1485">
        <v>92.592592589999995</v>
      </c>
      <c r="H1485">
        <v>0.56980056999999995</v>
      </c>
      <c r="I1485">
        <v>93.162393159999993</v>
      </c>
      <c r="J1485">
        <v>6.8376068380000001</v>
      </c>
      <c r="K1485">
        <v>0.8</v>
      </c>
      <c r="L1485">
        <v>0.2</v>
      </c>
      <c r="M1485">
        <v>0.7</v>
      </c>
      <c r="N1485">
        <v>24</v>
      </c>
      <c r="O1485">
        <v>325</v>
      </c>
      <c r="P1485">
        <v>2</v>
      </c>
      <c r="Q1485">
        <v>93.16</v>
      </c>
      <c r="R1485" t="s">
        <v>218</v>
      </c>
      <c r="S1485">
        <v>3.21</v>
      </c>
      <c r="T1485">
        <v>4.72</v>
      </c>
    </row>
    <row r="1486" spans="1:21" ht="15" customHeight="1" x14ac:dyDescent="0.25">
      <c r="A1486" s="2">
        <v>45320.975694444445</v>
      </c>
      <c r="B1486" t="s">
        <v>309</v>
      </c>
      <c r="C1486" t="s">
        <v>221</v>
      </c>
      <c r="D1486">
        <v>2</v>
      </c>
      <c r="E1486" t="s">
        <v>124</v>
      </c>
      <c r="F1486" t="s">
        <v>373</v>
      </c>
      <c r="G1486">
        <v>80.804953560000001</v>
      </c>
      <c r="H1486">
        <v>0</v>
      </c>
      <c r="I1486">
        <v>80.804953560000001</v>
      </c>
      <c r="J1486">
        <v>19.195046439999999</v>
      </c>
      <c r="K1486">
        <v>0.8</v>
      </c>
      <c r="L1486">
        <v>0.3</v>
      </c>
      <c r="M1486">
        <v>0.7</v>
      </c>
      <c r="N1486">
        <v>124</v>
      </c>
      <c r="O1486">
        <v>522</v>
      </c>
      <c r="P1486">
        <v>0</v>
      </c>
      <c r="Q1486">
        <v>80.8</v>
      </c>
      <c r="R1486" t="s">
        <v>233</v>
      </c>
      <c r="S1486">
        <v>2.2400000000000002</v>
      </c>
      <c r="T1486">
        <v>2.34</v>
      </c>
    </row>
    <row r="1487" spans="1:21" ht="15" customHeight="1" x14ac:dyDescent="0.25">
      <c r="A1487" t="s">
        <v>19</v>
      </c>
      <c r="B1487" t="s">
        <v>20</v>
      </c>
      <c r="C1487" t="s">
        <v>320</v>
      </c>
      <c r="D1487">
        <v>3</v>
      </c>
      <c r="E1487" t="s">
        <v>124</v>
      </c>
      <c r="F1487" t="s">
        <v>373</v>
      </c>
      <c r="G1487">
        <v>80</v>
      </c>
      <c r="H1487">
        <v>0</v>
      </c>
      <c r="I1487">
        <f>100-J1487</f>
        <v>80</v>
      </c>
      <c r="J1487">
        <f>100-G1487-H1487</f>
        <v>20</v>
      </c>
      <c r="K1487" t="s">
        <v>19</v>
      </c>
      <c r="L1487" t="s">
        <v>19</v>
      </c>
      <c r="M1487" t="s">
        <v>19</v>
      </c>
      <c r="N1487" t="s">
        <v>19</v>
      </c>
      <c r="O1487" t="s">
        <v>19</v>
      </c>
      <c r="P1487" t="s">
        <v>19</v>
      </c>
      <c r="Q1487">
        <f>I1487</f>
        <v>80</v>
      </c>
      <c r="R1487" t="s">
        <v>19</v>
      </c>
      <c r="S1487" t="s">
        <v>19</v>
      </c>
      <c r="T1487" t="s">
        <v>19</v>
      </c>
    </row>
    <row r="1488" spans="1:21" ht="15" customHeight="1" x14ac:dyDescent="0.25">
      <c r="A1488" s="2">
        <v>45323.588229166664</v>
      </c>
      <c r="B1488" t="s">
        <v>309</v>
      </c>
      <c r="C1488" t="s">
        <v>322</v>
      </c>
      <c r="D1488">
        <v>3</v>
      </c>
      <c r="E1488" t="s">
        <v>124</v>
      </c>
      <c r="F1488" t="s">
        <v>373</v>
      </c>
      <c r="G1488">
        <f>(O1488/(N1488+O1488+P1488))*100</f>
        <v>80.031446540880495</v>
      </c>
      <c r="H1488">
        <f>(P1488/(O1488+P1488+N1488))*100</f>
        <v>0.31446540880503149</v>
      </c>
      <c r="I1488">
        <f>((O1488+P1488)/(P1488+O1488+N1488))*100</f>
        <v>80.345911949685529</v>
      </c>
      <c r="J1488">
        <f>(N1488/(P1488+O1488+N1488))*100</f>
        <v>19.654088050314467</v>
      </c>
      <c r="K1488">
        <v>0.8</v>
      </c>
      <c r="L1488">
        <v>0.3</v>
      </c>
      <c r="M1488">
        <v>0.7</v>
      </c>
      <c r="N1488">
        <v>125</v>
      </c>
      <c r="O1488">
        <v>509</v>
      </c>
      <c r="P1488">
        <v>2</v>
      </c>
      <c r="Q1488">
        <v>80.349999999999994</v>
      </c>
      <c r="R1488" t="s">
        <v>338</v>
      </c>
      <c r="S1488">
        <v>2.82</v>
      </c>
      <c r="T1488">
        <v>3.42</v>
      </c>
      <c r="U1488">
        <v>71</v>
      </c>
    </row>
    <row r="1489" spans="1:21" ht="15" customHeight="1" x14ac:dyDescent="0.25">
      <c r="A1489" s="2">
        <v>45323.591678240744</v>
      </c>
      <c r="B1489" t="s">
        <v>309</v>
      </c>
      <c r="C1489" t="s">
        <v>322</v>
      </c>
      <c r="D1489">
        <v>3</v>
      </c>
      <c r="E1489" t="s">
        <v>124</v>
      </c>
      <c r="F1489" t="s">
        <v>373</v>
      </c>
      <c r="G1489">
        <f>(O1489/(N1489+O1489+P1489))*100</f>
        <v>80.873493975903614</v>
      </c>
      <c r="H1489">
        <f>(P1489/(O1489+P1489+N1489))*100</f>
        <v>0.60240963855421692</v>
      </c>
      <c r="I1489">
        <f>((O1489+P1489)/(P1489+O1489+N1489))*100</f>
        <v>81.475903614457835</v>
      </c>
      <c r="J1489">
        <f>(N1489/(P1489+O1489+N1489))*100</f>
        <v>18.524096385542169</v>
      </c>
      <c r="K1489">
        <v>0.7</v>
      </c>
      <c r="L1489">
        <v>0.3</v>
      </c>
      <c r="M1489">
        <v>0.7</v>
      </c>
      <c r="N1489">
        <v>123</v>
      </c>
      <c r="O1489">
        <v>537</v>
      </c>
      <c r="P1489">
        <v>4</v>
      </c>
      <c r="Q1489">
        <v>81.48</v>
      </c>
      <c r="R1489" t="s">
        <v>363</v>
      </c>
      <c r="S1489">
        <v>2.82</v>
      </c>
      <c r="T1489">
        <v>3.42</v>
      </c>
      <c r="U1489">
        <v>43</v>
      </c>
    </row>
    <row r="1490" spans="1:21" ht="15" customHeight="1" x14ac:dyDescent="0.25">
      <c r="A1490" s="2">
        <v>45325.156643518516</v>
      </c>
      <c r="B1490" t="s">
        <v>309</v>
      </c>
      <c r="C1490" t="s">
        <v>368</v>
      </c>
      <c r="D1490">
        <v>2</v>
      </c>
      <c r="E1490" t="s">
        <v>124</v>
      </c>
      <c r="F1490" t="s">
        <v>373</v>
      </c>
      <c r="G1490">
        <f>(O1490/(N1490+O1490+P1490))*100</f>
        <v>82.047477744807111</v>
      </c>
      <c r="H1490">
        <f>(P1490/(O1490+P1490+N1490))*100</f>
        <v>0</v>
      </c>
      <c r="I1490">
        <v>82.05</v>
      </c>
      <c r="J1490">
        <f>(N1490/(P1490+O1490+N1490))*100</f>
        <v>17.952522255192878</v>
      </c>
      <c r="K1490">
        <v>0.8</v>
      </c>
      <c r="L1490">
        <v>0.3</v>
      </c>
      <c r="M1490">
        <v>0.7</v>
      </c>
      <c r="N1490">
        <v>121</v>
      </c>
      <c r="O1490">
        <v>553</v>
      </c>
      <c r="P1490">
        <v>0</v>
      </c>
      <c r="Q1490">
        <v>82.05</v>
      </c>
      <c r="R1490" t="s">
        <v>288</v>
      </c>
      <c r="S1490">
        <v>2.17</v>
      </c>
      <c r="T1490">
        <v>2.31</v>
      </c>
    </row>
    <row r="1491" spans="1:21" ht="15" customHeight="1" x14ac:dyDescent="0.25">
      <c r="A1491" t="s">
        <v>19</v>
      </c>
      <c r="B1491" t="s">
        <v>20</v>
      </c>
      <c r="C1491" t="s">
        <v>306</v>
      </c>
      <c r="D1491">
        <v>3</v>
      </c>
      <c r="E1491" t="s">
        <v>125</v>
      </c>
      <c r="F1491" t="s">
        <v>373</v>
      </c>
      <c r="G1491">
        <v>70</v>
      </c>
      <c r="H1491">
        <v>0</v>
      </c>
      <c r="I1491">
        <f>G1491+H1491</f>
        <v>70</v>
      </c>
      <c r="J1491">
        <f>100-G1491-H1491</f>
        <v>30</v>
      </c>
      <c r="K1491" t="s">
        <v>19</v>
      </c>
      <c r="L1491" t="s">
        <v>19</v>
      </c>
      <c r="M1491" t="s">
        <v>19</v>
      </c>
      <c r="N1491" t="s">
        <v>19</v>
      </c>
      <c r="O1491" t="s">
        <v>19</v>
      </c>
      <c r="P1491" t="s">
        <v>19</v>
      </c>
      <c r="Q1491">
        <f>I1491</f>
        <v>70</v>
      </c>
      <c r="R1491" t="s">
        <v>19</v>
      </c>
      <c r="S1491" t="s">
        <v>19</v>
      </c>
      <c r="T1491" t="s">
        <v>19</v>
      </c>
    </row>
    <row r="1492" spans="1:21" ht="15" customHeight="1" x14ac:dyDescent="0.25">
      <c r="A1492" t="s">
        <v>19</v>
      </c>
      <c r="B1492" t="s">
        <v>20</v>
      </c>
      <c r="C1492" t="s">
        <v>308</v>
      </c>
      <c r="D1492">
        <v>3</v>
      </c>
      <c r="E1492" t="s">
        <v>125</v>
      </c>
      <c r="F1492" t="s">
        <v>373</v>
      </c>
      <c r="G1492">
        <v>49</v>
      </c>
      <c r="H1492">
        <v>1</v>
      </c>
      <c r="I1492">
        <f>G1492+H1492</f>
        <v>50</v>
      </c>
      <c r="J1492">
        <f>100-G1492-H1492</f>
        <v>50</v>
      </c>
      <c r="K1492" t="s">
        <v>19</v>
      </c>
      <c r="L1492" t="s">
        <v>19</v>
      </c>
      <c r="M1492" t="s">
        <v>19</v>
      </c>
      <c r="N1492" t="s">
        <v>19</v>
      </c>
      <c r="O1492" t="s">
        <v>19</v>
      </c>
      <c r="P1492" t="s">
        <v>19</v>
      </c>
      <c r="Q1492">
        <f>I1492</f>
        <v>50</v>
      </c>
      <c r="R1492" t="s">
        <v>19</v>
      </c>
      <c r="S1492" t="s">
        <v>19</v>
      </c>
      <c r="T1492" t="s">
        <v>19</v>
      </c>
    </row>
    <row r="1493" spans="1:21" ht="15" customHeight="1" x14ac:dyDescent="0.25">
      <c r="A1493" t="s">
        <v>19</v>
      </c>
      <c r="B1493" t="s">
        <v>20</v>
      </c>
      <c r="C1493" t="s">
        <v>22</v>
      </c>
      <c r="D1493">
        <v>3</v>
      </c>
      <c r="E1493" t="s">
        <v>125</v>
      </c>
      <c r="F1493" t="s">
        <v>373</v>
      </c>
      <c r="G1493">
        <v>75</v>
      </c>
      <c r="H1493">
        <v>0</v>
      </c>
      <c r="I1493">
        <f>G1493+H1493</f>
        <v>75</v>
      </c>
      <c r="J1493">
        <f>100-G1493-H1493</f>
        <v>25</v>
      </c>
      <c r="K1493" t="s">
        <v>19</v>
      </c>
      <c r="L1493" t="s">
        <v>19</v>
      </c>
      <c r="M1493" t="s">
        <v>19</v>
      </c>
      <c r="N1493" t="s">
        <v>19</v>
      </c>
      <c r="O1493" t="s">
        <v>19</v>
      </c>
      <c r="P1493" t="s">
        <v>19</v>
      </c>
      <c r="Q1493">
        <f>I1493</f>
        <v>75</v>
      </c>
      <c r="R1493" t="s">
        <v>19</v>
      </c>
      <c r="S1493" t="s">
        <v>19</v>
      </c>
      <c r="T1493" t="s">
        <v>19</v>
      </c>
    </row>
    <row r="1494" spans="1:21" ht="15" customHeight="1" x14ac:dyDescent="0.25">
      <c r="A1494" t="s">
        <v>19</v>
      </c>
      <c r="B1494" t="s">
        <v>20</v>
      </c>
      <c r="C1494" t="s">
        <v>305</v>
      </c>
      <c r="D1494">
        <v>3</v>
      </c>
      <c r="E1494" t="s">
        <v>125</v>
      </c>
      <c r="F1494" t="s">
        <v>373</v>
      </c>
      <c r="G1494">
        <v>15</v>
      </c>
      <c r="H1494">
        <v>0</v>
      </c>
      <c r="I1494">
        <f>G1494+H1494</f>
        <v>15</v>
      </c>
      <c r="J1494">
        <f>100-G1494-H1494</f>
        <v>85</v>
      </c>
      <c r="K1494" t="s">
        <v>19</v>
      </c>
      <c r="L1494" t="s">
        <v>19</v>
      </c>
      <c r="M1494" t="s">
        <v>19</v>
      </c>
      <c r="N1494" t="s">
        <v>19</v>
      </c>
      <c r="O1494" t="s">
        <v>19</v>
      </c>
      <c r="P1494" t="s">
        <v>19</v>
      </c>
      <c r="Q1494">
        <f>I1494</f>
        <v>15</v>
      </c>
      <c r="R1494" t="s">
        <v>19</v>
      </c>
      <c r="S1494" t="s">
        <v>19</v>
      </c>
      <c r="T1494" t="s">
        <v>19</v>
      </c>
    </row>
    <row r="1495" spans="1:21" ht="15" customHeight="1" x14ac:dyDescent="0.25">
      <c r="A1495" t="s">
        <v>19</v>
      </c>
      <c r="B1495" t="s">
        <v>20</v>
      </c>
      <c r="C1495" t="s">
        <v>307</v>
      </c>
      <c r="D1495">
        <v>3</v>
      </c>
      <c r="E1495" t="s">
        <v>125</v>
      </c>
      <c r="F1495" t="s">
        <v>373</v>
      </c>
      <c r="G1495">
        <v>8</v>
      </c>
      <c r="H1495">
        <v>0</v>
      </c>
      <c r="I1495">
        <f>G1495+H1495</f>
        <v>8</v>
      </c>
      <c r="J1495">
        <f>100-G1495-H1495</f>
        <v>92</v>
      </c>
      <c r="K1495" t="s">
        <v>19</v>
      </c>
      <c r="L1495" t="s">
        <v>19</v>
      </c>
      <c r="M1495" t="s">
        <v>19</v>
      </c>
      <c r="N1495" t="s">
        <v>19</v>
      </c>
      <c r="O1495" t="s">
        <v>19</v>
      </c>
      <c r="P1495" t="s">
        <v>19</v>
      </c>
      <c r="Q1495">
        <f>I1495</f>
        <v>8</v>
      </c>
      <c r="R1495" t="s">
        <v>19</v>
      </c>
      <c r="S1495" t="s">
        <v>19</v>
      </c>
      <c r="T1495" t="s">
        <v>19</v>
      </c>
    </row>
    <row r="1496" spans="1:21" ht="15" customHeight="1" x14ac:dyDescent="0.25">
      <c r="A1496" s="2">
        <v>45253.743750000001</v>
      </c>
      <c r="B1496" t="s">
        <v>309</v>
      </c>
      <c r="C1496" t="s">
        <v>213</v>
      </c>
      <c r="D1496">
        <v>3</v>
      </c>
      <c r="E1496" t="s">
        <v>125</v>
      </c>
      <c r="F1496" t="s">
        <v>373</v>
      </c>
      <c r="G1496">
        <v>77.663934429999998</v>
      </c>
      <c r="H1496">
        <v>0</v>
      </c>
      <c r="I1496">
        <v>77.663934429999998</v>
      </c>
      <c r="J1496">
        <v>22.336065569999999</v>
      </c>
      <c r="K1496">
        <v>0.8</v>
      </c>
      <c r="L1496">
        <v>0.2</v>
      </c>
      <c r="M1496">
        <v>0.7</v>
      </c>
      <c r="N1496">
        <v>109</v>
      </c>
      <c r="O1496">
        <v>379</v>
      </c>
      <c r="P1496">
        <v>0</v>
      </c>
      <c r="Q1496">
        <v>77.66</v>
      </c>
      <c r="R1496" t="s">
        <v>279</v>
      </c>
      <c r="S1496">
        <v>2.8</v>
      </c>
      <c r="T1496">
        <v>2.8</v>
      </c>
    </row>
    <row r="1497" spans="1:21" ht="15" customHeight="1" x14ac:dyDescent="0.25">
      <c r="A1497" s="2">
        <v>45253.942361111112</v>
      </c>
      <c r="B1497" t="s">
        <v>309</v>
      </c>
      <c r="C1497" t="s">
        <v>215</v>
      </c>
      <c r="D1497">
        <v>2</v>
      </c>
      <c r="E1497" t="s">
        <v>125</v>
      </c>
      <c r="F1497" t="s">
        <v>373</v>
      </c>
      <c r="G1497">
        <v>34.496919920000003</v>
      </c>
      <c r="H1497">
        <v>0</v>
      </c>
      <c r="I1497">
        <v>34.496919920000003</v>
      </c>
      <c r="J1497">
        <v>65.503080080000004</v>
      </c>
      <c r="K1497">
        <v>0.8</v>
      </c>
      <c r="L1497">
        <v>0.2</v>
      </c>
      <c r="M1497">
        <v>0.7</v>
      </c>
      <c r="N1497">
        <v>319</v>
      </c>
      <c r="O1497">
        <v>168</v>
      </c>
      <c r="P1497">
        <v>0</v>
      </c>
      <c r="Q1497">
        <v>34.5</v>
      </c>
      <c r="R1497" t="s">
        <v>226</v>
      </c>
      <c r="S1497">
        <v>0.83</v>
      </c>
      <c r="T1497">
        <v>0.88</v>
      </c>
    </row>
    <row r="1498" spans="1:21" ht="15" customHeight="1" x14ac:dyDescent="0.25">
      <c r="A1498" s="2">
        <v>45254.117361111108</v>
      </c>
      <c r="B1498" t="s">
        <v>309</v>
      </c>
      <c r="C1498" t="s">
        <v>217</v>
      </c>
      <c r="D1498">
        <v>2</v>
      </c>
      <c r="E1498" t="s">
        <v>125</v>
      </c>
      <c r="F1498" t="s">
        <v>373</v>
      </c>
      <c r="G1498">
        <v>30.939226519999998</v>
      </c>
      <c r="H1498">
        <v>0</v>
      </c>
      <c r="I1498">
        <v>30.939226519999998</v>
      </c>
      <c r="J1498">
        <v>69.060773479999995</v>
      </c>
      <c r="K1498">
        <v>0.8</v>
      </c>
      <c r="L1498">
        <v>0.2</v>
      </c>
      <c r="M1498">
        <v>0.7</v>
      </c>
      <c r="N1498">
        <v>375</v>
      </c>
      <c r="O1498">
        <v>168</v>
      </c>
      <c r="P1498">
        <v>0</v>
      </c>
      <c r="Q1498">
        <v>30.94</v>
      </c>
      <c r="R1498" t="s">
        <v>220</v>
      </c>
      <c r="S1498">
        <v>0.77</v>
      </c>
      <c r="T1498">
        <v>0.79</v>
      </c>
    </row>
    <row r="1499" spans="1:21" ht="15" customHeight="1" x14ac:dyDescent="0.25">
      <c r="A1499" s="2">
        <v>45316.453472222223</v>
      </c>
      <c r="B1499" t="s">
        <v>309</v>
      </c>
      <c r="C1499" t="s">
        <v>219</v>
      </c>
      <c r="D1499">
        <v>3</v>
      </c>
      <c r="E1499" t="s">
        <v>125</v>
      </c>
      <c r="F1499" t="s">
        <v>373</v>
      </c>
      <c r="G1499">
        <v>68.493150679999999</v>
      </c>
      <c r="H1499">
        <v>0.228310502</v>
      </c>
      <c r="I1499">
        <v>68.721461189999999</v>
      </c>
      <c r="J1499">
        <v>31.278538810000001</v>
      </c>
      <c r="K1499">
        <v>0.8</v>
      </c>
      <c r="L1499">
        <v>0.2</v>
      </c>
      <c r="M1499">
        <v>0.7</v>
      </c>
      <c r="N1499">
        <v>137</v>
      </c>
      <c r="O1499">
        <v>300</v>
      </c>
      <c r="P1499">
        <v>1</v>
      </c>
      <c r="Q1499">
        <v>68.72</v>
      </c>
      <c r="R1499" t="s">
        <v>257</v>
      </c>
      <c r="S1499">
        <v>3.18</v>
      </c>
      <c r="T1499">
        <v>4.1500000000000004</v>
      </c>
    </row>
    <row r="1500" spans="1:21" ht="15" customHeight="1" x14ac:dyDescent="0.25">
      <c r="A1500" s="2">
        <v>45320.977083333331</v>
      </c>
      <c r="B1500" t="s">
        <v>309</v>
      </c>
      <c r="C1500" t="s">
        <v>221</v>
      </c>
      <c r="D1500">
        <v>2</v>
      </c>
      <c r="E1500" t="s">
        <v>125</v>
      </c>
      <c r="F1500" t="s">
        <v>373</v>
      </c>
      <c r="G1500">
        <v>68.231046930000005</v>
      </c>
      <c r="H1500">
        <v>0</v>
      </c>
      <c r="I1500">
        <v>68.231046930000005</v>
      </c>
      <c r="J1500">
        <v>31.768953069999998</v>
      </c>
      <c r="K1500">
        <v>0.8</v>
      </c>
      <c r="L1500">
        <v>0.3</v>
      </c>
      <c r="M1500">
        <v>0.7</v>
      </c>
      <c r="N1500">
        <v>176</v>
      </c>
      <c r="O1500">
        <v>378</v>
      </c>
      <c r="P1500">
        <v>0</v>
      </c>
      <c r="Q1500">
        <v>68.23</v>
      </c>
      <c r="R1500" t="s">
        <v>262</v>
      </c>
      <c r="S1500">
        <v>1.68</v>
      </c>
      <c r="T1500">
        <v>1.78</v>
      </c>
    </row>
    <row r="1501" spans="1:21" ht="15" customHeight="1" x14ac:dyDescent="0.25">
      <c r="A1501" t="s">
        <v>19</v>
      </c>
      <c r="B1501" t="s">
        <v>20</v>
      </c>
      <c r="C1501" t="s">
        <v>320</v>
      </c>
      <c r="D1501">
        <v>3</v>
      </c>
      <c r="E1501" t="s">
        <v>125</v>
      </c>
      <c r="F1501" t="s">
        <v>373</v>
      </c>
      <c r="G1501">
        <v>0</v>
      </c>
      <c r="H1501">
        <v>0</v>
      </c>
      <c r="I1501">
        <f>100-J1501</f>
        <v>0</v>
      </c>
      <c r="J1501">
        <f>100-G1501-H1501</f>
        <v>100</v>
      </c>
      <c r="K1501" t="s">
        <v>19</v>
      </c>
      <c r="L1501" t="s">
        <v>19</v>
      </c>
      <c r="M1501" t="s">
        <v>19</v>
      </c>
      <c r="N1501" t="s">
        <v>19</v>
      </c>
      <c r="O1501" t="s">
        <v>19</v>
      </c>
      <c r="P1501" t="s">
        <v>19</v>
      </c>
      <c r="Q1501">
        <f>I1501</f>
        <v>0</v>
      </c>
      <c r="R1501" t="s">
        <v>19</v>
      </c>
      <c r="S1501" t="s">
        <v>19</v>
      </c>
      <c r="T1501" t="s">
        <v>19</v>
      </c>
    </row>
    <row r="1502" spans="1:21" ht="15" customHeight="1" x14ac:dyDescent="0.25">
      <c r="A1502" s="2">
        <v>45323.58997685185</v>
      </c>
      <c r="B1502" t="s">
        <v>309</v>
      </c>
      <c r="C1502" t="s">
        <v>322</v>
      </c>
      <c r="D1502">
        <v>3</v>
      </c>
      <c r="E1502" t="s">
        <v>125</v>
      </c>
      <c r="F1502" t="s">
        <v>373</v>
      </c>
      <c r="G1502">
        <f>(O1502/(N1502+O1502+P1502))*100</f>
        <v>73.795761078998069</v>
      </c>
      <c r="H1502">
        <f>(P1502/(O1502+P1502+N1502))*100</f>
        <v>0</v>
      </c>
      <c r="I1502">
        <f>((O1502+P1502)/(P1502+O1502+N1502))*100</f>
        <v>73.795761078998069</v>
      </c>
      <c r="J1502">
        <f>(N1502/(P1502+O1502+N1502))*100</f>
        <v>26.204238921001927</v>
      </c>
      <c r="K1502">
        <v>0.8</v>
      </c>
      <c r="L1502">
        <v>0.3</v>
      </c>
      <c r="M1502">
        <v>0.7</v>
      </c>
      <c r="N1502">
        <v>136</v>
      </c>
      <c r="O1502">
        <v>383</v>
      </c>
      <c r="P1502">
        <v>0</v>
      </c>
      <c r="Q1502">
        <v>73.8</v>
      </c>
      <c r="R1502" t="s">
        <v>245</v>
      </c>
      <c r="S1502">
        <v>2.63</v>
      </c>
      <c r="T1502">
        <v>2.79</v>
      </c>
      <c r="U1502">
        <v>117</v>
      </c>
    </row>
    <row r="1503" spans="1:21" ht="15" customHeight="1" x14ac:dyDescent="0.25">
      <c r="A1503" s="2">
        <v>45323.593564814815</v>
      </c>
      <c r="B1503" t="s">
        <v>309</v>
      </c>
      <c r="C1503" t="s">
        <v>322</v>
      </c>
      <c r="D1503">
        <v>3</v>
      </c>
      <c r="E1503" t="s">
        <v>125</v>
      </c>
      <c r="F1503" t="s">
        <v>373</v>
      </c>
      <c r="G1503">
        <f>(O1503/(N1503+O1503+P1503))*100</f>
        <v>75.045871559633028</v>
      </c>
      <c r="H1503">
        <f>(P1503/(O1503+P1503+N1503))*100</f>
        <v>0</v>
      </c>
      <c r="I1503">
        <f>((O1503+P1503)/(P1503+O1503+N1503))*100</f>
        <v>75.045871559633028</v>
      </c>
      <c r="J1503">
        <f>(N1503/(P1503+O1503+N1503))*100</f>
        <v>24.954128440366972</v>
      </c>
      <c r="K1503">
        <v>0.7</v>
      </c>
      <c r="L1503">
        <v>0.3</v>
      </c>
      <c r="M1503">
        <v>0.7</v>
      </c>
      <c r="N1503">
        <v>136</v>
      </c>
      <c r="O1503">
        <v>409</v>
      </c>
      <c r="P1503">
        <v>0</v>
      </c>
      <c r="Q1503">
        <v>75.05</v>
      </c>
      <c r="R1503" t="s">
        <v>288</v>
      </c>
      <c r="S1503">
        <v>2.63</v>
      </c>
      <c r="T1503">
        <v>2.79</v>
      </c>
      <c r="U1503">
        <v>91</v>
      </c>
    </row>
    <row r="1504" spans="1:21" ht="15" customHeight="1" x14ac:dyDescent="0.25">
      <c r="A1504" s="2">
        <v>45325.158252314817</v>
      </c>
      <c r="B1504" t="s">
        <v>309</v>
      </c>
      <c r="C1504" t="s">
        <v>368</v>
      </c>
      <c r="D1504">
        <v>2</v>
      </c>
      <c r="E1504" t="s">
        <v>125</v>
      </c>
      <c r="F1504" t="s">
        <v>373</v>
      </c>
      <c r="G1504">
        <f>(O1504/(N1504+O1504+P1504))*100</f>
        <v>61.141804788213626</v>
      </c>
      <c r="H1504">
        <f>(P1504/(O1504+P1504+N1504))*100</f>
        <v>0</v>
      </c>
      <c r="I1504">
        <v>61.14</v>
      </c>
      <c r="J1504">
        <f>(N1504/(P1504+O1504+N1504))*100</f>
        <v>38.858195211786374</v>
      </c>
      <c r="K1504">
        <v>0.8</v>
      </c>
      <c r="L1504">
        <v>0.3</v>
      </c>
      <c r="M1504">
        <v>0.7</v>
      </c>
      <c r="N1504">
        <v>211</v>
      </c>
      <c r="O1504">
        <v>332</v>
      </c>
      <c r="P1504">
        <v>0</v>
      </c>
      <c r="Q1504">
        <v>61.14</v>
      </c>
      <c r="R1504" t="s">
        <v>214</v>
      </c>
      <c r="S1504">
        <v>1.49</v>
      </c>
      <c r="T1504">
        <v>1.56</v>
      </c>
    </row>
    <row r="1505" spans="1:21" ht="15" customHeight="1" x14ac:dyDescent="0.25">
      <c r="A1505" t="s">
        <v>19</v>
      </c>
      <c r="B1505" t="s">
        <v>20</v>
      </c>
      <c r="C1505" t="s">
        <v>306</v>
      </c>
      <c r="D1505">
        <v>3</v>
      </c>
      <c r="E1505" t="s">
        <v>126</v>
      </c>
      <c r="F1505" t="s">
        <v>373</v>
      </c>
      <c r="G1505">
        <v>7</v>
      </c>
      <c r="H1505">
        <v>1</v>
      </c>
      <c r="I1505">
        <f>G1505+H1505</f>
        <v>8</v>
      </c>
      <c r="J1505">
        <f>100-G1505-H1505</f>
        <v>92</v>
      </c>
      <c r="K1505" t="s">
        <v>19</v>
      </c>
      <c r="L1505" t="s">
        <v>19</v>
      </c>
      <c r="M1505" t="s">
        <v>19</v>
      </c>
      <c r="N1505" t="s">
        <v>19</v>
      </c>
      <c r="O1505" t="s">
        <v>19</v>
      </c>
      <c r="P1505" t="s">
        <v>19</v>
      </c>
      <c r="Q1505">
        <f>I1505</f>
        <v>8</v>
      </c>
      <c r="R1505" t="s">
        <v>19</v>
      </c>
      <c r="S1505" t="s">
        <v>19</v>
      </c>
      <c r="T1505" t="s">
        <v>19</v>
      </c>
    </row>
    <row r="1506" spans="1:21" ht="15" customHeight="1" x14ac:dyDescent="0.25">
      <c r="A1506" t="s">
        <v>19</v>
      </c>
      <c r="B1506" t="s">
        <v>20</v>
      </c>
      <c r="C1506" t="s">
        <v>308</v>
      </c>
      <c r="D1506">
        <v>3</v>
      </c>
      <c r="E1506" t="s">
        <v>126</v>
      </c>
      <c r="F1506" t="s">
        <v>373</v>
      </c>
      <c r="G1506">
        <v>10</v>
      </c>
      <c r="H1506">
        <v>1</v>
      </c>
      <c r="I1506">
        <f>G1506+H1506</f>
        <v>11</v>
      </c>
      <c r="J1506">
        <f>100-G1506-H1506</f>
        <v>89</v>
      </c>
      <c r="K1506" t="s">
        <v>19</v>
      </c>
      <c r="L1506" t="s">
        <v>19</v>
      </c>
      <c r="M1506" t="s">
        <v>19</v>
      </c>
      <c r="N1506" t="s">
        <v>19</v>
      </c>
      <c r="O1506" t="s">
        <v>19</v>
      </c>
      <c r="P1506" t="s">
        <v>19</v>
      </c>
      <c r="Q1506">
        <f>I1506</f>
        <v>11</v>
      </c>
      <c r="R1506" t="s">
        <v>19</v>
      </c>
      <c r="S1506" t="s">
        <v>19</v>
      </c>
      <c r="T1506" t="s">
        <v>19</v>
      </c>
    </row>
    <row r="1507" spans="1:21" ht="15" customHeight="1" x14ac:dyDescent="0.25">
      <c r="A1507" t="s">
        <v>19</v>
      </c>
      <c r="B1507" t="s">
        <v>20</v>
      </c>
      <c r="C1507" t="s">
        <v>22</v>
      </c>
      <c r="D1507">
        <v>3</v>
      </c>
      <c r="E1507" t="s">
        <v>126</v>
      </c>
      <c r="F1507" t="s">
        <v>373</v>
      </c>
      <c r="G1507">
        <v>0</v>
      </c>
      <c r="H1507">
        <v>0</v>
      </c>
      <c r="I1507">
        <f>G1507+H1507</f>
        <v>0</v>
      </c>
      <c r="J1507">
        <f>100-G1507-H1507</f>
        <v>100</v>
      </c>
      <c r="K1507" t="s">
        <v>19</v>
      </c>
      <c r="L1507" t="s">
        <v>19</v>
      </c>
      <c r="M1507" t="s">
        <v>19</v>
      </c>
      <c r="N1507" t="s">
        <v>19</v>
      </c>
      <c r="O1507" t="s">
        <v>19</v>
      </c>
      <c r="P1507" t="s">
        <v>19</v>
      </c>
      <c r="Q1507">
        <f>I1507</f>
        <v>0</v>
      </c>
      <c r="R1507" t="s">
        <v>19</v>
      </c>
      <c r="S1507" t="s">
        <v>19</v>
      </c>
      <c r="T1507" t="s">
        <v>19</v>
      </c>
    </row>
    <row r="1508" spans="1:21" ht="15" customHeight="1" x14ac:dyDescent="0.25">
      <c r="A1508" t="s">
        <v>19</v>
      </c>
      <c r="B1508" t="s">
        <v>20</v>
      </c>
      <c r="C1508" t="s">
        <v>305</v>
      </c>
      <c r="D1508">
        <v>3</v>
      </c>
      <c r="E1508" t="s">
        <v>126</v>
      </c>
      <c r="F1508" t="s">
        <v>373</v>
      </c>
      <c r="G1508">
        <v>2</v>
      </c>
      <c r="H1508">
        <v>0</v>
      </c>
      <c r="I1508">
        <f>G1508+H1508</f>
        <v>2</v>
      </c>
      <c r="J1508">
        <f>100-G1508-H1508</f>
        <v>98</v>
      </c>
      <c r="K1508" t="s">
        <v>19</v>
      </c>
      <c r="L1508" t="s">
        <v>19</v>
      </c>
      <c r="M1508" t="s">
        <v>19</v>
      </c>
      <c r="N1508" t="s">
        <v>19</v>
      </c>
      <c r="O1508" t="s">
        <v>19</v>
      </c>
      <c r="P1508" t="s">
        <v>19</v>
      </c>
      <c r="Q1508">
        <f>I1508</f>
        <v>2</v>
      </c>
      <c r="R1508" t="s">
        <v>19</v>
      </c>
      <c r="S1508" t="s">
        <v>19</v>
      </c>
      <c r="T1508" t="s">
        <v>19</v>
      </c>
    </row>
    <row r="1509" spans="1:21" ht="15" customHeight="1" x14ac:dyDescent="0.25">
      <c r="A1509" t="s">
        <v>19</v>
      </c>
      <c r="B1509" t="s">
        <v>20</v>
      </c>
      <c r="C1509" t="s">
        <v>307</v>
      </c>
      <c r="D1509">
        <v>3</v>
      </c>
      <c r="E1509" t="s">
        <v>126</v>
      </c>
      <c r="F1509" t="s">
        <v>373</v>
      </c>
      <c r="G1509">
        <v>2</v>
      </c>
      <c r="H1509">
        <v>0</v>
      </c>
      <c r="I1509">
        <f>G1509+H1509</f>
        <v>2</v>
      </c>
      <c r="J1509">
        <f>100-G1509-H1509</f>
        <v>98</v>
      </c>
      <c r="K1509" t="s">
        <v>19</v>
      </c>
      <c r="L1509" t="s">
        <v>19</v>
      </c>
      <c r="M1509" t="s">
        <v>19</v>
      </c>
      <c r="N1509" t="s">
        <v>19</v>
      </c>
      <c r="O1509" t="s">
        <v>19</v>
      </c>
      <c r="P1509" t="s">
        <v>19</v>
      </c>
      <c r="Q1509">
        <f>I1509</f>
        <v>2</v>
      </c>
      <c r="R1509" t="s">
        <v>19</v>
      </c>
      <c r="S1509" t="s">
        <v>19</v>
      </c>
      <c r="T1509" t="s">
        <v>19</v>
      </c>
    </row>
    <row r="1510" spans="1:21" ht="15" customHeight="1" x14ac:dyDescent="0.25">
      <c r="A1510" s="2">
        <v>45253.745138888888</v>
      </c>
      <c r="B1510" t="s">
        <v>309</v>
      </c>
      <c r="C1510" t="s">
        <v>213</v>
      </c>
      <c r="D1510">
        <v>3</v>
      </c>
      <c r="E1510" t="s">
        <v>126</v>
      </c>
      <c r="F1510" t="s">
        <v>373</v>
      </c>
      <c r="G1510">
        <v>2.1739130430000002</v>
      </c>
      <c r="H1510">
        <v>0.15527950300000001</v>
      </c>
      <c r="I1510">
        <v>2.3291925469999999</v>
      </c>
      <c r="J1510">
        <v>97.670807449999998</v>
      </c>
      <c r="K1510">
        <v>0.8</v>
      </c>
      <c r="L1510">
        <v>0.2</v>
      </c>
      <c r="M1510">
        <v>0.7</v>
      </c>
      <c r="N1510">
        <v>629</v>
      </c>
      <c r="O1510">
        <v>14</v>
      </c>
      <c r="P1510">
        <v>1</v>
      </c>
      <c r="Q1510">
        <v>2.33</v>
      </c>
      <c r="R1510" t="s">
        <v>238</v>
      </c>
      <c r="S1510">
        <v>2.79</v>
      </c>
      <c r="T1510">
        <v>2.99</v>
      </c>
    </row>
    <row r="1511" spans="1:21" ht="15" customHeight="1" x14ac:dyDescent="0.25">
      <c r="A1511" s="2">
        <v>45253.943055555559</v>
      </c>
      <c r="B1511" t="s">
        <v>309</v>
      </c>
      <c r="C1511" t="s">
        <v>215</v>
      </c>
      <c r="D1511">
        <v>2</v>
      </c>
      <c r="E1511" t="s">
        <v>126</v>
      </c>
      <c r="F1511" t="s">
        <v>373</v>
      </c>
      <c r="G1511">
        <v>5.8727569329999998</v>
      </c>
      <c r="H1511">
        <v>0</v>
      </c>
      <c r="I1511">
        <v>5.8727569329999998</v>
      </c>
      <c r="J1511">
        <v>94.127243070000006</v>
      </c>
      <c r="K1511">
        <v>0.8</v>
      </c>
      <c r="L1511">
        <v>0.2</v>
      </c>
      <c r="M1511">
        <v>0.7</v>
      </c>
      <c r="N1511">
        <v>577</v>
      </c>
      <c r="O1511">
        <v>36</v>
      </c>
      <c r="P1511">
        <v>0</v>
      </c>
      <c r="Q1511">
        <v>5.87</v>
      </c>
      <c r="R1511" t="s">
        <v>216</v>
      </c>
      <c r="S1511">
        <v>0.23</v>
      </c>
      <c r="T1511">
        <v>0.25</v>
      </c>
    </row>
    <row r="1512" spans="1:21" ht="15" customHeight="1" x14ac:dyDescent="0.25">
      <c r="A1512" s="2">
        <v>45254.118055555555</v>
      </c>
      <c r="B1512" t="s">
        <v>309</v>
      </c>
      <c r="C1512" t="s">
        <v>217</v>
      </c>
      <c r="D1512">
        <v>2</v>
      </c>
      <c r="E1512" t="s">
        <v>126</v>
      </c>
      <c r="F1512" t="s">
        <v>373</v>
      </c>
      <c r="G1512">
        <v>11.981566819999999</v>
      </c>
      <c r="H1512">
        <v>0</v>
      </c>
      <c r="I1512">
        <v>11.981566819999999</v>
      </c>
      <c r="J1512">
        <v>88.018433180000002</v>
      </c>
      <c r="K1512">
        <v>0.8</v>
      </c>
      <c r="L1512">
        <v>0.2</v>
      </c>
      <c r="M1512">
        <v>0.7</v>
      </c>
      <c r="N1512">
        <v>573</v>
      </c>
      <c r="O1512">
        <v>78</v>
      </c>
      <c r="P1512">
        <v>0</v>
      </c>
      <c r="Q1512">
        <v>11.98</v>
      </c>
      <c r="R1512" t="s">
        <v>218</v>
      </c>
      <c r="S1512">
        <v>0.37</v>
      </c>
      <c r="T1512">
        <v>0.39</v>
      </c>
    </row>
    <row r="1513" spans="1:21" ht="15" customHeight="1" x14ac:dyDescent="0.25">
      <c r="A1513" s="2">
        <v>45316.45416666667</v>
      </c>
      <c r="B1513" t="s">
        <v>309</v>
      </c>
      <c r="C1513" t="s">
        <v>219</v>
      </c>
      <c r="D1513">
        <v>3</v>
      </c>
      <c r="E1513" t="s">
        <v>126</v>
      </c>
      <c r="F1513" t="s">
        <v>373</v>
      </c>
      <c r="G1513">
        <v>0.78740157499999996</v>
      </c>
      <c r="H1513">
        <v>0</v>
      </c>
      <c r="I1513">
        <v>0.78740157499999996</v>
      </c>
      <c r="J1513">
        <v>99.21259843</v>
      </c>
      <c r="K1513">
        <v>0.8</v>
      </c>
      <c r="L1513">
        <v>0.2</v>
      </c>
      <c r="M1513">
        <v>0.7</v>
      </c>
      <c r="N1513">
        <v>630</v>
      </c>
      <c r="O1513">
        <v>5</v>
      </c>
      <c r="P1513">
        <v>0</v>
      </c>
      <c r="Q1513">
        <v>0.79</v>
      </c>
      <c r="R1513" t="s">
        <v>225</v>
      </c>
      <c r="S1513">
        <v>3.13</v>
      </c>
      <c r="T1513">
        <v>4.4800000000000004</v>
      </c>
    </row>
    <row r="1514" spans="1:21" ht="15" customHeight="1" x14ac:dyDescent="0.25">
      <c r="A1514" s="2">
        <v>45320.977777777778</v>
      </c>
      <c r="B1514" t="s">
        <v>309</v>
      </c>
      <c r="C1514" t="s">
        <v>221</v>
      </c>
      <c r="D1514">
        <v>2</v>
      </c>
      <c r="E1514" t="s">
        <v>126</v>
      </c>
      <c r="F1514" t="s">
        <v>373</v>
      </c>
      <c r="G1514">
        <v>9.8101265820000005</v>
      </c>
      <c r="H1514">
        <v>0</v>
      </c>
      <c r="I1514">
        <v>9.8101265820000005</v>
      </c>
      <c r="J1514">
        <v>90.189873419999998</v>
      </c>
      <c r="K1514">
        <v>0.8</v>
      </c>
      <c r="L1514">
        <v>0.3</v>
      </c>
      <c r="M1514">
        <v>0.7</v>
      </c>
      <c r="N1514">
        <v>570</v>
      </c>
      <c r="O1514">
        <v>62</v>
      </c>
      <c r="P1514">
        <v>0</v>
      </c>
      <c r="Q1514">
        <v>9.81</v>
      </c>
      <c r="R1514" t="s">
        <v>235</v>
      </c>
      <c r="S1514">
        <v>0.36</v>
      </c>
      <c r="T1514">
        <v>0.39</v>
      </c>
    </row>
    <row r="1515" spans="1:21" ht="15" customHeight="1" x14ac:dyDescent="0.25">
      <c r="A1515" t="s">
        <v>19</v>
      </c>
      <c r="B1515" t="s">
        <v>20</v>
      </c>
      <c r="C1515" t="s">
        <v>320</v>
      </c>
      <c r="D1515">
        <v>3</v>
      </c>
      <c r="E1515" t="s">
        <v>126</v>
      </c>
      <c r="F1515" t="s">
        <v>373</v>
      </c>
      <c r="G1515">
        <v>0</v>
      </c>
      <c r="H1515">
        <v>0</v>
      </c>
      <c r="I1515">
        <f>100-J1515</f>
        <v>0</v>
      </c>
      <c r="J1515">
        <f>100-G1515-H1515</f>
        <v>100</v>
      </c>
      <c r="K1515" t="s">
        <v>19</v>
      </c>
      <c r="L1515" t="s">
        <v>19</v>
      </c>
      <c r="M1515" t="s">
        <v>19</v>
      </c>
      <c r="N1515" t="s">
        <v>19</v>
      </c>
      <c r="O1515" t="s">
        <v>19</v>
      </c>
      <c r="P1515" t="s">
        <v>19</v>
      </c>
      <c r="Q1515">
        <f>I1515</f>
        <v>0</v>
      </c>
      <c r="R1515" t="s">
        <v>19</v>
      </c>
      <c r="S1515" t="s">
        <v>19</v>
      </c>
      <c r="T1515" t="s">
        <v>19</v>
      </c>
    </row>
    <row r="1516" spans="1:21" ht="15" customHeight="1" x14ac:dyDescent="0.25">
      <c r="A1516" s="2">
        <v>45323.591550925928</v>
      </c>
      <c r="B1516" t="s">
        <v>309</v>
      </c>
      <c r="C1516" t="s">
        <v>322</v>
      </c>
      <c r="D1516">
        <v>3</v>
      </c>
      <c r="E1516" t="s">
        <v>126</v>
      </c>
      <c r="F1516" t="s">
        <v>373</v>
      </c>
      <c r="G1516">
        <f>(O1516/(N1516+O1516+P1516))*100</f>
        <v>5.9654631083202512</v>
      </c>
      <c r="H1516">
        <f>(P1516/(O1516+P1516+N1516))*100</f>
        <v>0</v>
      </c>
      <c r="I1516">
        <f>((O1516+P1516)/(P1516+O1516+N1516))*100</f>
        <v>5.9654631083202512</v>
      </c>
      <c r="J1516">
        <f>(N1516/(P1516+O1516+N1516))*100</f>
        <v>94.03453689167975</v>
      </c>
      <c r="K1516">
        <v>0.8</v>
      </c>
      <c r="L1516">
        <v>0.3</v>
      </c>
      <c r="M1516">
        <v>0.7</v>
      </c>
      <c r="N1516">
        <v>599</v>
      </c>
      <c r="O1516">
        <v>38</v>
      </c>
      <c r="P1516">
        <v>0</v>
      </c>
      <c r="Q1516">
        <v>5.97</v>
      </c>
      <c r="R1516" t="s">
        <v>344</v>
      </c>
      <c r="S1516">
        <v>2.56</v>
      </c>
      <c r="T1516">
        <v>2.91</v>
      </c>
      <c r="U1516">
        <v>74</v>
      </c>
    </row>
    <row r="1517" spans="1:21" ht="15" customHeight="1" x14ac:dyDescent="0.25">
      <c r="A1517" s="2">
        <v>45323.59516203704</v>
      </c>
      <c r="B1517" t="s">
        <v>309</v>
      </c>
      <c r="C1517" t="s">
        <v>322</v>
      </c>
      <c r="D1517">
        <v>3</v>
      </c>
      <c r="E1517" t="s">
        <v>126</v>
      </c>
      <c r="F1517" t="s">
        <v>373</v>
      </c>
      <c r="G1517">
        <f>(O1517/(N1517+O1517+P1517))*100</f>
        <v>7.5617283950617287</v>
      </c>
      <c r="H1517">
        <f>(P1517/(O1517+P1517+N1517))*100</f>
        <v>0</v>
      </c>
      <c r="I1517">
        <f>((O1517+P1517)/(P1517+O1517+N1517))*100</f>
        <v>7.5617283950617287</v>
      </c>
      <c r="J1517">
        <f>(N1517/(P1517+O1517+N1517))*100</f>
        <v>92.438271604938265</v>
      </c>
      <c r="K1517">
        <v>0.7</v>
      </c>
      <c r="L1517">
        <v>0.3</v>
      </c>
      <c r="M1517">
        <v>0.7</v>
      </c>
      <c r="N1517">
        <v>599</v>
      </c>
      <c r="O1517">
        <v>49</v>
      </c>
      <c r="P1517">
        <v>0</v>
      </c>
      <c r="Q1517">
        <v>7.56</v>
      </c>
      <c r="R1517" t="s">
        <v>334</v>
      </c>
      <c r="S1517">
        <v>2.56</v>
      </c>
      <c r="T1517">
        <v>2.91</v>
      </c>
      <c r="U1517">
        <v>63</v>
      </c>
    </row>
    <row r="1518" spans="1:21" ht="15" customHeight="1" x14ac:dyDescent="0.25">
      <c r="A1518" s="2">
        <v>45325.159791666665</v>
      </c>
      <c r="B1518" t="s">
        <v>309</v>
      </c>
      <c r="C1518" t="s">
        <v>368</v>
      </c>
      <c r="D1518">
        <v>2</v>
      </c>
      <c r="E1518" t="s">
        <v>126</v>
      </c>
      <c r="F1518" t="s">
        <v>373</v>
      </c>
      <c r="G1518">
        <f>(O1518/(N1518+O1518+P1518))*100</f>
        <v>6.1823802163833079</v>
      </c>
      <c r="H1518">
        <f>(P1518/(O1518+P1518+N1518))*100</f>
        <v>0</v>
      </c>
      <c r="I1518">
        <v>6.18</v>
      </c>
      <c r="J1518">
        <f>(N1518/(P1518+O1518+N1518))*100</f>
        <v>93.817619783616692</v>
      </c>
      <c r="K1518">
        <v>0.8</v>
      </c>
      <c r="L1518">
        <v>0.3</v>
      </c>
      <c r="M1518">
        <v>0.7</v>
      </c>
      <c r="N1518">
        <v>607</v>
      </c>
      <c r="O1518">
        <v>40</v>
      </c>
      <c r="P1518">
        <v>0</v>
      </c>
      <c r="Q1518">
        <v>6.18</v>
      </c>
      <c r="R1518" t="s">
        <v>271</v>
      </c>
      <c r="S1518">
        <v>0.25</v>
      </c>
      <c r="T1518">
        <v>0.26</v>
      </c>
    </row>
    <row r="1519" spans="1:21" ht="15" customHeight="1" x14ac:dyDescent="0.25">
      <c r="A1519" t="s">
        <v>19</v>
      </c>
      <c r="B1519" t="s">
        <v>20</v>
      </c>
      <c r="C1519" t="s">
        <v>308</v>
      </c>
      <c r="D1519">
        <v>3</v>
      </c>
      <c r="E1519" t="s">
        <v>127</v>
      </c>
      <c r="F1519" t="s">
        <v>388</v>
      </c>
      <c r="G1519">
        <v>4</v>
      </c>
      <c r="H1519">
        <v>1</v>
      </c>
      <c r="I1519">
        <f>G1519+H1519</f>
        <v>5</v>
      </c>
      <c r="J1519">
        <f>100-G1519-H1519</f>
        <v>95</v>
      </c>
      <c r="K1519" t="s">
        <v>19</v>
      </c>
      <c r="L1519" t="s">
        <v>19</v>
      </c>
      <c r="M1519" t="s">
        <v>19</v>
      </c>
      <c r="N1519" t="s">
        <v>19</v>
      </c>
      <c r="O1519" t="s">
        <v>19</v>
      </c>
      <c r="P1519" t="s">
        <v>19</v>
      </c>
      <c r="Q1519">
        <f>I1519</f>
        <v>5</v>
      </c>
      <c r="R1519" t="s">
        <v>19</v>
      </c>
      <c r="S1519" t="s">
        <v>19</v>
      </c>
      <c r="T1519" t="s">
        <v>19</v>
      </c>
    </row>
    <row r="1520" spans="1:21" ht="15" customHeight="1" x14ac:dyDescent="0.25">
      <c r="A1520" t="s">
        <v>19</v>
      </c>
      <c r="B1520" t="s">
        <v>20</v>
      </c>
      <c r="C1520" t="s">
        <v>22</v>
      </c>
      <c r="D1520">
        <v>3</v>
      </c>
      <c r="E1520" t="s">
        <v>127</v>
      </c>
      <c r="F1520" t="s">
        <v>388</v>
      </c>
      <c r="G1520">
        <v>5</v>
      </c>
      <c r="H1520">
        <v>0</v>
      </c>
      <c r="I1520">
        <f>G1520+H1520</f>
        <v>5</v>
      </c>
      <c r="J1520">
        <f>100-G1520-H1520</f>
        <v>95</v>
      </c>
      <c r="K1520" t="s">
        <v>19</v>
      </c>
      <c r="L1520" t="s">
        <v>19</v>
      </c>
      <c r="M1520" t="s">
        <v>19</v>
      </c>
      <c r="N1520" t="s">
        <v>19</v>
      </c>
      <c r="O1520" t="s">
        <v>19</v>
      </c>
      <c r="P1520" t="s">
        <v>19</v>
      </c>
      <c r="Q1520">
        <f>I1520</f>
        <v>5</v>
      </c>
      <c r="R1520" t="s">
        <v>19</v>
      </c>
      <c r="S1520" t="s">
        <v>19</v>
      </c>
      <c r="T1520" t="s">
        <v>19</v>
      </c>
    </row>
    <row r="1521" spans="1:21" ht="15" customHeight="1" x14ac:dyDescent="0.25">
      <c r="A1521" t="s">
        <v>19</v>
      </c>
      <c r="B1521" t="s">
        <v>20</v>
      </c>
      <c r="C1521" t="s">
        <v>305</v>
      </c>
      <c r="D1521">
        <v>3</v>
      </c>
      <c r="E1521" t="s">
        <v>127</v>
      </c>
      <c r="F1521" t="s">
        <v>388</v>
      </c>
      <c r="G1521">
        <v>4</v>
      </c>
      <c r="H1521">
        <v>1</v>
      </c>
      <c r="I1521">
        <f>G1521+H1521</f>
        <v>5</v>
      </c>
      <c r="J1521">
        <f>100-G1521-H1521</f>
        <v>95</v>
      </c>
      <c r="K1521" t="s">
        <v>19</v>
      </c>
      <c r="L1521" t="s">
        <v>19</v>
      </c>
      <c r="M1521" t="s">
        <v>19</v>
      </c>
      <c r="N1521" t="s">
        <v>19</v>
      </c>
      <c r="O1521" t="s">
        <v>19</v>
      </c>
      <c r="P1521" t="s">
        <v>19</v>
      </c>
      <c r="Q1521">
        <f>I1521</f>
        <v>5</v>
      </c>
      <c r="R1521" t="s">
        <v>19</v>
      </c>
      <c r="S1521" t="s">
        <v>19</v>
      </c>
      <c r="T1521" t="s">
        <v>19</v>
      </c>
    </row>
    <row r="1522" spans="1:21" ht="15" customHeight="1" x14ac:dyDescent="0.25">
      <c r="A1522" t="s">
        <v>19</v>
      </c>
      <c r="B1522" t="s">
        <v>20</v>
      </c>
      <c r="C1522" t="s">
        <v>307</v>
      </c>
      <c r="D1522">
        <v>3</v>
      </c>
      <c r="E1522" t="s">
        <v>127</v>
      </c>
      <c r="F1522" t="s">
        <v>388</v>
      </c>
      <c r="G1522">
        <v>3</v>
      </c>
      <c r="H1522">
        <v>0</v>
      </c>
      <c r="I1522">
        <f>G1522+H1522</f>
        <v>3</v>
      </c>
      <c r="J1522">
        <f>100-G1522-H1522</f>
        <v>97</v>
      </c>
      <c r="K1522" t="s">
        <v>19</v>
      </c>
      <c r="L1522" t="s">
        <v>19</v>
      </c>
      <c r="M1522" t="s">
        <v>19</v>
      </c>
      <c r="N1522" t="s">
        <v>19</v>
      </c>
      <c r="O1522" t="s">
        <v>19</v>
      </c>
      <c r="P1522" t="s">
        <v>19</v>
      </c>
      <c r="Q1522">
        <f>I1522</f>
        <v>3</v>
      </c>
      <c r="R1522" t="s">
        <v>19</v>
      </c>
      <c r="S1522" t="s">
        <v>19</v>
      </c>
      <c r="T1522" t="s">
        <v>19</v>
      </c>
    </row>
    <row r="1523" spans="1:21" ht="15" customHeight="1" x14ac:dyDescent="0.25">
      <c r="A1523" s="2">
        <v>45253.590277777781</v>
      </c>
      <c r="B1523" t="s">
        <v>309</v>
      </c>
      <c r="C1523" t="s">
        <v>213</v>
      </c>
      <c r="D1523">
        <v>3</v>
      </c>
      <c r="E1523" t="s">
        <v>127</v>
      </c>
      <c r="F1523" t="s">
        <v>388</v>
      </c>
      <c r="G1523">
        <v>1.2882447669999999</v>
      </c>
      <c r="H1523">
        <v>1.1272141710000001</v>
      </c>
      <c r="I1523">
        <v>2.4154589369999999</v>
      </c>
      <c r="J1523">
        <v>97.584541060000006</v>
      </c>
      <c r="K1523">
        <v>0.8</v>
      </c>
      <c r="L1523">
        <v>0.2</v>
      </c>
      <c r="M1523">
        <v>0.7</v>
      </c>
      <c r="N1523">
        <v>606</v>
      </c>
      <c r="O1523">
        <v>8</v>
      </c>
      <c r="P1523">
        <v>7</v>
      </c>
      <c r="Q1523">
        <v>2.42</v>
      </c>
      <c r="R1523" t="s">
        <v>223</v>
      </c>
      <c r="S1523">
        <v>2.82</v>
      </c>
      <c r="T1523">
        <v>3.23</v>
      </c>
    </row>
    <row r="1524" spans="1:21" ht="15" customHeight="1" x14ac:dyDescent="0.25">
      <c r="A1524" s="2">
        <v>45253.861111111109</v>
      </c>
      <c r="B1524" t="s">
        <v>309</v>
      </c>
      <c r="C1524" t="s">
        <v>215</v>
      </c>
      <c r="D1524">
        <v>2</v>
      </c>
      <c r="E1524" t="s">
        <v>127</v>
      </c>
      <c r="F1524" t="s">
        <v>388</v>
      </c>
      <c r="G1524">
        <v>4.5454545450000001</v>
      </c>
      <c r="H1524">
        <v>0</v>
      </c>
      <c r="I1524">
        <v>4.5454545450000001</v>
      </c>
      <c r="J1524">
        <v>95.454545449999998</v>
      </c>
      <c r="K1524">
        <v>0.8</v>
      </c>
      <c r="L1524">
        <v>0.2</v>
      </c>
      <c r="M1524">
        <v>0.7</v>
      </c>
      <c r="N1524">
        <v>630</v>
      </c>
      <c r="O1524">
        <v>30</v>
      </c>
      <c r="P1524">
        <v>0</v>
      </c>
      <c r="Q1524">
        <v>4.55</v>
      </c>
      <c r="R1524" t="s">
        <v>257</v>
      </c>
      <c r="S1524">
        <v>0.13</v>
      </c>
      <c r="T1524">
        <v>0.14000000000000001</v>
      </c>
    </row>
    <row r="1525" spans="1:21" ht="15" customHeight="1" x14ac:dyDescent="0.25">
      <c r="A1525" s="2">
        <v>45254.029861111114</v>
      </c>
      <c r="B1525" t="s">
        <v>309</v>
      </c>
      <c r="C1525" t="s">
        <v>217</v>
      </c>
      <c r="D1525">
        <v>2</v>
      </c>
      <c r="E1525" t="s">
        <v>127</v>
      </c>
      <c r="F1525" t="s">
        <v>388</v>
      </c>
      <c r="G1525">
        <v>7.8817733990000001</v>
      </c>
      <c r="H1525">
        <v>0</v>
      </c>
      <c r="I1525">
        <v>7.8817733990000001</v>
      </c>
      <c r="J1525">
        <v>92.1182266</v>
      </c>
      <c r="K1525">
        <v>0.8</v>
      </c>
      <c r="L1525">
        <v>0.2</v>
      </c>
      <c r="M1525">
        <v>0.7</v>
      </c>
      <c r="N1525">
        <v>561</v>
      </c>
      <c r="O1525">
        <v>48</v>
      </c>
      <c r="P1525">
        <v>0</v>
      </c>
      <c r="Q1525">
        <v>7.88</v>
      </c>
      <c r="R1525" t="s">
        <v>231</v>
      </c>
      <c r="S1525">
        <v>0.21</v>
      </c>
      <c r="T1525">
        <v>0.22</v>
      </c>
    </row>
    <row r="1526" spans="1:21" ht="15" customHeight="1" x14ac:dyDescent="0.25">
      <c r="A1526" s="2">
        <v>45316.540277777778</v>
      </c>
      <c r="B1526" t="s">
        <v>309</v>
      </c>
      <c r="C1526" t="s">
        <v>219</v>
      </c>
      <c r="D1526">
        <v>3</v>
      </c>
      <c r="E1526" t="s">
        <v>127</v>
      </c>
      <c r="F1526" t="s">
        <v>388</v>
      </c>
      <c r="G1526">
        <v>0.81168831200000002</v>
      </c>
      <c r="H1526">
        <v>0.32467532500000001</v>
      </c>
      <c r="I1526">
        <v>1.136363636</v>
      </c>
      <c r="J1526">
        <v>98.863636360000001</v>
      </c>
      <c r="K1526">
        <v>0.8</v>
      </c>
      <c r="L1526">
        <v>0.2</v>
      </c>
      <c r="M1526">
        <v>0.7</v>
      </c>
      <c r="N1526">
        <v>609</v>
      </c>
      <c r="O1526">
        <v>5</v>
      </c>
      <c r="P1526">
        <v>2</v>
      </c>
      <c r="Q1526">
        <v>1.1399999999999999</v>
      </c>
      <c r="R1526" t="s">
        <v>227</v>
      </c>
      <c r="S1526">
        <v>2.97</v>
      </c>
      <c r="T1526">
        <v>4</v>
      </c>
    </row>
    <row r="1527" spans="1:21" ht="15" customHeight="1" x14ac:dyDescent="0.25">
      <c r="A1527" s="2">
        <v>45320.881249999999</v>
      </c>
      <c r="B1527" t="s">
        <v>309</v>
      </c>
      <c r="C1527" t="s">
        <v>221</v>
      </c>
      <c r="D1527">
        <v>2</v>
      </c>
      <c r="E1527" t="s">
        <v>127</v>
      </c>
      <c r="F1527" t="s">
        <v>388</v>
      </c>
      <c r="G1527">
        <v>4.9069373939999998</v>
      </c>
      <c r="H1527">
        <v>0</v>
      </c>
      <c r="I1527">
        <v>4.9069373939999998</v>
      </c>
      <c r="J1527">
        <v>95.093062610000004</v>
      </c>
      <c r="K1527">
        <v>0.8</v>
      </c>
      <c r="L1527">
        <v>0.3</v>
      </c>
      <c r="M1527">
        <v>0.7</v>
      </c>
      <c r="N1527">
        <v>562</v>
      </c>
      <c r="O1527">
        <v>29</v>
      </c>
      <c r="P1527">
        <v>0</v>
      </c>
      <c r="Q1527">
        <v>4.91</v>
      </c>
      <c r="R1527" t="s">
        <v>229</v>
      </c>
      <c r="S1527">
        <v>0.17</v>
      </c>
      <c r="T1527">
        <v>0.19</v>
      </c>
    </row>
    <row r="1528" spans="1:21" ht="15" customHeight="1" x14ac:dyDescent="0.25">
      <c r="A1528" t="s">
        <v>19</v>
      </c>
      <c r="B1528" t="s">
        <v>20</v>
      </c>
      <c r="C1528" t="s">
        <v>306</v>
      </c>
      <c r="D1528">
        <v>3</v>
      </c>
      <c r="E1528" t="s">
        <v>127</v>
      </c>
      <c r="F1528" t="s">
        <v>388</v>
      </c>
      <c r="G1528">
        <v>8</v>
      </c>
      <c r="H1528">
        <v>2</v>
      </c>
      <c r="I1528">
        <f>G1528+H1528</f>
        <v>10</v>
      </c>
      <c r="J1528">
        <f>100-G1528-H1528</f>
        <v>90</v>
      </c>
      <c r="K1528" t="s">
        <v>19</v>
      </c>
      <c r="L1528" t="s">
        <v>19</v>
      </c>
      <c r="M1528" t="s">
        <v>19</v>
      </c>
      <c r="N1528" t="s">
        <v>19</v>
      </c>
      <c r="O1528" t="s">
        <v>19</v>
      </c>
      <c r="P1528" t="s">
        <v>19</v>
      </c>
      <c r="Q1528">
        <f>I1528</f>
        <v>10</v>
      </c>
      <c r="R1528" t="s">
        <v>19</v>
      </c>
      <c r="S1528" t="s">
        <v>19</v>
      </c>
      <c r="T1528" t="s">
        <v>19</v>
      </c>
    </row>
    <row r="1529" spans="1:21" ht="15" customHeight="1" x14ac:dyDescent="0.25">
      <c r="A1529" t="s">
        <v>19</v>
      </c>
      <c r="B1529" t="s">
        <v>20</v>
      </c>
      <c r="C1529" t="s">
        <v>320</v>
      </c>
      <c r="D1529">
        <v>3</v>
      </c>
      <c r="E1529" t="s">
        <v>127</v>
      </c>
      <c r="F1529" t="s">
        <v>388</v>
      </c>
      <c r="G1529">
        <v>0</v>
      </c>
      <c r="H1529">
        <v>0</v>
      </c>
      <c r="I1529">
        <f>100-J1529</f>
        <v>0</v>
      </c>
      <c r="J1529">
        <f>100-G1529-H1529</f>
        <v>100</v>
      </c>
      <c r="K1529" t="s">
        <v>19</v>
      </c>
      <c r="L1529" t="s">
        <v>19</v>
      </c>
      <c r="M1529" t="s">
        <v>19</v>
      </c>
      <c r="N1529" t="s">
        <v>19</v>
      </c>
      <c r="O1529" t="s">
        <v>19</v>
      </c>
      <c r="P1529" t="s">
        <v>19</v>
      </c>
      <c r="Q1529">
        <f>I1529</f>
        <v>0</v>
      </c>
      <c r="R1529" t="s">
        <v>19</v>
      </c>
      <c r="S1529" t="s">
        <v>19</v>
      </c>
      <c r="T1529" t="s">
        <v>19</v>
      </c>
    </row>
    <row r="1530" spans="1:21" ht="15" customHeight="1" x14ac:dyDescent="0.25">
      <c r="A1530" s="2">
        <v>45323.600671296299</v>
      </c>
      <c r="B1530" t="s">
        <v>309</v>
      </c>
      <c r="C1530" t="s">
        <v>322</v>
      </c>
      <c r="D1530">
        <v>3</v>
      </c>
      <c r="E1530" t="s">
        <v>127</v>
      </c>
      <c r="F1530" t="s">
        <v>388</v>
      </c>
      <c r="G1530" t="e">
        <f>(O1530/(N1530+O1530+P1530))*100</f>
        <v>#VALUE!</v>
      </c>
      <c r="H1530" t="e">
        <f>(P1530/(O1530+P1530+N1530))*100</f>
        <v>#VALUE!</v>
      </c>
      <c r="I1530">
        <v>2.84</v>
      </c>
      <c r="J1530" t="e">
        <f>(N1530/(P1530+O1530+N1530))*100</f>
        <v>#VALUE!</v>
      </c>
      <c r="K1530">
        <v>0.8</v>
      </c>
      <c r="L1530">
        <v>0.3</v>
      </c>
      <c r="M1530">
        <v>0.7</v>
      </c>
      <c r="N1530">
        <v>582</v>
      </c>
      <c r="O1530" t="s">
        <v>266</v>
      </c>
      <c r="P1530" t="s">
        <v>266</v>
      </c>
      <c r="Q1530">
        <v>2.84</v>
      </c>
      <c r="R1530" t="s">
        <v>240</v>
      </c>
      <c r="S1530">
        <v>2.66</v>
      </c>
      <c r="T1530">
        <v>3.13</v>
      </c>
      <c r="U1530">
        <v>18</v>
      </c>
    </row>
    <row r="1531" spans="1:21" ht="15" customHeight="1" x14ac:dyDescent="0.25">
      <c r="A1531" s="2">
        <v>45323.598344907405</v>
      </c>
      <c r="B1531" t="s">
        <v>309</v>
      </c>
      <c r="C1531" t="s">
        <v>322</v>
      </c>
      <c r="D1531">
        <v>3</v>
      </c>
      <c r="E1531" t="s">
        <v>127</v>
      </c>
      <c r="F1531" t="s">
        <v>388</v>
      </c>
      <c r="G1531">
        <f>(O1531/(N1531+O1531+P1531))*100</f>
        <v>3.1561461794019934</v>
      </c>
      <c r="H1531">
        <f>(P1531/(O1531+P1531+N1531))*100</f>
        <v>0.33222591362126247</v>
      </c>
      <c r="I1531">
        <v>3.49</v>
      </c>
      <c r="J1531">
        <f>(N1531/(P1531+O1531+N1531))*100</f>
        <v>96.511627906976756</v>
      </c>
      <c r="K1531">
        <v>0.7</v>
      </c>
      <c r="L1531">
        <v>0.3</v>
      </c>
      <c r="M1531">
        <v>0.7</v>
      </c>
      <c r="N1531">
        <v>581</v>
      </c>
      <c r="O1531">
        <v>19</v>
      </c>
      <c r="P1531">
        <v>2</v>
      </c>
      <c r="Q1531">
        <v>3.49</v>
      </c>
      <c r="R1531" t="s">
        <v>260</v>
      </c>
      <c r="S1531">
        <v>2.66</v>
      </c>
      <c r="T1531">
        <v>3.13</v>
      </c>
      <c r="U1531">
        <v>15</v>
      </c>
    </row>
    <row r="1532" spans="1:21" ht="15" customHeight="1" x14ac:dyDescent="0.25">
      <c r="A1532" s="2">
        <v>45325.018738425926</v>
      </c>
      <c r="B1532" t="s">
        <v>309</v>
      </c>
      <c r="C1532" t="s">
        <v>368</v>
      </c>
      <c r="D1532">
        <v>2</v>
      </c>
      <c r="E1532" t="s">
        <v>127</v>
      </c>
      <c r="F1532" t="s">
        <v>388</v>
      </c>
      <c r="G1532">
        <f>(O1532/(N1532+O1532+P1532))*100</f>
        <v>3.5836177474402731</v>
      </c>
      <c r="H1532">
        <f>(P1532/(O1532+P1532+N1532))*100</f>
        <v>0</v>
      </c>
      <c r="I1532">
        <v>3.58</v>
      </c>
      <c r="J1532">
        <f>(N1532/(P1532+O1532+N1532))*100</f>
        <v>96.416382252559728</v>
      </c>
      <c r="K1532">
        <v>0.8</v>
      </c>
      <c r="L1532">
        <v>0.3</v>
      </c>
      <c r="M1532">
        <v>0.7</v>
      </c>
      <c r="N1532">
        <v>565</v>
      </c>
      <c r="O1532">
        <v>21</v>
      </c>
      <c r="P1532">
        <v>0</v>
      </c>
      <c r="Q1532">
        <v>3.58</v>
      </c>
      <c r="R1532" t="s">
        <v>359</v>
      </c>
      <c r="S1532">
        <v>0.15</v>
      </c>
      <c r="T1532">
        <v>0.16</v>
      </c>
    </row>
    <row r="1533" spans="1:21" ht="15" customHeight="1" x14ac:dyDescent="0.25">
      <c r="A1533" t="s">
        <v>19</v>
      </c>
      <c r="B1533" t="s">
        <v>20</v>
      </c>
      <c r="C1533" t="s">
        <v>308</v>
      </c>
      <c r="D1533">
        <v>3</v>
      </c>
      <c r="E1533" t="s">
        <v>128</v>
      </c>
      <c r="F1533" t="s">
        <v>388</v>
      </c>
      <c r="G1533">
        <v>1</v>
      </c>
      <c r="H1533">
        <v>1</v>
      </c>
      <c r="I1533">
        <f>G1533+H1533</f>
        <v>2</v>
      </c>
      <c r="J1533">
        <f>100-G1533-H1533</f>
        <v>98</v>
      </c>
      <c r="K1533" t="s">
        <v>19</v>
      </c>
      <c r="L1533" t="s">
        <v>19</v>
      </c>
      <c r="M1533" t="s">
        <v>19</v>
      </c>
      <c r="N1533" t="s">
        <v>19</v>
      </c>
      <c r="O1533" t="s">
        <v>19</v>
      </c>
      <c r="P1533" t="s">
        <v>19</v>
      </c>
      <c r="Q1533">
        <f>I1533</f>
        <v>2</v>
      </c>
      <c r="R1533" t="s">
        <v>19</v>
      </c>
      <c r="S1533" t="s">
        <v>19</v>
      </c>
      <c r="T1533" t="s">
        <v>19</v>
      </c>
    </row>
    <row r="1534" spans="1:21" ht="15" customHeight="1" x14ac:dyDescent="0.25">
      <c r="A1534" t="s">
        <v>19</v>
      </c>
      <c r="B1534" t="s">
        <v>20</v>
      </c>
      <c r="C1534" t="s">
        <v>22</v>
      </c>
      <c r="D1534">
        <v>3</v>
      </c>
      <c r="E1534" t="s">
        <v>128</v>
      </c>
      <c r="F1534" t="s">
        <v>388</v>
      </c>
      <c r="G1534">
        <v>0</v>
      </c>
      <c r="H1534">
        <v>0</v>
      </c>
      <c r="I1534">
        <f>G1534+H1534</f>
        <v>0</v>
      </c>
      <c r="J1534">
        <f>100-G1534-H1534</f>
        <v>100</v>
      </c>
      <c r="K1534" t="s">
        <v>19</v>
      </c>
      <c r="L1534" t="s">
        <v>19</v>
      </c>
      <c r="M1534" t="s">
        <v>19</v>
      </c>
      <c r="N1534" t="s">
        <v>19</v>
      </c>
      <c r="O1534" t="s">
        <v>19</v>
      </c>
      <c r="P1534" t="s">
        <v>19</v>
      </c>
      <c r="Q1534">
        <f>I1534</f>
        <v>0</v>
      </c>
      <c r="R1534" t="s">
        <v>19</v>
      </c>
      <c r="S1534" t="s">
        <v>19</v>
      </c>
      <c r="T1534" t="s">
        <v>19</v>
      </c>
    </row>
    <row r="1535" spans="1:21" ht="15" customHeight="1" x14ac:dyDescent="0.25">
      <c r="A1535" t="s">
        <v>19</v>
      </c>
      <c r="B1535" t="s">
        <v>20</v>
      </c>
      <c r="C1535" t="s">
        <v>305</v>
      </c>
      <c r="D1535">
        <v>3</v>
      </c>
      <c r="E1535" t="s">
        <v>128</v>
      </c>
      <c r="F1535" t="s">
        <v>388</v>
      </c>
      <c r="G1535">
        <v>0</v>
      </c>
      <c r="H1535">
        <v>0</v>
      </c>
      <c r="I1535">
        <f>G1535+H1535</f>
        <v>0</v>
      </c>
      <c r="J1535">
        <f>100-G1535-H1535</f>
        <v>100</v>
      </c>
      <c r="K1535" t="s">
        <v>19</v>
      </c>
      <c r="L1535" t="s">
        <v>19</v>
      </c>
      <c r="M1535" t="s">
        <v>19</v>
      </c>
      <c r="N1535" t="s">
        <v>19</v>
      </c>
      <c r="O1535" t="s">
        <v>19</v>
      </c>
      <c r="P1535" t="s">
        <v>19</v>
      </c>
      <c r="Q1535">
        <f>I1535</f>
        <v>0</v>
      </c>
      <c r="R1535" t="s">
        <v>19</v>
      </c>
      <c r="S1535" t="s">
        <v>19</v>
      </c>
      <c r="T1535" t="s">
        <v>19</v>
      </c>
    </row>
    <row r="1536" spans="1:21" ht="15" customHeight="1" x14ac:dyDescent="0.25">
      <c r="A1536" t="s">
        <v>19</v>
      </c>
      <c r="B1536" t="s">
        <v>20</v>
      </c>
      <c r="C1536" t="s">
        <v>307</v>
      </c>
      <c r="D1536">
        <v>3</v>
      </c>
      <c r="E1536" t="s">
        <v>128</v>
      </c>
      <c r="F1536" t="s">
        <v>388</v>
      </c>
      <c r="G1536">
        <v>0</v>
      </c>
      <c r="H1536">
        <v>0</v>
      </c>
      <c r="I1536">
        <f>G1536+H1536</f>
        <v>0</v>
      </c>
      <c r="J1536">
        <f>100-G1536-H1536</f>
        <v>100</v>
      </c>
      <c r="K1536" t="s">
        <v>19</v>
      </c>
      <c r="L1536" t="s">
        <v>19</v>
      </c>
      <c r="M1536" t="s">
        <v>19</v>
      </c>
      <c r="N1536" t="s">
        <v>19</v>
      </c>
      <c r="O1536" t="s">
        <v>19</v>
      </c>
      <c r="P1536" t="s">
        <v>19</v>
      </c>
      <c r="Q1536">
        <f>I1536</f>
        <v>0</v>
      </c>
      <c r="R1536" t="s">
        <v>19</v>
      </c>
      <c r="S1536" t="s">
        <v>19</v>
      </c>
      <c r="T1536" t="s">
        <v>19</v>
      </c>
    </row>
    <row r="1537" spans="1:21" ht="15" customHeight="1" x14ac:dyDescent="0.25">
      <c r="A1537" s="2">
        <v>45253.591666666667</v>
      </c>
      <c r="B1537" t="s">
        <v>309</v>
      </c>
      <c r="C1537" t="s">
        <v>213</v>
      </c>
      <c r="D1537">
        <v>3</v>
      </c>
      <c r="E1537" t="s">
        <v>128</v>
      </c>
      <c r="F1537" t="s">
        <v>388</v>
      </c>
      <c r="G1537">
        <v>1.981981982</v>
      </c>
      <c r="H1537">
        <v>1.441441441</v>
      </c>
      <c r="I1537">
        <v>3.423423423</v>
      </c>
      <c r="J1537">
        <v>96.576576579999994</v>
      </c>
      <c r="K1537">
        <v>0.8</v>
      </c>
      <c r="L1537">
        <v>0.2</v>
      </c>
      <c r="M1537">
        <v>0.7</v>
      </c>
      <c r="N1537">
        <v>536</v>
      </c>
      <c r="O1537">
        <v>11</v>
      </c>
      <c r="P1537">
        <v>8</v>
      </c>
      <c r="Q1537">
        <v>3.42</v>
      </c>
      <c r="R1537" t="s">
        <v>236</v>
      </c>
      <c r="S1537">
        <v>2.7</v>
      </c>
      <c r="T1537">
        <v>3.34</v>
      </c>
    </row>
    <row r="1538" spans="1:21" ht="15" customHeight="1" x14ac:dyDescent="0.25">
      <c r="A1538" s="2">
        <v>45253.861805555556</v>
      </c>
      <c r="B1538" t="s">
        <v>309</v>
      </c>
      <c r="C1538" t="s">
        <v>215</v>
      </c>
      <c r="D1538">
        <v>2</v>
      </c>
      <c r="E1538" t="s">
        <v>128</v>
      </c>
      <c r="F1538" t="s">
        <v>388</v>
      </c>
      <c r="G1538">
        <v>0.71633237800000005</v>
      </c>
      <c r="H1538">
        <v>0</v>
      </c>
      <c r="I1538">
        <v>0.71633237800000005</v>
      </c>
      <c r="J1538">
        <v>99.283667620000003</v>
      </c>
      <c r="K1538">
        <v>0.8</v>
      </c>
      <c r="L1538">
        <v>0.2</v>
      </c>
      <c r="M1538">
        <v>0.7</v>
      </c>
      <c r="N1538">
        <v>693</v>
      </c>
      <c r="O1538">
        <v>5</v>
      </c>
      <c r="P1538">
        <v>0</v>
      </c>
      <c r="Q1538">
        <v>0.72</v>
      </c>
      <c r="R1538" t="s">
        <v>243</v>
      </c>
      <c r="S1538">
        <v>0.02</v>
      </c>
      <c r="T1538">
        <v>0.02</v>
      </c>
    </row>
    <row r="1539" spans="1:21" ht="15" customHeight="1" x14ac:dyDescent="0.25">
      <c r="A1539" s="2">
        <v>45254.030555555553</v>
      </c>
      <c r="B1539" t="s">
        <v>309</v>
      </c>
      <c r="C1539" t="s">
        <v>217</v>
      </c>
      <c r="D1539">
        <v>2</v>
      </c>
      <c r="E1539" t="s">
        <v>128</v>
      </c>
      <c r="F1539" t="s">
        <v>388</v>
      </c>
      <c r="G1539">
        <v>0.283687943</v>
      </c>
      <c r="H1539">
        <v>0</v>
      </c>
      <c r="I1539">
        <v>0.283687943</v>
      </c>
      <c r="J1539">
        <v>99.716312060000007</v>
      </c>
      <c r="K1539">
        <v>0.8</v>
      </c>
      <c r="L1539">
        <v>0.2</v>
      </c>
      <c r="M1539">
        <v>0.7</v>
      </c>
      <c r="N1539">
        <v>703</v>
      </c>
      <c r="O1539">
        <v>2</v>
      </c>
      <c r="P1539">
        <v>0</v>
      </c>
      <c r="Q1539">
        <v>0.28000000000000003</v>
      </c>
      <c r="R1539" t="s">
        <v>227</v>
      </c>
      <c r="S1539">
        <v>0.01</v>
      </c>
      <c r="T1539">
        <v>0.01</v>
      </c>
    </row>
    <row r="1540" spans="1:21" ht="15" customHeight="1" x14ac:dyDescent="0.25">
      <c r="A1540" s="2">
        <v>45316.540972222225</v>
      </c>
      <c r="B1540" t="s">
        <v>309</v>
      </c>
      <c r="C1540" t="s">
        <v>219</v>
      </c>
      <c r="D1540">
        <v>3</v>
      </c>
      <c r="E1540" t="s">
        <v>128</v>
      </c>
      <c r="F1540" t="s">
        <v>388</v>
      </c>
      <c r="G1540">
        <v>0</v>
      </c>
      <c r="H1540">
        <v>0.93676815000000002</v>
      </c>
      <c r="I1540">
        <v>0.93676815000000002</v>
      </c>
      <c r="J1540">
        <v>99.063231849999994</v>
      </c>
      <c r="K1540">
        <v>0.8</v>
      </c>
      <c r="L1540">
        <v>0.2</v>
      </c>
      <c r="M1540">
        <v>0.7</v>
      </c>
      <c r="N1540">
        <v>423</v>
      </c>
      <c r="O1540">
        <v>0</v>
      </c>
      <c r="P1540">
        <v>4</v>
      </c>
      <c r="Q1540">
        <v>0.94</v>
      </c>
      <c r="R1540" t="s">
        <v>227</v>
      </c>
      <c r="S1540">
        <v>3.11</v>
      </c>
      <c r="T1540">
        <v>4.03</v>
      </c>
    </row>
    <row r="1541" spans="1:21" ht="15" customHeight="1" x14ac:dyDescent="0.25">
      <c r="A1541" s="2">
        <v>45320.882638888892</v>
      </c>
      <c r="B1541" t="s">
        <v>309</v>
      </c>
      <c r="C1541" t="s">
        <v>221</v>
      </c>
      <c r="D1541">
        <v>2</v>
      </c>
      <c r="E1541" t="s">
        <v>128</v>
      </c>
      <c r="F1541" t="s">
        <v>388</v>
      </c>
      <c r="G1541">
        <v>0.31595576600000003</v>
      </c>
      <c r="H1541">
        <v>0</v>
      </c>
      <c r="I1541">
        <v>0.31595576600000003</v>
      </c>
      <c r="J1541">
        <v>99.684044229999998</v>
      </c>
      <c r="K1541">
        <v>0.8</v>
      </c>
      <c r="L1541">
        <v>0.3</v>
      </c>
      <c r="M1541">
        <v>0.7</v>
      </c>
      <c r="N1541">
        <v>631</v>
      </c>
      <c r="O1541">
        <v>2</v>
      </c>
      <c r="P1541">
        <v>0</v>
      </c>
      <c r="Q1541">
        <v>0.32</v>
      </c>
      <c r="R1541" t="s">
        <v>222</v>
      </c>
      <c r="S1541">
        <v>0.03</v>
      </c>
      <c r="T1541">
        <v>0.03</v>
      </c>
    </row>
    <row r="1542" spans="1:21" ht="15" customHeight="1" x14ac:dyDescent="0.25">
      <c r="A1542" t="s">
        <v>19</v>
      </c>
      <c r="B1542" t="s">
        <v>20</v>
      </c>
      <c r="C1542" t="s">
        <v>306</v>
      </c>
      <c r="D1542">
        <v>3</v>
      </c>
      <c r="E1542" t="s">
        <v>128</v>
      </c>
      <c r="F1542" t="s">
        <v>388</v>
      </c>
      <c r="G1542">
        <v>0</v>
      </c>
      <c r="H1542">
        <v>0</v>
      </c>
      <c r="I1542">
        <f>G1542+H1542</f>
        <v>0</v>
      </c>
      <c r="J1542">
        <f>100-G1542-H1542</f>
        <v>100</v>
      </c>
      <c r="K1542" t="s">
        <v>19</v>
      </c>
      <c r="L1542" t="s">
        <v>19</v>
      </c>
      <c r="M1542" t="s">
        <v>19</v>
      </c>
      <c r="N1542" t="s">
        <v>19</v>
      </c>
      <c r="O1542" t="s">
        <v>19</v>
      </c>
      <c r="P1542" t="s">
        <v>19</v>
      </c>
      <c r="Q1542">
        <f>I1542</f>
        <v>0</v>
      </c>
      <c r="R1542" t="s">
        <v>19</v>
      </c>
      <c r="S1542" t="s">
        <v>19</v>
      </c>
      <c r="T1542" t="s">
        <v>19</v>
      </c>
    </row>
    <row r="1543" spans="1:21" ht="15" customHeight="1" x14ac:dyDescent="0.25">
      <c r="A1543" t="s">
        <v>19</v>
      </c>
      <c r="B1543" t="s">
        <v>20</v>
      </c>
      <c r="C1543" t="s">
        <v>320</v>
      </c>
      <c r="D1543">
        <v>3</v>
      </c>
      <c r="E1543" t="s">
        <v>128</v>
      </c>
      <c r="F1543" t="s">
        <v>388</v>
      </c>
      <c r="G1543">
        <v>0</v>
      </c>
      <c r="H1543">
        <v>0</v>
      </c>
      <c r="I1543">
        <f>100-J1543</f>
        <v>0</v>
      </c>
      <c r="J1543">
        <f>100-G1543-H1543</f>
        <v>100</v>
      </c>
      <c r="K1543" t="s">
        <v>19</v>
      </c>
      <c r="L1543" t="s">
        <v>19</v>
      </c>
      <c r="M1543" t="s">
        <v>19</v>
      </c>
      <c r="N1543" t="s">
        <v>19</v>
      </c>
      <c r="O1543" t="s">
        <v>19</v>
      </c>
      <c r="P1543" t="s">
        <v>19</v>
      </c>
      <c r="Q1543">
        <f>I1543</f>
        <v>0</v>
      </c>
      <c r="R1543" t="s">
        <v>19</v>
      </c>
      <c r="S1543" t="s">
        <v>19</v>
      </c>
      <c r="T1543" t="s">
        <v>19</v>
      </c>
    </row>
    <row r="1544" spans="1:21" ht="15" customHeight="1" x14ac:dyDescent="0.25">
      <c r="A1544" s="2">
        <v>45323.602164351854</v>
      </c>
      <c r="B1544" t="s">
        <v>309</v>
      </c>
      <c r="C1544" t="s">
        <v>322</v>
      </c>
      <c r="D1544">
        <v>3</v>
      </c>
      <c r="E1544" t="s">
        <v>128</v>
      </c>
      <c r="F1544" t="s">
        <v>388</v>
      </c>
      <c r="G1544">
        <f>(O1544/(N1544+O1544+P1544))*100</f>
        <v>0.15384615384615385</v>
      </c>
      <c r="H1544">
        <f>(P1544/(O1544+P1544+N1544))*100</f>
        <v>0</v>
      </c>
      <c r="I1544">
        <v>0.15</v>
      </c>
      <c r="J1544">
        <f>(N1544/(P1544+O1544+N1544))*100</f>
        <v>99.846153846153854</v>
      </c>
      <c r="K1544">
        <v>0.8</v>
      </c>
      <c r="L1544">
        <v>0.3</v>
      </c>
      <c r="M1544">
        <v>0.7</v>
      </c>
      <c r="N1544">
        <v>649</v>
      </c>
      <c r="O1544">
        <v>1</v>
      </c>
      <c r="P1544">
        <v>0</v>
      </c>
      <c r="Q1544">
        <v>0.15</v>
      </c>
      <c r="R1544" t="s">
        <v>330</v>
      </c>
      <c r="S1544">
        <v>2.59</v>
      </c>
      <c r="T1544">
        <v>4.3099999999999996</v>
      </c>
      <c r="U1544">
        <v>8</v>
      </c>
    </row>
    <row r="1545" spans="1:21" ht="15" customHeight="1" x14ac:dyDescent="0.25">
      <c r="A1545" s="2">
        <v>45323.599780092591</v>
      </c>
      <c r="B1545" t="s">
        <v>309</v>
      </c>
      <c r="C1545" t="s">
        <v>322</v>
      </c>
      <c r="D1545">
        <v>3</v>
      </c>
      <c r="E1545" t="s">
        <v>128</v>
      </c>
      <c r="F1545" t="s">
        <v>388</v>
      </c>
      <c r="G1545">
        <f>(O1545/(N1545+O1545+P1545))*100</f>
        <v>0.15384615384615385</v>
      </c>
      <c r="H1545">
        <f>(P1545/(O1545+P1545+N1545))*100</f>
        <v>0</v>
      </c>
      <c r="I1545">
        <v>0.15</v>
      </c>
      <c r="J1545">
        <f>(N1545/(P1545+O1545+N1545))*100</f>
        <v>99.846153846153854</v>
      </c>
      <c r="K1545">
        <v>0.7</v>
      </c>
      <c r="L1545">
        <v>0.3</v>
      </c>
      <c r="M1545">
        <v>0.7</v>
      </c>
      <c r="N1545">
        <v>649</v>
      </c>
      <c r="O1545">
        <v>1</v>
      </c>
      <c r="P1545">
        <v>0</v>
      </c>
      <c r="Q1545">
        <v>0.15</v>
      </c>
      <c r="R1545" t="s">
        <v>214</v>
      </c>
      <c r="S1545">
        <v>2.59</v>
      </c>
      <c r="T1545">
        <v>4.3099999999999996</v>
      </c>
      <c r="U1545">
        <v>8</v>
      </c>
    </row>
    <row r="1546" spans="1:21" ht="15" customHeight="1" x14ac:dyDescent="0.25">
      <c r="A1546" s="2">
        <v>45325.020069444443</v>
      </c>
      <c r="B1546" t="s">
        <v>309</v>
      </c>
      <c r="C1546" t="s">
        <v>368</v>
      </c>
      <c r="D1546">
        <v>2</v>
      </c>
      <c r="E1546" t="s">
        <v>128</v>
      </c>
      <c r="F1546" t="s">
        <v>388</v>
      </c>
      <c r="G1546">
        <f>(O1546/(N1546+O1546+P1546))*100</f>
        <v>0.48231511254019299</v>
      </c>
      <c r="H1546">
        <f>(P1546/(O1546+P1546+N1546))*100</f>
        <v>0</v>
      </c>
      <c r="I1546">
        <v>0.48</v>
      </c>
      <c r="J1546">
        <f>(N1546/(P1546+O1546+N1546))*100</f>
        <v>99.517684887459808</v>
      </c>
      <c r="K1546">
        <v>0.8</v>
      </c>
      <c r="L1546">
        <v>0.3</v>
      </c>
      <c r="M1546">
        <v>0.7</v>
      </c>
      <c r="N1546">
        <v>619</v>
      </c>
      <c r="O1546">
        <v>3</v>
      </c>
      <c r="P1546">
        <v>0</v>
      </c>
      <c r="Q1546">
        <v>0.48</v>
      </c>
      <c r="R1546" t="s">
        <v>271</v>
      </c>
      <c r="S1546">
        <v>0.05</v>
      </c>
      <c r="T1546">
        <v>0.06</v>
      </c>
    </row>
    <row r="1547" spans="1:21" ht="15" customHeight="1" x14ac:dyDescent="0.25">
      <c r="A1547" t="s">
        <v>19</v>
      </c>
      <c r="B1547" t="s">
        <v>20</v>
      </c>
      <c r="C1547" t="s">
        <v>306</v>
      </c>
      <c r="D1547">
        <v>3</v>
      </c>
      <c r="E1547" t="s">
        <v>129</v>
      </c>
      <c r="F1547" t="s">
        <v>373</v>
      </c>
      <c r="G1547">
        <v>1</v>
      </c>
      <c r="H1547">
        <v>0</v>
      </c>
      <c r="I1547">
        <f>G1547+H1547</f>
        <v>1</v>
      </c>
      <c r="J1547">
        <f>100-G1547-H1547</f>
        <v>99</v>
      </c>
      <c r="K1547" t="s">
        <v>19</v>
      </c>
      <c r="L1547" t="s">
        <v>19</v>
      </c>
      <c r="M1547" t="s">
        <v>19</v>
      </c>
      <c r="N1547" t="s">
        <v>19</v>
      </c>
      <c r="O1547" t="s">
        <v>19</v>
      </c>
      <c r="P1547" t="s">
        <v>19</v>
      </c>
      <c r="Q1547">
        <f>I1547</f>
        <v>1</v>
      </c>
      <c r="R1547" t="s">
        <v>19</v>
      </c>
      <c r="S1547" t="s">
        <v>19</v>
      </c>
      <c r="T1547" t="s">
        <v>19</v>
      </c>
    </row>
    <row r="1548" spans="1:21" ht="15" customHeight="1" x14ac:dyDescent="0.25">
      <c r="A1548" t="s">
        <v>19</v>
      </c>
      <c r="B1548" t="s">
        <v>20</v>
      </c>
      <c r="C1548" t="s">
        <v>308</v>
      </c>
      <c r="D1548">
        <v>3</v>
      </c>
      <c r="E1548" t="s">
        <v>129</v>
      </c>
      <c r="F1548" t="s">
        <v>373</v>
      </c>
      <c r="G1548">
        <v>1</v>
      </c>
      <c r="H1548">
        <v>0</v>
      </c>
      <c r="I1548">
        <f>G1548+H1548</f>
        <v>1</v>
      </c>
      <c r="J1548">
        <f>100-G1548-H1548</f>
        <v>99</v>
      </c>
      <c r="K1548" t="s">
        <v>19</v>
      </c>
      <c r="L1548" t="s">
        <v>19</v>
      </c>
      <c r="M1548" t="s">
        <v>19</v>
      </c>
      <c r="N1548" t="s">
        <v>19</v>
      </c>
      <c r="O1548" t="s">
        <v>19</v>
      </c>
      <c r="P1548" t="s">
        <v>19</v>
      </c>
      <c r="Q1548">
        <f>I1548</f>
        <v>1</v>
      </c>
      <c r="R1548" t="s">
        <v>19</v>
      </c>
      <c r="S1548" t="s">
        <v>19</v>
      </c>
      <c r="T1548" t="s">
        <v>19</v>
      </c>
    </row>
    <row r="1549" spans="1:21" ht="15" customHeight="1" x14ac:dyDescent="0.25">
      <c r="A1549" t="s">
        <v>19</v>
      </c>
      <c r="B1549" t="s">
        <v>20</v>
      </c>
      <c r="C1549" t="s">
        <v>22</v>
      </c>
      <c r="D1549">
        <v>3</v>
      </c>
      <c r="E1549" t="s">
        <v>129</v>
      </c>
      <c r="F1549" t="s">
        <v>373</v>
      </c>
      <c r="G1549">
        <v>0</v>
      </c>
      <c r="H1549">
        <v>0</v>
      </c>
      <c r="I1549">
        <f>G1549+H1549</f>
        <v>0</v>
      </c>
      <c r="J1549">
        <f>100-G1549-H1549</f>
        <v>100</v>
      </c>
      <c r="K1549" t="s">
        <v>19</v>
      </c>
      <c r="L1549" t="s">
        <v>19</v>
      </c>
      <c r="M1549" t="s">
        <v>19</v>
      </c>
      <c r="N1549" t="s">
        <v>19</v>
      </c>
      <c r="O1549" t="s">
        <v>19</v>
      </c>
      <c r="P1549" t="s">
        <v>19</v>
      </c>
      <c r="Q1549">
        <f>I1549</f>
        <v>0</v>
      </c>
      <c r="R1549" t="s">
        <v>19</v>
      </c>
      <c r="S1549" t="s">
        <v>19</v>
      </c>
      <c r="T1549" t="s">
        <v>19</v>
      </c>
    </row>
    <row r="1550" spans="1:21" ht="15" customHeight="1" x14ac:dyDescent="0.25">
      <c r="A1550" t="s">
        <v>19</v>
      </c>
      <c r="B1550" t="s">
        <v>20</v>
      </c>
      <c r="C1550" t="s">
        <v>305</v>
      </c>
      <c r="D1550">
        <v>3</v>
      </c>
      <c r="E1550" t="s">
        <v>129</v>
      </c>
      <c r="F1550" t="s">
        <v>373</v>
      </c>
      <c r="G1550">
        <v>0</v>
      </c>
      <c r="H1550">
        <v>0</v>
      </c>
      <c r="I1550">
        <f>G1550+H1550</f>
        <v>0</v>
      </c>
      <c r="J1550">
        <f>100-G1550-H1550</f>
        <v>100</v>
      </c>
      <c r="K1550" t="s">
        <v>19</v>
      </c>
      <c r="L1550" t="s">
        <v>19</v>
      </c>
      <c r="M1550" t="s">
        <v>19</v>
      </c>
      <c r="N1550" t="s">
        <v>19</v>
      </c>
      <c r="O1550" t="s">
        <v>19</v>
      </c>
      <c r="P1550" t="s">
        <v>19</v>
      </c>
      <c r="Q1550">
        <f>I1550</f>
        <v>0</v>
      </c>
      <c r="R1550" t="s">
        <v>19</v>
      </c>
      <c r="S1550" t="s">
        <v>19</v>
      </c>
      <c r="T1550" t="s">
        <v>19</v>
      </c>
    </row>
    <row r="1551" spans="1:21" ht="15" customHeight="1" x14ac:dyDescent="0.25">
      <c r="A1551" t="s">
        <v>19</v>
      </c>
      <c r="B1551" t="s">
        <v>20</v>
      </c>
      <c r="C1551" t="s">
        <v>307</v>
      </c>
      <c r="D1551">
        <v>3</v>
      </c>
      <c r="E1551" t="s">
        <v>129</v>
      </c>
      <c r="F1551" t="s">
        <v>373</v>
      </c>
      <c r="G1551">
        <v>0</v>
      </c>
      <c r="H1551">
        <v>0</v>
      </c>
      <c r="I1551">
        <f>G1551+H1551</f>
        <v>0</v>
      </c>
      <c r="J1551">
        <f>100-G1551-H1551</f>
        <v>100</v>
      </c>
      <c r="K1551" t="s">
        <v>19</v>
      </c>
      <c r="L1551" t="s">
        <v>19</v>
      </c>
      <c r="M1551" t="s">
        <v>19</v>
      </c>
      <c r="N1551" t="s">
        <v>19</v>
      </c>
      <c r="O1551" t="s">
        <v>19</v>
      </c>
      <c r="P1551" t="s">
        <v>19</v>
      </c>
      <c r="Q1551">
        <f>I1551</f>
        <v>0</v>
      </c>
      <c r="R1551" t="s">
        <v>19</v>
      </c>
      <c r="S1551" t="s">
        <v>19</v>
      </c>
      <c r="T1551" t="s">
        <v>19</v>
      </c>
    </row>
    <row r="1552" spans="1:21" ht="15" customHeight="1" x14ac:dyDescent="0.25">
      <c r="A1552" s="2">
        <v>45253.746527777781</v>
      </c>
      <c r="B1552" t="s">
        <v>309</v>
      </c>
      <c r="C1552" t="s">
        <v>213</v>
      </c>
      <c r="D1552">
        <v>3</v>
      </c>
      <c r="E1552" t="s">
        <v>129</v>
      </c>
      <c r="F1552" t="s">
        <v>373</v>
      </c>
      <c r="G1552">
        <v>0.59055118100000004</v>
      </c>
      <c r="H1552">
        <v>0.393700787</v>
      </c>
      <c r="I1552">
        <v>0.984251969</v>
      </c>
      <c r="J1552">
        <v>99.015748029999997</v>
      </c>
      <c r="K1552">
        <v>0.8</v>
      </c>
      <c r="L1552">
        <v>0.2</v>
      </c>
      <c r="M1552">
        <v>0.7</v>
      </c>
      <c r="N1552">
        <v>503</v>
      </c>
      <c r="O1552">
        <v>3</v>
      </c>
      <c r="P1552">
        <v>2</v>
      </c>
      <c r="Q1552">
        <v>0.98</v>
      </c>
      <c r="R1552" t="s">
        <v>238</v>
      </c>
      <c r="S1552">
        <v>2.81</v>
      </c>
      <c r="T1552">
        <v>3.01</v>
      </c>
    </row>
    <row r="1553" spans="1:21" ht="15" customHeight="1" x14ac:dyDescent="0.25">
      <c r="A1553" s="2">
        <v>45253.943749999999</v>
      </c>
      <c r="B1553" t="s">
        <v>309</v>
      </c>
      <c r="C1553" t="s">
        <v>215</v>
      </c>
      <c r="D1553">
        <v>2</v>
      </c>
      <c r="E1553" t="s">
        <v>129</v>
      </c>
      <c r="F1553" t="s">
        <v>373</v>
      </c>
      <c r="G1553">
        <v>0.42194092799999999</v>
      </c>
      <c r="H1553">
        <v>0</v>
      </c>
      <c r="I1553">
        <v>0.42194092799999999</v>
      </c>
      <c r="J1553">
        <v>99.578059069999995</v>
      </c>
      <c r="K1553">
        <v>0.8</v>
      </c>
      <c r="L1553">
        <v>0.2</v>
      </c>
      <c r="M1553">
        <v>0.7</v>
      </c>
      <c r="N1553">
        <v>708</v>
      </c>
      <c r="O1553">
        <v>3</v>
      </c>
      <c r="P1553">
        <v>0</v>
      </c>
      <c r="Q1553">
        <v>0.42</v>
      </c>
      <c r="R1553" t="s">
        <v>257</v>
      </c>
      <c r="S1553">
        <v>0.04</v>
      </c>
      <c r="T1553">
        <v>0.04</v>
      </c>
    </row>
    <row r="1554" spans="1:21" ht="15" customHeight="1" x14ac:dyDescent="0.25">
      <c r="A1554" s="2">
        <v>45254.118750000001</v>
      </c>
      <c r="B1554" t="s">
        <v>309</v>
      </c>
      <c r="C1554" t="s">
        <v>217</v>
      </c>
      <c r="D1554">
        <v>2</v>
      </c>
      <c r="E1554" t="s">
        <v>129</v>
      </c>
      <c r="F1554" t="s">
        <v>373</v>
      </c>
      <c r="G1554">
        <v>2.7231467469999999</v>
      </c>
      <c r="H1554">
        <v>0</v>
      </c>
      <c r="I1554">
        <v>2.7231467469999999</v>
      </c>
      <c r="J1554">
        <v>97.276853250000002</v>
      </c>
      <c r="K1554">
        <v>0.8</v>
      </c>
      <c r="L1554">
        <v>0.2</v>
      </c>
      <c r="M1554">
        <v>0.7</v>
      </c>
      <c r="N1554">
        <v>643</v>
      </c>
      <c r="O1554">
        <v>18</v>
      </c>
      <c r="P1554">
        <v>0</v>
      </c>
      <c r="Q1554">
        <v>2.72</v>
      </c>
      <c r="R1554" t="s">
        <v>231</v>
      </c>
      <c r="S1554">
        <v>0.13</v>
      </c>
      <c r="T1554">
        <v>0.14000000000000001</v>
      </c>
    </row>
    <row r="1555" spans="1:21" ht="15" customHeight="1" x14ac:dyDescent="0.25">
      <c r="A1555" s="2">
        <v>45316.454861111109</v>
      </c>
      <c r="B1555" t="s">
        <v>309</v>
      </c>
      <c r="C1555" t="s">
        <v>219</v>
      </c>
      <c r="D1555">
        <v>3</v>
      </c>
      <c r="E1555" t="s">
        <v>129</v>
      </c>
      <c r="F1555" t="s">
        <v>373</v>
      </c>
      <c r="G1555">
        <v>0.81632653099999997</v>
      </c>
      <c r="H1555">
        <v>0.408163265</v>
      </c>
      <c r="I1555">
        <v>1.2244897960000001</v>
      </c>
      <c r="J1555">
        <v>98.775510199999999</v>
      </c>
      <c r="K1555">
        <v>0.8</v>
      </c>
      <c r="L1555">
        <v>0.2</v>
      </c>
      <c r="M1555">
        <v>0.7</v>
      </c>
      <c r="N1555">
        <v>242</v>
      </c>
      <c r="O1555">
        <v>2</v>
      </c>
      <c r="P1555">
        <v>1</v>
      </c>
      <c r="Q1555">
        <v>1.22</v>
      </c>
      <c r="R1555" t="s">
        <v>225</v>
      </c>
      <c r="S1555">
        <v>3.22</v>
      </c>
      <c r="T1555">
        <v>4.2</v>
      </c>
    </row>
    <row r="1556" spans="1:21" ht="15" customHeight="1" x14ac:dyDescent="0.25">
      <c r="A1556" s="2">
        <v>45320.979166666664</v>
      </c>
      <c r="B1556" t="s">
        <v>309</v>
      </c>
      <c r="C1556" t="s">
        <v>221</v>
      </c>
      <c r="D1556">
        <v>2</v>
      </c>
      <c r="E1556" t="s">
        <v>129</v>
      </c>
      <c r="F1556" t="s">
        <v>373</v>
      </c>
      <c r="G1556">
        <v>0.47468354400000001</v>
      </c>
      <c r="H1556">
        <v>0</v>
      </c>
      <c r="I1556">
        <v>0.47468354400000001</v>
      </c>
      <c r="J1556">
        <v>99.525316459999999</v>
      </c>
      <c r="K1556">
        <v>0.8</v>
      </c>
      <c r="L1556">
        <v>0.3</v>
      </c>
      <c r="M1556">
        <v>0.7</v>
      </c>
      <c r="N1556">
        <v>629</v>
      </c>
      <c r="O1556">
        <v>3</v>
      </c>
      <c r="P1556">
        <v>0</v>
      </c>
      <c r="Q1556">
        <v>0.47</v>
      </c>
      <c r="R1556" t="s">
        <v>225</v>
      </c>
      <c r="S1556">
        <v>0.06</v>
      </c>
      <c r="T1556">
        <v>0.06</v>
      </c>
    </row>
    <row r="1557" spans="1:21" ht="15" customHeight="1" x14ac:dyDescent="0.25">
      <c r="A1557" t="s">
        <v>19</v>
      </c>
      <c r="B1557" t="s">
        <v>20</v>
      </c>
      <c r="C1557" t="s">
        <v>320</v>
      </c>
      <c r="D1557">
        <v>3</v>
      </c>
      <c r="E1557" t="s">
        <v>129</v>
      </c>
      <c r="F1557" t="s">
        <v>373</v>
      </c>
      <c r="G1557">
        <v>0</v>
      </c>
      <c r="H1557">
        <v>0</v>
      </c>
      <c r="I1557">
        <f>100-J1557</f>
        <v>0</v>
      </c>
      <c r="J1557">
        <f>100-G1557-H1557</f>
        <v>100</v>
      </c>
      <c r="K1557" t="s">
        <v>19</v>
      </c>
      <c r="L1557" t="s">
        <v>19</v>
      </c>
      <c r="M1557" t="s">
        <v>19</v>
      </c>
      <c r="N1557" t="s">
        <v>19</v>
      </c>
      <c r="O1557" t="s">
        <v>19</v>
      </c>
      <c r="P1557" t="s">
        <v>19</v>
      </c>
      <c r="Q1557">
        <f>I1557</f>
        <v>0</v>
      </c>
      <c r="R1557" t="s">
        <v>19</v>
      </c>
      <c r="S1557" t="s">
        <v>19</v>
      </c>
      <c r="T1557" t="s">
        <v>19</v>
      </c>
    </row>
    <row r="1558" spans="1:21" ht="15" customHeight="1" x14ac:dyDescent="0.25">
      <c r="A1558" s="2">
        <v>45323.593356481484</v>
      </c>
      <c r="B1558" t="s">
        <v>309</v>
      </c>
      <c r="C1558" t="s">
        <v>322</v>
      </c>
      <c r="D1558">
        <v>3</v>
      </c>
      <c r="E1558" t="s">
        <v>129</v>
      </c>
      <c r="F1558" t="s">
        <v>373</v>
      </c>
      <c r="G1558">
        <f>(O1558/(N1558+O1558+P1558))*100</f>
        <v>0.31695721077654515</v>
      </c>
      <c r="H1558">
        <f>(P1558/(O1558+P1558+N1558))*100</f>
        <v>0</v>
      </c>
      <c r="I1558">
        <f>((O1558+P1558)/(P1558+O1558+N1558))*100</f>
        <v>0.31695721077654515</v>
      </c>
      <c r="J1558">
        <f>(N1558/(P1558+O1558+N1558))*100</f>
        <v>99.68304278922345</v>
      </c>
      <c r="K1558">
        <v>0.8</v>
      </c>
      <c r="L1558">
        <v>0.3</v>
      </c>
      <c r="M1558">
        <v>0.7</v>
      </c>
      <c r="N1558">
        <v>629</v>
      </c>
      <c r="O1558">
        <v>2</v>
      </c>
      <c r="P1558">
        <v>0</v>
      </c>
      <c r="Q1558">
        <v>0.32</v>
      </c>
      <c r="R1558" t="s">
        <v>339</v>
      </c>
      <c r="S1558">
        <v>2.59</v>
      </c>
      <c r="T1558">
        <v>3.29</v>
      </c>
      <c r="U1558">
        <v>37</v>
      </c>
    </row>
    <row r="1559" spans="1:21" ht="15" customHeight="1" x14ac:dyDescent="0.25">
      <c r="A1559" s="2">
        <v>45323.597025462965</v>
      </c>
      <c r="B1559" t="s">
        <v>309</v>
      </c>
      <c r="C1559" t="s">
        <v>322</v>
      </c>
      <c r="D1559">
        <v>3</v>
      </c>
      <c r="E1559" t="s">
        <v>129</v>
      </c>
      <c r="F1559" t="s">
        <v>373</v>
      </c>
      <c r="G1559">
        <f>(O1559/(N1559+O1559+P1559))*100</f>
        <v>0.63191153238546605</v>
      </c>
      <c r="H1559">
        <f>(P1559/(O1559+P1559+N1559))*100</f>
        <v>0</v>
      </c>
      <c r="I1559">
        <f>((O1559+P1559)/(P1559+O1559+N1559))*100</f>
        <v>0.63191153238546605</v>
      </c>
      <c r="J1559">
        <f>(N1559/(P1559+O1559+N1559))*100</f>
        <v>99.368088467614541</v>
      </c>
      <c r="K1559">
        <v>0.7</v>
      </c>
      <c r="L1559">
        <v>0.3</v>
      </c>
      <c r="M1559">
        <v>0.7</v>
      </c>
      <c r="N1559">
        <v>629</v>
      </c>
      <c r="O1559">
        <v>4</v>
      </c>
      <c r="P1559">
        <v>0</v>
      </c>
      <c r="Q1559">
        <v>0.63</v>
      </c>
      <c r="R1559" t="s">
        <v>253</v>
      </c>
      <c r="S1559">
        <v>2.59</v>
      </c>
      <c r="T1559">
        <v>3.29</v>
      </c>
      <c r="U1559">
        <v>35</v>
      </c>
    </row>
    <row r="1560" spans="1:21" ht="15" customHeight="1" x14ac:dyDescent="0.25">
      <c r="A1560" s="2">
        <v>45325.161064814813</v>
      </c>
      <c r="B1560" t="s">
        <v>309</v>
      </c>
      <c r="C1560" t="s">
        <v>368</v>
      </c>
      <c r="D1560">
        <v>2</v>
      </c>
      <c r="E1560" t="s">
        <v>129</v>
      </c>
      <c r="F1560" t="s">
        <v>373</v>
      </c>
      <c r="G1560">
        <f>(O1560/(N1560+O1560+P1560))*100</f>
        <v>0.3105590062111801</v>
      </c>
      <c r="H1560">
        <f>(P1560/(O1560+P1560+N1560))*100</f>
        <v>0</v>
      </c>
      <c r="I1560">
        <v>0.31</v>
      </c>
      <c r="J1560">
        <f>(N1560/(P1560+O1560+N1560))*100</f>
        <v>99.689440993788821</v>
      </c>
      <c r="K1560">
        <v>0.8</v>
      </c>
      <c r="L1560">
        <v>0.3</v>
      </c>
      <c r="M1560">
        <v>0.7</v>
      </c>
      <c r="N1560">
        <v>642</v>
      </c>
      <c r="O1560">
        <v>2</v>
      </c>
      <c r="P1560">
        <v>0</v>
      </c>
      <c r="Q1560">
        <v>0.31</v>
      </c>
      <c r="R1560" t="s">
        <v>346</v>
      </c>
      <c r="S1560">
        <v>0.04</v>
      </c>
      <c r="T1560">
        <v>0.04</v>
      </c>
    </row>
    <row r="1561" spans="1:21" ht="15" customHeight="1" x14ac:dyDescent="0.25">
      <c r="A1561" t="s">
        <v>19</v>
      </c>
      <c r="B1561" t="s">
        <v>20</v>
      </c>
      <c r="C1561" t="s">
        <v>306</v>
      </c>
      <c r="D1561">
        <v>3</v>
      </c>
      <c r="E1561" t="s">
        <v>130</v>
      </c>
      <c r="F1561" t="s">
        <v>373</v>
      </c>
      <c r="G1561" t="s">
        <v>321</v>
      </c>
      <c r="H1561" t="s">
        <v>321</v>
      </c>
      <c r="I1561">
        <v>15</v>
      </c>
      <c r="J1561">
        <v>85</v>
      </c>
      <c r="K1561" t="s">
        <v>19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>
        <f>I1561</f>
        <v>15</v>
      </c>
      <c r="R1561" t="s">
        <v>19</v>
      </c>
      <c r="S1561" t="s">
        <v>19</v>
      </c>
      <c r="T1561" t="s">
        <v>19</v>
      </c>
    </row>
    <row r="1562" spans="1:21" ht="15" customHeight="1" x14ac:dyDescent="0.25">
      <c r="A1562" t="s">
        <v>19</v>
      </c>
      <c r="B1562" t="s">
        <v>20</v>
      </c>
      <c r="C1562" t="s">
        <v>308</v>
      </c>
      <c r="D1562">
        <v>3</v>
      </c>
      <c r="E1562" t="s">
        <v>130</v>
      </c>
      <c r="F1562" t="s">
        <v>373</v>
      </c>
      <c r="G1562">
        <v>20</v>
      </c>
      <c r="H1562">
        <v>2</v>
      </c>
      <c r="I1562">
        <f>G1562+H1562</f>
        <v>22</v>
      </c>
      <c r="J1562">
        <f>100-G1562-H1562</f>
        <v>78</v>
      </c>
      <c r="K1562" t="s">
        <v>19</v>
      </c>
      <c r="L1562" t="s">
        <v>19</v>
      </c>
      <c r="M1562" t="s">
        <v>19</v>
      </c>
      <c r="N1562" t="s">
        <v>19</v>
      </c>
      <c r="O1562" t="s">
        <v>19</v>
      </c>
      <c r="P1562" t="s">
        <v>19</v>
      </c>
      <c r="Q1562">
        <f>I1562</f>
        <v>22</v>
      </c>
      <c r="R1562" t="s">
        <v>19</v>
      </c>
      <c r="S1562" t="s">
        <v>19</v>
      </c>
      <c r="T1562" t="s">
        <v>19</v>
      </c>
    </row>
    <row r="1563" spans="1:21" ht="15" customHeight="1" x14ac:dyDescent="0.25">
      <c r="A1563" t="s">
        <v>19</v>
      </c>
      <c r="B1563" t="s">
        <v>20</v>
      </c>
      <c r="C1563" t="s">
        <v>22</v>
      </c>
      <c r="D1563">
        <v>3</v>
      </c>
      <c r="E1563" t="s">
        <v>130</v>
      </c>
      <c r="F1563" t="s">
        <v>373</v>
      </c>
      <c r="G1563">
        <v>10</v>
      </c>
      <c r="H1563">
        <v>0</v>
      </c>
      <c r="I1563">
        <f>G1563+H1563</f>
        <v>10</v>
      </c>
      <c r="J1563">
        <f>100-G1563-H1563</f>
        <v>90</v>
      </c>
      <c r="K1563" t="s">
        <v>19</v>
      </c>
      <c r="L1563" t="s">
        <v>19</v>
      </c>
      <c r="M1563" t="s">
        <v>19</v>
      </c>
      <c r="N1563" t="s">
        <v>19</v>
      </c>
      <c r="O1563" t="s">
        <v>19</v>
      </c>
      <c r="P1563" t="s">
        <v>19</v>
      </c>
      <c r="Q1563">
        <f>I1563</f>
        <v>10</v>
      </c>
      <c r="R1563" t="s">
        <v>19</v>
      </c>
      <c r="S1563" t="s">
        <v>19</v>
      </c>
      <c r="T1563" t="s">
        <v>19</v>
      </c>
    </row>
    <row r="1564" spans="1:21" ht="15" customHeight="1" x14ac:dyDescent="0.25">
      <c r="A1564" t="s">
        <v>19</v>
      </c>
      <c r="B1564" t="s">
        <v>20</v>
      </c>
      <c r="C1564" t="s">
        <v>305</v>
      </c>
      <c r="D1564">
        <v>3</v>
      </c>
      <c r="E1564" t="s">
        <v>130</v>
      </c>
      <c r="F1564" t="s">
        <v>373</v>
      </c>
      <c r="G1564">
        <v>8</v>
      </c>
      <c r="H1564">
        <v>0</v>
      </c>
      <c r="I1564">
        <f>G1564+H1564</f>
        <v>8</v>
      </c>
      <c r="J1564">
        <f>100-G1564-H1564</f>
        <v>92</v>
      </c>
      <c r="K1564" t="s">
        <v>19</v>
      </c>
      <c r="L1564" t="s">
        <v>19</v>
      </c>
      <c r="M1564" t="s">
        <v>19</v>
      </c>
      <c r="N1564" t="s">
        <v>19</v>
      </c>
      <c r="O1564" t="s">
        <v>19</v>
      </c>
      <c r="P1564" t="s">
        <v>19</v>
      </c>
      <c r="Q1564">
        <f>I1564</f>
        <v>8</v>
      </c>
      <c r="R1564" t="s">
        <v>19</v>
      </c>
      <c r="S1564" t="s">
        <v>19</v>
      </c>
      <c r="T1564" t="s">
        <v>19</v>
      </c>
    </row>
    <row r="1565" spans="1:21" ht="15" customHeight="1" x14ac:dyDescent="0.25">
      <c r="A1565" t="s">
        <v>19</v>
      </c>
      <c r="B1565" t="s">
        <v>20</v>
      </c>
      <c r="C1565" t="s">
        <v>307</v>
      </c>
      <c r="D1565">
        <v>3</v>
      </c>
      <c r="E1565" t="s">
        <v>130</v>
      </c>
      <c r="F1565" t="s">
        <v>373</v>
      </c>
      <c r="G1565">
        <v>2</v>
      </c>
      <c r="H1565">
        <v>0</v>
      </c>
      <c r="I1565">
        <f>G1565+H1565</f>
        <v>2</v>
      </c>
      <c r="J1565">
        <f>100-G1565-H1565</f>
        <v>98</v>
      </c>
      <c r="K1565" t="s">
        <v>19</v>
      </c>
      <c r="L1565" t="s">
        <v>19</v>
      </c>
      <c r="M1565" t="s">
        <v>19</v>
      </c>
      <c r="N1565" t="s">
        <v>19</v>
      </c>
      <c r="O1565" t="s">
        <v>19</v>
      </c>
      <c r="P1565" t="s">
        <v>19</v>
      </c>
      <c r="Q1565">
        <f>I1565</f>
        <v>2</v>
      </c>
      <c r="R1565" t="s">
        <v>19</v>
      </c>
      <c r="S1565" t="s">
        <v>19</v>
      </c>
      <c r="T1565" t="s">
        <v>19</v>
      </c>
    </row>
    <row r="1566" spans="1:21" ht="15" customHeight="1" x14ac:dyDescent="0.25">
      <c r="A1566" s="2">
        <v>45253.747916666667</v>
      </c>
      <c r="B1566" t="s">
        <v>309</v>
      </c>
      <c r="C1566" t="s">
        <v>213</v>
      </c>
      <c r="D1566">
        <v>3</v>
      </c>
      <c r="E1566" t="s">
        <v>130</v>
      </c>
      <c r="F1566" t="s">
        <v>373</v>
      </c>
      <c r="G1566">
        <v>4.8780487800000003</v>
      </c>
      <c r="H1566">
        <v>1.0840108399999999</v>
      </c>
      <c r="I1566">
        <v>5.9620596209999999</v>
      </c>
      <c r="J1566">
        <v>94.037940379999995</v>
      </c>
      <c r="K1566">
        <v>0.8</v>
      </c>
      <c r="L1566">
        <v>0.2</v>
      </c>
      <c r="M1566">
        <v>0.7</v>
      </c>
      <c r="N1566">
        <v>694</v>
      </c>
      <c r="O1566">
        <v>36</v>
      </c>
      <c r="P1566">
        <v>8</v>
      </c>
      <c r="Q1566">
        <v>5.96</v>
      </c>
      <c r="R1566" t="s">
        <v>253</v>
      </c>
      <c r="S1566">
        <v>2.84</v>
      </c>
      <c r="T1566">
        <v>3.36</v>
      </c>
    </row>
    <row r="1567" spans="1:21" ht="15" customHeight="1" x14ac:dyDescent="0.25">
      <c r="A1567" s="2">
        <v>45253.944444444445</v>
      </c>
      <c r="B1567" t="s">
        <v>309</v>
      </c>
      <c r="C1567" t="s">
        <v>215</v>
      </c>
      <c r="D1567">
        <v>2</v>
      </c>
      <c r="E1567" t="s">
        <v>130</v>
      </c>
      <c r="F1567" t="s">
        <v>373</v>
      </c>
      <c r="G1567">
        <v>6.2330623310000002</v>
      </c>
      <c r="H1567">
        <v>0</v>
      </c>
      <c r="I1567">
        <v>6.2330623310000002</v>
      </c>
      <c r="J1567">
        <v>93.766937670000004</v>
      </c>
      <c r="K1567">
        <v>0.8</v>
      </c>
      <c r="L1567">
        <v>0.2</v>
      </c>
      <c r="M1567">
        <v>0.7</v>
      </c>
      <c r="N1567">
        <v>692</v>
      </c>
      <c r="O1567">
        <v>46</v>
      </c>
      <c r="P1567">
        <v>0</v>
      </c>
      <c r="Q1567">
        <v>6.23</v>
      </c>
      <c r="R1567" t="s">
        <v>216</v>
      </c>
      <c r="S1567">
        <v>0.19</v>
      </c>
      <c r="T1567">
        <v>0.21</v>
      </c>
    </row>
    <row r="1568" spans="1:21" ht="15" customHeight="1" x14ac:dyDescent="0.25">
      <c r="A1568" s="2">
        <v>45254.119444444441</v>
      </c>
      <c r="B1568" t="s">
        <v>309</v>
      </c>
      <c r="C1568" t="s">
        <v>217</v>
      </c>
      <c r="D1568">
        <v>2</v>
      </c>
      <c r="E1568" t="s">
        <v>130</v>
      </c>
      <c r="F1568" t="s">
        <v>373</v>
      </c>
      <c r="G1568">
        <v>7.5268817200000004</v>
      </c>
      <c r="H1568">
        <v>0</v>
      </c>
      <c r="I1568">
        <v>7.5268817200000004</v>
      </c>
      <c r="J1568">
        <v>92.473118279999994</v>
      </c>
      <c r="K1568">
        <v>0.8</v>
      </c>
      <c r="L1568">
        <v>0.2</v>
      </c>
      <c r="M1568">
        <v>0.7</v>
      </c>
      <c r="N1568">
        <v>688</v>
      </c>
      <c r="O1568">
        <v>56</v>
      </c>
      <c r="P1568">
        <v>0</v>
      </c>
      <c r="Q1568">
        <v>7.53</v>
      </c>
      <c r="R1568" t="s">
        <v>225</v>
      </c>
      <c r="S1568">
        <v>0.22</v>
      </c>
      <c r="T1568">
        <v>0.23</v>
      </c>
    </row>
    <row r="1569" spans="1:21" ht="15" customHeight="1" x14ac:dyDescent="0.25">
      <c r="A1569" s="2">
        <v>45316.455555555556</v>
      </c>
      <c r="B1569" t="s">
        <v>309</v>
      </c>
      <c r="C1569" t="s">
        <v>219</v>
      </c>
      <c r="D1569">
        <v>3</v>
      </c>
      <c r="E1569" t="s">
        <v>130</v>
      </c>
      <c r="F1569" t="s">
        <v>373</v>
      </c>
      <c r="G1569">
        <v>3.5256410260000002</v>
      </c>
      <c r="H1569">
        <v>1.923076923</v>
      </c>
      <c r="I1569">
        <v>5.4487179489999997</v>
      </c>
      <c r="J1569">
        <v>94.551282049999998</v>
      </c>
      <c r="K1569">
        <v>0.8</v>
      </c>
      <c r="L1569">
        <v>0.2</v>
      </c>
      <c r="M1569">
        <v>0.7</v>
      </c>
      <c r="N1569">
        <v>590</v>
      </c>
      <c r="O1569">
        <v>22</v>
      </c>
      <c r="P1569">
        <v>12</v>
      </c>
      <c r="Q1569">
        <v>5.45</v>
      </c>
      <c r="R1569" t="s">
        <v>222</v>
      </c>
      <c r="S1569">
        <v>3.1</v>
      </c>
      <c r="T1569">
        <v>4.17</v>
      </c>
    </row>
    <row r="1570" spans="1:21" ht="15" customHeight="1" x14ac:dyDescent="0.25">
      <c r="A1570" s="2">
        <v>45320.979861111111</v>
      </c>
      <c r="B1570" t="s">
        <v>309</v>
      </c>
      <c r="C1570" t="s">
        <v>221</v>
      </c>
      <c r="D1570">
        <v>2</v>
      </c>
      <c r="E1570" t="s">
        <v>130</v>
      </c>
      <c r="F1570" t="s">
        <v>373</v>
      </c>
      <c r="G1570">
        <v>7.936507937</v>
      </c>
      <c r="H1570">
        <v>0</v>
      </c>
      <c r="I1570">
        <v>7.936507937</v>
      </c>
      <c r="J1570">
        <v>92.063492060000002</v>
      </c>
      <c r="K1570">
        <v>0.8</v>
      </c>
      <c r="L1570">
        <v>0.3</v>
      </c>
      <c r="M1570">
        <v>0.7</v>
      </c>
      <c r="N1570">
        <v>638</v>
      </c>
      <c r="O1570">
        <v>55</v>
      </c>
      <c r="P1570">
        <v>0</v>
      </c>
      <c r="Q1570">
        <v>7.94</v>
      </c>
      <c r="R1570" t="s">
        <v>237</v>
      </c>
      <c r="S1570">
        <v>0.25</v>
      </c>
      <c r="T1570">
        <v>0.28000000000000003</v>
      </c>
    </row>
    <row r="1571" spans="1:21" ht="15" customHeight="1" x14ac:dyDescent="0.25">
      <c r="A1571" t="s">
        <v>19</v>
      </c>
      <c r="B1571" t="s">
        <v>20</v>
      </c>
      <c r="C1571" t="s">
        <v>320</v>
      </c>
      <c r="D1571">
        <v>3</v>
      </c>
      <c r="E1571" t="s">
        <v>130</v>
      </c>
      <c r="F1571" t="s">
        <v>373</v>
      </c>
      <c r="G1571">
        <v>0</v>
      </c>
      <c r="H1571">
        <v>0</v>
      </c>
      <c r="I1571">
        <f>100-J1571</f>
        <v>0</v>
      </c>
      <c r="J1571">
        <f>100-G1571-H1571</f>
        <v>100</v>
      </c>
      <c r="K1571" t="s">
        <v>19</v>
      </c>
      <c r="L1571" t="s">
        <v>19</v>
      </c>
      <c r="M1571" t="s">
        <v>19</v>
      </c>
      <c r="N1571" t="s">
        <v>19</v>
      </c>
      <c r="O1571" t="s">
        <v>19</v>
      </c>
      <c r="P1571" t="s">
        <v>19</v>
      </c>
      <c r="Q1571">
        <f>I1571</f>
        <v>0</v>
      </c>
      <c r="R1571" t="s">
        <v>19</v>
      </c>
      <c r="S1571" t="s">
        <v>19</v>
      </c>
      <c r="T1571" t="s">
        <v>19</v>
      </c>
    </row>
    <row r="1572" spans="1:21" ht="15" customHeight="1" x14ac:dyDescent="0.25">
      <c r="A1572" s="2">
        <v>45323.595000000001</v>
      </c>
      <c r="B1572" t="s">
        <v>309</v>
      </c>
      <c r="C1572" t="s">
        <v>322</v>
      </c>
      <c r="D1572">
        <v>3</v>
      </c>
      <c r="E1572" t="s">
        <v>130</v>
      </c>
      <c r="F1572" t="s">
        <v>373</v>
      </c>
      <c r="G1572">
        <f>(O1572/(N1572+O1572+P1572))*100</f>
        <v>7.1220930232558137</v>
      </c>
      <c r="H1572">
        <f>(P1572/(O1572+P1572+N1572))*100</f>
        <v>0.58139534883720934</v>
      </c>
      <c r="I1572">
        <f>((O1572+P1572)/(P1572+O1572+N1572))*100</f>
        <v>7.7034883720930232</v>
      </c>
      <c r="J1572">
        <f>(N1572/(P1572+O1572+N1572))*100</f>
        <v>92.29651162790698</v>
      </c>
      <c r="K1572">
        <v>0.8</v>
      </c>
      <c r="L1572">
        <v>0.3</v>
      </c>
      <c r="M1572">
        <v>0.7</v>
      </c>
      <c r="N1572">
        <v>635</v>
      </c>
      <c r="O1572">
        <v>49</v>
      </c>
      <c r="P1572">
        <v>4</v>
      </c>
      <c r="Q1572">
        <v>7.7</v>
      </c>
      <c r="R1572" t="s">
        <v>336</v>
      </c>
      <c r="S1572">
        <v>2.69</v>
      </c>
      <c r="T1572">
        <v>3.08</v>
      </c>
      <c r="U1572">
        <v>36</v>
      </c>
    </row>
    <row r="1573" spans="1:21" ht="15" customHeight="1" x14ac:dyDescent="0.25">
      <c r="A1573" s="2">
        <v>45323.598576388889</v>
      </c>
      <c r="B1573" t="s">
        <v>309</v>
      </c>
      <c r="C1573" t="s">
        <v>322</v>
      </c>
      <c r="D1573">
        <v>3</v>
      </c>
      <c r="E1573" t="s">
        <v>130</v>
      </c>
      <c r="F1573" t="s">
        <v>373</v>
      </c>
      <c r="G1573">
        <f>(O1573/(N1573+O1573+P1573))*100</f>
        <v>8.3213773314203721</v>
      </c>
      <c r="H1573">
        <f>(P1573/(O1573+P1573+N1573))*100</f>
        <v>0.71736011477761841</v>
      </c>
      <c r="I1573">
        <f>((O1573+P1573)/(P1573+O1573+N1573))*100</f>
        <v>9.0387374461979917</v>
      </c>
      <c r="J1573">
        <f>(N1573/(P1573+O1573+N1573))*100</f>
        <v>90.961262553802015</v>
      </c>
      <c r="K1573">
        <v>0.7</v>
      </c>
      <c r="L1573">
        <v>0.3</v>
      </c>
      <c r="M1573">
        <v>0.7</v>
      </c>
      <c r="N1573">
        <v>634</v>
      </c>
      <c r="O1573">
        <v>58</v>
      </c>
      <c r="P1573">
        <v>5</v>
      </c>
      <c r="Q1573">
        <v>9.0399999999999991</v>
      </c>
      <c r="R1573" t="s">
        <v>342</v>
      </c>
      <c r="S1573">
        <v>2.69</v>
      </c>
      <c r="T1573">
        <v>3.08</v>
      </c>
      <c r="U1573">
        <v>27</v>
      </c>
    </row>
    <row r="1574" spans="1:21" ht="15" customHeight="1" x14ac:dyDescent="0.25">
      <c r="A1574" s="2">
        <v>45325.162303240744</v>
      </c>
      <c r="B1574" t="s">
        <v>309</v>
      </c>
      <c r="C1574" t="s">
        <v>368</v>
      </c>
      <c r="D1574">
        <v>2</v>
      </c>
      <c r="E1574" t="s">
        <v>130</v>
      </c>
      <c r="F1574" t="s">
        <v>373</v>
      </c>
      <c r="G1574">
        <f>(O1574/(N1574+O1574+P1574))*100</f>
        <v>7.5332348596750363</v>
      </c>
      <c r="H1574">
        <f>(P1574/(O1574+P1574+N1574))*100</f>
        <v>0</v>
      </c>
      <c r="I1574">
        <v>7.53</v>
      </c>
      <c r="J1574">
        <f>(N1574/(P1574+O1574+N1574))*100</f>
        <v>92.466765140324952</v>
      </c>
      <c r="K1574">
        <v>0.8</v>
      </c>
      <c r="L1574">
        <v>0.3</v>
      </c>
      <c r="M1574">
        <v>0.7</v>
      </c>
      <c r="N1574">
        <v>626</v>
      </c>
      <c r="O1574">
        <v>51</v>
      </c>
      <c r="P1574">
        <v>0</v>
      </c>
      <c r="Q1574">
        <v>7.53</v>
      </c>
      <c r="R1574" t="s">
        <v>359</v>
      </c>
      <c r="S1574">
        <v>0.23</v>
      </c>
      <c r="T1574">
        <v>0.25</v>
      </c>
    </row>
    <row r="1575" spans="1:21" ht="15" customHeight="1" x14ac:dyDescent="0.25">
      <c r="A1575" t="s">
        <v>19</v>
      </c>
      <c r="B1575" t="s">
        <v>20</v>
      </c>
      <c r="C1575" t="s">
        <v>306</v>
      </c>
      <c r="D1575">
        <v>3</v>
      </c>
      <c r="E1575" t="s">
        <v>131</v>
      </c>
      <c r="F1575" t="s">
        <v>373</v>
      </c>
      <c r="G1575" t="s">
        <v>321</v>
      </c>
      <c r="H1575" t="s">
        <v>321</v>
      </c>
      <c r="I1575">
        <v>45</v>
      </c>
      <c r="J1575">
        <v>55</v>
      </c>
      <c r="K1575" t="s">
        <v>19</v>
      </c>
      <c r="L1575" t="s">
        <v>19</v>
      </c>
      <c r="M1575" t="s">
        <v>19</v>
      </c>
      <c r="N1575" t="s">
        <v>19</v>
      </c>
      <c r="O1575" t="s">
        <v>19</v>
      </c>
      <c r="P1575" t="s">
        <v>19</v>
      </c>
      <c r="Q1575">
        <f>I1575</f>
        <v>45</v>
      </c>
      <c r="R1575" t="s">
        <v>19</v>
      </c>
      <c r="S1575" t="s">
        <v>19</v>
      </c>
      <c r="T1575" t="s">
        <v>19</v>
      </c>
    </row>
    <row r="1576" spans="1:21" ht="15" customHeight="1" x14ac:dyDescent="0.25">
      <c r="A1576" t="s">
        <v>19</v>
      </c>
      <c r="B1576" t="s">
        <v>20</v>
      </c>
      <c r="C1576" t="s">
        <v>308</v>
      </c>
      <c r="D1576">
        <v>3</v>
      </c>
      <c r="E1576" t="s">
        <v>131</v>
      </c>
      <c r="F1576" t="s">
        <v>373</v>
      </c>
      <c r="G1576">
        <v>58</v>
      </c>
      <c r="H1576">
        <v>2</v>
      </c>
      <c r="I1576">
        <f>G1576+H1576</f>
        <v>60</v>
      </c>
      <c r="J1576">
        <f>100-G1576-H1576</f>
        <v>40</v>
      </c>
      <c r="K1576" t="s">
        <v>19</v>
      </c>
      <c r="L1576" t="s">
        <v>19</v>
      </c>
      <c r="M1576" t="s">
        <v>19</v>
      </c>
      <c r="N1576" t="s">
        <v>19</v>
      </c>
      <c r="O1576" t="s">
        <v>19</v>
      </c>
      <c r="P1576" t="s">
        <v>19</v>
      </c>
      <c r="Q1576">
        <f>I1576</f>
        <v>60</v>
      </c>
      <c r="R1576" t="s">
        <v>19</v>
      </c>
      <c r="S1576" t="s">
        <v>19</v>
      </c>
      <c r="T1576" t="s">
        <v>19</v>
      </c>
    </row>
    <row r="1577" spans="1:21" ht="15" customHeight="1" x14ac:dyDescent="0.25">
      <c r="A1577" t="s">
        <v>19</v>
      </c>
      <c r="B1577" t="s">
        <v>20</v>
      </c>
      <c r="C1577" t="s">
        <v>22</v>
      </c>
      <c r="D1577">
        <v>3</v>
      </c>
      <c r="E1577" t="s">
        <v>131</v>
      </c>
      <c r="F1577" t="s">
        <v>373</v>
      </c>
      <c r="G1577">
        <v>25</v>
      </c>
      <c r="H1577">
        <v>1</v>
      </c>
      <c r="I1577">
        <f>G1577+H1577</f>
        <v>26</v>
      </c>
      <c r="J1577">
        <f>100-G1577-H1577</f>
        <v>74</v>
      </c>
      <c r="K1577" t="s">
        <v>19</v>
      </c>
      <c r="L1577" t="s">
        <v>19</v>
      </c>
      <c r="M1577" t="s">
        <v>19</v>
      </c>
      <c r="N1577" t="s">
        <v>19</v>
      </c>
      <c r="O1577" t="s">
        <v>19</v>
      </c>
      <c r="P1577" t="s">
        <v>19</v>
      </c>
      <c r="Q1577">
        <f>I1577</f>
        <v>26</v>
      </c>
      <c r="R1577" t="s">
        <v>19</v>
      </c>
      <c r="S1577" t="s">
        <v>19</v>
      </c>
      <c r="T1577" t="s">
        <v>19</v>
      </c>
    </row>
    <row r="1578" spans="1:21" ht="15" customHeight="1" x14ac:dyDescent="0.25">
      <c r="A1578" t="s">
        <v>19</v>
      </c>
      <c r="B1578" t="s">
        <v>20</v>
      </c>
      <c r="C1578" t="s">
        <v>305</v>
      </c>
      <c r="D1578">
        <v>3</v>
      </c>
      <c r="E1578" t="s">
        <v>131</v>
      </c>
      <c r="F1578" t="s">
        <v>373</v>
      </c>
      <c r="G1578">
        <v>11</v>
      </c>
      <c r="H1578">
        <v>1</v>
      </c>
      <c r="I1578">
        <f>G1578+H1578</f>
        <v>12</v>
      </c>
      <c r="J1578">
        <f>100-G1578-H1578</f>
        <v>88</v>
      </c>
      <c r="K1578" t="s">
        <v>19</v>
      </c>
      <c r="L1578" t="s">
        <v>19</v>
      </c>
      <c r="M1578" t="s">
        <v>19</v>
      </c>
      <c r="N1578" t="s">
        <v>19</v>
      </c>
      <c r="O1578" t="s">
        <v>19</v>
      </c>
      <c r="P1578" t="s">
        <v>19</v>
      </c>
      <c r="Q1578">
        <f>I1578</f>
        <v>12</v>
      </c>
      <c r="R1578" t="s">
        <v>19</v>
      </c>
      <c r="S1578" t="s">
        <v>19</v>
      </c>
      <c r="T1578" t="s">
        <v>19</v>
      </c>
    </row>
    <row r="1579" spans="1:21" ht="15" customHeight="1" x14ac:dyDescent="0.25">
      <c r="A1579" t="s">
        <v>19</v>
      </c>
      <c r="B1579" t="s">
        <v>20</v>
      </c>
      <c r="C1579" t="s">
        <v>307</v>
      </c>
      <c r="D1579">
        <v>3</v>
      </c>
      <c r="E1579" t="s">
        <v>131</v>
      </c>
      <c r="F1579" t="s">
        <v>373</v>
      </c>
      <c r="G1579">
        <v>5</v>
      </c>
      <c r="H1579">
        <v>1</v>
      </c>
      <c r="I1579">
        <f>G1579+H1579</f>
        <v>6</v>
      </c>
      <c r="J1579">
        <f>100-G1579-H1579</f>
        <v>94</v>
      </c>
      <c r="K1579" t="s">
        <v>19</v>
      </c>
      <c r="L1579" t="s">
        <v>19</v>
      </c>
      <c r="M1579" t="s">
        <v>19</v>
      </c>
      <c r="N1579" t="s">
        <v>19</v>
      </c>
      <c r="O1579" t="s">
        <v>19</v>
      </c>
      <c r="P1579" t="s">
        <v>19</v>
      </c>
      <c r="Q1579">
        <f>I1579</f>
        <v>6</v>
      </c>
      <c r="R1579" t="s">
        <v>19</v>
      </c>
      <c r="S1579" t="s">
        <v>19</v>
      </c>
      <c r="T1579" t="s">
        <v>19</v>
      </c>
    </row>
    <row r="1580" spans="1:21" ht="15" customHeight="1" x14ac:dyDescent="0.25">
      <c r="A1580" s="2">
        <v>45253.749305555553</v>
      </c>
      <c r="B1580" t="s">
        <v>309</v>
      </c>
      <c r="C1580" t="s">
        <v>213</v>
      </c>
      <c r="D1580">
        <v>3</v>
      </c>
      <c r="E1580" t="s">
        <v>131</v>
      </c>
      <c r="F1580" t="s">
        <v>373</v>
      </c>
      <c r="G1580">
        <v>46.138211380000001</v>
      </c>
      <c r="H1580">
        <v>0</v>
      </c>
      <c r="I1580">
        <v>46.138211380000001</v>
      </c>
      <c r="J1580">
        <v>53.861788619999999</v>
      </c>
      <c r="K1580">
        <v>0.8</v>
      </c>
      <c r="L1580">
        <v>0.2</v>
      </c>
      <c r="M1580">
        <v>0.7</v>
      </c>
      <c r="N1580">
        <v>265</v>
      </c>
      <c r="O1580">
        <v>227</v>
      </c>
      <c r="P1580">
        <v>0</v>
      </c>
      <c r="Q1580">
        <v>46.14</v>
      </c>
      <c r="R1580" t="s">
        <v>284</v>
      </c>
      <c r="S1580">
        <v>2.81</v>
      </c>
      <c r="T1580">
        <v>3.06</v>
      </c>
    </row>
    <row r="1581" spans="1:21" ht="15" customHeight="1" x14ac:dyDescent="0.25">
      <c r="A1581" s="2">
        <v>45253.945138888892</v>
      </c>
      <c r="B1581" t="s">
        <v>309</v>
      </c>
      <c r="C1581" t="s">
        <v>215</v>
      </c>
      <c r="D1581">
        <v>2</v>
      </c>
      <c r="E1581" t="s">
        <v>131</v>
      </c>
      <c r="F1581" t="s">
        <v>373</v>
      </c>
      <c r="G1581">
        <v>9.5563139929999998</v>
      </c>
      <c r="H1581">
        <v>0</v>
      </c>
      <c r="I1581">
        <v>9.5563139929999998</v>
      </c>
      <c r="J1581">
        <v>90.443686009999993</v>
      </c>
      <c r="K1581">
        <v>0.8</v>
      </c>
      <c r="L1581">
        <v>0.2</v>
      </c>
      <c r="M1581">
        <v>0.7</v>
      </c>
      <c r="N1581">
        <v>530</v>
      </c>
      <c r="O1581">
        <v>56</v>
      </c>
      <c r="P1581">
        <v>0</v>
      </c>
      <c r="Q1581">
        <v>9.56</v>
      </c>
      <c r="R1581" t="s">
        <v>216</v>
      </c>
      <c r="S1581">
        <v>0.31</v>
      </c>
      <c r="T1581">
        <v>0.33</v>
      </c>
    </row>
    <row r="1582" spans="1:21" ht="15" customHeight="1" x14ac:dyDescent="0.25">
      <c r="A1582" s="2">
        <v>45254.120833333334</v>
      </c>
      <c r="B1582" t="s">
        <v>309</v>
      </c>
      <c r="C1582" t="s">
        <v>217</v>
      </c>
      <c r="D1582">
        <v>2</v>
      </c>
      <c r="E1582" t="s">
        <v>131</v>
      </c>
      <c r="F1582" t="s">
        <v>373</v>
      </c>
      <c r="G1582">
        <v>16.08040201</v>
      </c>
      <c r="H1582">
        <v>0</v>
      </c>
      <c r="I1582">
        <v>16.08040201</v>
      </c>
      <c r="J1582">
        <v>83.91959799</v>
      </c>
      <c r="K1582">
        <v>0.8</v>
      </c>
      <c r="L1582">
        <v>0.2</v>
      </c>
      <c r="M1582">
        <v>0.7</v>
      </c>
      <c r="N1582">
        <v>501</v>
      </c>
      <c r="O1582">
        <v>96</v>
      </c>
      <c r="P1582">
        <v>0</v>
      </c>
      <c r="Q1582">
        <v>16.079999999999998</v>
      </c>
      <c r="R1582" t="s">
        <v>218</v>
      </c>
      <c r="S1582">
        <v>0.49</v>
      </c>
      <c r="T1582">
        <v>0.51</v>
      </c>
    </row>
    <row r="1583" spans="1:21" ht="15" customHeight="1" x14ac:dyDescent="0.25">
      <c r="A1583" s="2">
        <v>45316.456944444442</v>
      </c>
      <c r="B1583" t="s">
        <v>309</v>
      </c>
      <c r="C1583" t="s">
        <v>219</v>
      </c>
      <c r="D1583">
        <v>3</v>
      </c>
      <c r="E1583" t="s">
        <v>131</v>
      </c>
      <c r="F1583" t="s">
        <v>373</v>
      </c>
      <c r="G1583">
        <v>41.90064795</v>
      </c>
      <c r="H1583">
        <v>0</v>
      </c>
      <c r="I1583">
        <v>41.90064795</v>
      </c>
      <c r="J1583">
        <v>58.09935205</v>
      </c>
      <c r="K1583">
        <v>0.8</v>
      </c>
      <c r="L1583">
        <v>0.2</v>
      </c>
      <c r="M1583">
        <v>0.7</v>
      </c>
      <c r="N1583">
        <v>269</v>
      </c>
      <c r="O1583">
        <v>194</v>
      </c>
      <c r="P1583">
        <v>0</v>
      </c>
      <c r="Q1583">
        <v>41.9</v>
      </c>
      <c r="R1583" t="s">
        <v>224</v>
      </c>
      <c r="S1583">
        <v>3.19</v>
      </c>
      <c r="T1583">
        <v>4.42</v>
      </c>
    </row>
    <row r="1584" spans="1:21" ht="15" customHeight="1" x14ac:dyDescent="0.25">
      <c r="A1584" s="2">
        <v>45320.980555555558</v>
      </c>
      <c r="B1584" t="s">
        <v>309</v>
      </c>
      <c r="C1584" t="s">
        <v>221</v>
      </c>
      <c r="D1584">
        <v>2</v>
      </c>
      <c r="E1584" t="s">
        <v>131</v>
      </c>
      <c r="F1584" t="s">
        <v>373</v>
      </c>
      <c r="G1584">
        <v>40.59753954</v>
      </c>
      <c r="H1584">
        <v>0</v>
      </c>
      <c r="I1584">
        <v>40.59753954</v>
      </c>
      <c r="J1584">
        <v>59.40246046</v>
      </c>
      <c r="K1584">
        <v>0.8</v>
      </c>
      <c r="L1584">
        <v>0.3</v>
      </c>
      <c r="M1584">
        <v>0.7</v>
      </c>
      <c r="N1584">
        <v>338</v>
      </c>
      <c r="O1584">
        <v>231</v>
      </c>
      <c r="P1584">
        <v>0</v>
      </c>
      <c r="Q1584">
        <v>40.6</v>
      </c>
      <c r="R1584" t="s">
        <v>292</v>
      </c>
      <c r="S1584">
        <v>1.1499999999999999</v>
      </c>
      <c r="T1584">
        <v>1.23</v>
      </c>
    </row>
    <row r="1585" spans="1:21" ht="15" customHeight="1" x14ac:dyDescent="0.25">
      <c r="A1585" t="s">
        <v>19</v>
      </c>
      <c r="B1585" t="s">
        <v>20</v>
      </c>
      <c r="C1585" t="s">
        <v>320</v>
      </c>
      <c r="D1585">
        <v>3</v>
      </c>
      <c r="E1585" t="s">
        <v>131</v>
      </c>
      <c r="F1585" t="s">
        <v>373</v>
      </c>
      <c r="G1585">
        <v>30</v>
      </c>
      <c r="H1585">
        <v>0</v>
      </c>
      <c r="I1585">
        <f>100-J1585</f>
        <v>30</v>
      </c>
      <c r="J1585">
        <f>100-G1585-H1585</f>
        <v>70</v>
      </c>
      <c r="K1585" t="s">
        <v>19</v>
      </c>
      <c r="L1585" t="s">
        <v>19</v>
      </c>
      <c r="M1585" t="s">
        <v>19</v>
      </c>
      <c r="N1585" t="s">
        <v>19</v>
      </c>
      <c r="O1585" t="s">
        <v>19</v>
      </c>
      <c r="P1585" t="s">
        <v>19</v>
      </c>
      <c r="Q1585">
        <f>I1585</f>
        <v>30</v>
      </c>
      <c r="R1585" t="s">
        <v>19</v>
      </c>
      <c r="S1585" t="s">
        <v>19</v>
      </c>
      <c r="T1585" t="s">
        <v>19</v>
      </c>
    </row>
    <row r="1586" spans="1:21" ht="15" customHeight="1" x14ac:dyDescent="0.25">
      <c r="A1586" s="2">
        <v>45323.596863425926</v>
      </c>
      <c r="B1586" t="s">
        <v>309</v>
      </c>
      <c r="C1586" t="s">
        <v>322</v>
      </c>
      <c r="D1586">
        <v>3</v>
      </c>
      <c r="E1586" t="s">
        <v>131</v>
      </c>
      <c r="F1586" t="s">
        <v>373</v>
      </c>
      <c r="G1586">
        <f>(O1586/(N1586+O1586+P1586))*100</f>
        <v>41.847826086956523</v>
      </c>
      <c r="H1586">
        <f>(P1586/(O1586+P1586+N1586))*100</f>
        <v>0</v>
      </c>
      <c r="I1586">
        <f>((O1586+P1586)/(P1586+O1586+N1586))*100</f>
        <v>41.847826086956523</v>
      </c>
      <c r="J1586">
        <f>(N1586/(P1586+O1586+N1586))*100</f>
        <v>58.152173913043484</v>
      </c>
      <c r="K1586">
        <v>0.8</v>
      </c>
      <c r="L1586">
        <v>0.3</v>
      </c>
      <c r="M1586">
        <v>0.7</v>
      </c>
      <c r="N1586">
        <v>321</v>
      </c>
      <c r="O1586">
        <v>231</v>
      </c>
      <c r="P1586">
        <v>0</v>
      </c>
      <c r="Q1586">
        <v>41.85</v>
      </c>
      <c r="R1586" t="s">
        <v>245</v>
      </c>
      <c r="S1586">
        <v>2.67</v>
      </c>
      <c r="T1586">
        <v>2.88</v>
      </c>
      <c r="U1586">
        <v>119</v>
      </c>
    </row>
    <row r="1587" spans="1:21" ht="15" customHeight="1" x14ac:dyDescent="0.25">
      <c r="A1587" s="2">
        <v>45323.600277777776</v>
      </c>
      <c r="B1587" t="s">
        <v>309</v>
      </c>
      <c r="C1587" t="s">
        <v>322</v>
      </c>
      <c r="D1587">
        <v>3</v>
      </c>
      <c r="E1587" t="s">
        <v>131</v>
      </c>
      <c r="F1587" t="s">
        <v>373</v>
      </c>
      <c r="G1587">
        <f>(O1587/(N1587+O1587+P1587))*100</f>
        <v>44.367417677642976</v>
      </c>
      <c r="H1587">
        <f>(P1587/(O1587+P1587+N1587))*100</f>
        <v>0</v>
      </c>
      <c r="I1587">
        <f>((O1587+P1587)/(P1587+O1587+N1587))*100</f>
        <v>44.367417677642976</v>
      </c>
      <c r="J1587">
        <f>(N1587/(P1587+O1587+N1587))*100</f>
        <v>55.632582322357017</v>
      </c>
      <c r="K1587">
        <v>0.7</v>
      </c>
      <c r="L1587">
        <v>0.3</v>
      </c>
      <c r="M1587">
        <v>0.7</v>
      </c>
      <c r="N1587">
        <v>321</v>
      </c>
      <c r="O1587">
        <v>256</v>
      </c>
      <c r="P1587">
        <v>0</v>
      </c>
      <c r="Q1587">
        <v>44.37</v>
      </c>
      <c r="R1587" t="s">
        <v>339</v>
      </c>
      <c r="S1587">
        <v>2.67</v>
      </c>
      <c r="T1587">
        <v>2.88</v>
      </c>
      <c r="U1587">
        <v>94</v>
      </c>
    </row>
    <row r="1588" spans="1:21" ht="15" customHeight="1" x14ac:dyDescent="0.25">
      <c r="A1588" s="2">
        <v>45325.163599537038</v>
      </c>
      <c r="B1588" t="s">
        <v>309</v>
      </c>
      <c r="C1588" t="s">
        <v>368</v>
      </c>
      <c r="D1588">
        <v>2</v>
      </c>
      <c r="E1588" t="s">
        <v>131</v>
      </c>
      <c r="F1588" t="s">
        <v>373</v>
      </c>
      <c r="G1588">
        <f>(O1588/(N1588+O1588+P1588))*100</f>
        <v>36.332179930795846</v>
      </c>
      <c r="H1588">
        <f>(P1588/(O1588+P1588+N1588))*100</f>
        <v>0</v>
      </c>
      <c r="I1588">
        <v>36.33</v>
      </c>
      <c r="J1588">
        <f>(N1588/(P1588+O1588+N1588))*100</f>
        <v>63.667820069204154</v>
      </c>
      <c r="K1588">
        <v>0.8</v>
      </c>
      <c r="L1588">
        <v>0.3</v>
      </c>
      <c r="M1588">
        <v>0.7</v>
      </c>
      <c r="N1588">
        <v>368</v>
      </c>
      <c r="O1588">
        <v>210</v>
      </c>
      <c r="P1588">
        <v>0</v>
      </c>
      <c r="Q1588">
        <v>36.33</v>
      </c>
      <c r="R1588" t="s">
        <v>248</v>
      </c>
      <c r="S1588">
        <v>1</v>
      </c>
      <c r="T1588">
        <v>1.04</v>
      </c>
    </row>
    <row r="1589" spans="1:21" ht="15" customHeight="1" x14ac:dyDescent="0.25">
      <c r="A1589" t="s">
        <v>19</v>
      </c>
      <c r="B1589" t="s">
        <v>20</v>
      </c>
      <c r="C1589" t="s">
        <v>306</v>
      </c>
      <c r="D1589">
        <v>3</v>
      </c>
      <c r="E1589" t="s">
        <v>132</v>
      </c>
      <c r="F1589" t="s">
        <v>373</v>
      </c>
      <c r="G1589" t="s">
        <v>321</v>
      </c>
      <c r="H1589" t="s">
        <v>321</v>
      </c>
      <c r="I1589">
        <v>35</v>
      </c>
      <c r="J1589">
        <v>65</v>
      </c>
      <c r="K1589" t="s">
        <v>19</v>
      </c>
      <c r="L1589" t="s">
        <v>19</v>
      </c>
      <c r="M1589" t="s">
        <v>19</v>
      </c>
      <c r="N1589" t="s">
        <v>19</v>
      </c>
      <c r="O1589" t="s">
        <v>19</v>
      </c>
      <c r="P1589" t="s">
        <v>19</v>
      </c>
      <c r="Q1589">
        <f>I1589</f>
        <v>35</v>
      </c>
      <c r="R1589" t="s">
        <v>19</v>
      </c>
      <c r="S1589" t="s">
        <v>19</v>
      </c>
      <c r="T1589" t="s">
        <v>19</v>
      </c>
    </row>
    <row r="1590" spans="1:21" ht="15" customHeight="1" x14ac:dyDescent="0.25">
      <c r="A1590" t="s">
        <v>19</v>
      </c>
      <c r="B1590" t="s">
        <v>20</v>
      </c>
      <c r="C1590" t="s">
        <v>308</v>
      </c>
      <c r="D1590">
        <v>3</v>
      </c>
      <c r="E1590" t="s">
        <v>132</v>
      </c>
      <c r="F1590" t="s">
        <v>373</v>
      </c>
      <c r="G1590">
        <v>35</v>
      </c>
      <c r="H1590">
        <v>0</v>
      </c>
      <c r="I1590">
        <f>G1590+H1590</f>
        <v>35</v>
      </c>
      <c r="J1590">
        <f>100-G1590-H1590</f>
        <v>65</v>
      </c>
      <c r="K1590" t="s">
        <v>19</v>
      </c>
      <c r="L1590" t="s">
        <v>19</v>
      </c>
      <c r="M1590" t="s">
        <v>19</v>
      </c>
      <c r="N1590" t="s">
        <v>19</v>
      </c>
      <c r="O1590" t="s">
        <v>19</v>
      </c>
      <c r="P1590" t="s">
        <v>19</v>
      </c>
      <c r="Q1590">
        <f>I1590</f>
        <v>35</v>
      </c>
      <c r="R1590" t="s">
        <v>19</v>
      </c>
      <c r="S1590" t="s">
        <v>19</v>
      </c>
      <c r="T1590" t="s">
        <v>19</v>
      </c>
    </row>
    <row r="1591" spans="1:21" ht="15" customHeight="1" x14ac:dyDescent="0.25">
      <c r="A1591" t="s">
        <v>19</v>
      </c>
      <c r="B1591" t="s">
        <v>20</v>
      </c>
      <c r="C1591" t="s">
        <v>22</v>
      </c>
      <c r="D1591">
        <v>3</v>
      </c>
      <c r="E1591" t="s">
        <v>132</v>
      </c>
      <c r="F1591" t="s">
        <v>373</v>
      </c>
      <c r="G1591">
        <v>15</v>
      </c>
      <c r="H1591">
        <v>0</v>
      </c>
      <c r="I1591">
        <f>G1591+H1591</f>
        <v>15</v>
      </c>
      <c r="J1591">
        <f>100-G1591-H1591</f>
        <v>85</v>
      </c>
      <c r="K1591" t="s">
        <v>19</v>
      </c>
      <c r="L1591" t="s">
        <v>19</v>
      </c>
      <c r="M1591" t="s">
        <v>19</v>
      </c>
      <c r="N1591" t="s">
        <v>19</v>
      </c>
      <c r="O1591" t="s">
        <v>19</v>
      </c>
      <c r="P1591" t="s">
        <v>19</v>
      </c>
      <c r="Q1591">
        <f>I1591</f>
        <v>15</v>
      </c>
      <c r="R1591" t="s">
        <v>19</v>
      </c>
      <c r="S1591" t="s">
        <v>19</v>
      </c>
      <c r="T1591" t="s">
        <v>19</v>
      </c>
    </row>
    <row r="1592" spans="1:21" ht="15" customHeight="1" x14ac:dyDescent="0.25">
      <c r="A1592" t="s">
        <v>19</v>
      </c>
      <c r="B1592" t="s">
        <v>20</v>
      </c>
      <c r="C1592" t="s">
        <v>305</v>
      </c>
      <c r="D1592">
        <v>3</v>
      </c>
      <c r="E1592" t="s">
        <v>132</v>
      </c>
      <c r="F1592" t="s">
        <v>373</v>
      </c>
      <c r="G1592">
        <v>6</v>
      </c>
      <c r="H1592">
        <v>0</v>
      </c>
      <c r="I1592">
        <f>G1592+H1592</f>
        <v>6</v>
      </c>
      <c r="J1592">
        <f>100-G1592-H1592</f>
        <v>94</v>
      </c>
      <c r="K1592" t="s">
        <v>19</v>
      </c>
      <c r="L1592" t="s">
        <v>19</v>
      </c>
      <c r="M1592" t="s">
        <v>19</v>
      </c>
      <c r="N1592" t="s">
        <v>19</v>
      </c>
      <c r="O1592" t="s">
        <v>19</v>
      </c>
      <c r="P1592" t="s">
        <v>19</v>
      </c>
      <c r="Q1592">
        <f>I1592</f>
        <v>6</v>
      </c>
      <c r="R1592" t="s">
        <v>19</v>
      </c>
      <c r="S1592" t="s">
        <v>19</v>
      </c>
      <c r="T1592" t="s">
        <v>19</v>
      </c>
    </row>
    <row r="1593" spans="1:21" ht="15" customHeight="1" x14ac:dyDescent="0.25">
      <c r="A1593" t="s">
        <v>19</v>
      </c>
      <c r="B1593" t="s">
        <v>20</v>
      </c>
      <c r="C1593" t="s">
        <v>307</v>
      </c>
      <c r="D1593">
        <v>3</v>
      </c>
      <c r="E1593" t="s">
        <v>132</v>
      </c>
      <c r="F1593" t="s">
        <v>373</v>
      </c>
      <c r="G1593">
        <v>2</v>
      </c>
      <c r="H1593">
        <v>0</v>
      </c>
      <c r="I1593">
        <f>G1593+H1593</f>
        <v>2</v>
      </c>
      <c r="J1593">
        <f>100-G1593-H1593</f>
        <v>98</v>
      </c>
      <c r="K1593" t="s">
        <v>19</v>
      </c>
      <c r="L1593" t="s">
        <v>19</v>
      </c>
      <c r="M1593" t="s">
        <v>19</v>
      </c>
      <c r="N1593" t="s">
        <v>19</v>
      </c>
      <c r="O1593" t="s">
        <v>19</v>
      </c>
      <c r="P1593" t="s">
        <v>19</v>
      </c>
      <c r="Q1593">
        <f>I1593</f>
        <v>2</v>
      </c>
      <c r="R1593" t="s">
        <v>19</v>
      </c>
      <c r="S1593" t="s">
        <v>19</v>
      </c>
      <c r="T1593" t="s">
        <v>19</v>
      </c>
    </row>
    <row r="1594" spans="1:21" ht="15" customHeight="1" x14ac:dyDescent="0.25">
      <c r="A1594" s="2">
        <v>45253.750694444447</v>
      </c>
      <c r="B1594" t="s">
        <v>309</v>
      </c>
      <c r="C1594" t="s">
        <v>213</v>
      </c>
      <c r="D1594">
        <v>3</v>
      </c>
      <c r="E1594" t="s">
        <v>132</v>
      </c>
      <c r="F1594" t="s">
        <v>373</v>
      </c>
      <c r="G1594">
        <v>22.4742268</v>
      </c>
      <c r="H1594">
        <v>0</v>
      </c>
      <c r="I1594">
        <v>22.4742268</v>
      </c>
      <c r="J1594">
        <v>77.525773200000003</v>
      </c>
      <c r="K1594">
        <v>0.8</v>
      </c>
      <c r="L1594">
        <v>0.2</v>
      </c>
      <c r="M1594">
        <v>0.7</v>
      </c>
      <c r="N1594">
        <v>376</v>
      </c>
      <c r="O1594">
        <v>109</v>
      </c>
      <c r="P1594">
        <v>0</v>
      </c>
      <c r="Q1594">
        <v>22.47</v>
      </c>
      <c r="R1594" t="s">
        <v>284</v>
      </c>
      <c r="S1594">
        <v>2.78</v>
      </c>
      <c r="T1594">
        <v>2.98</v>
      </c>
    </row>
    <row r="1595" spans="1:21" ht="15" customHeight="1" x14ac:dyDescent="0.25">
      <c r="A1595" s="2">
        <v>45253.945833333331</v>
      </c>
      <c r="B1595" t="s">
        <v>309</v>
      </c>
      <c r="C1595" t="s">
        <v>215</v>
      </c>
      <c r="D1595">
        <v>2</v>
      </c>
      <c r="E1595" t="s">
        <v>132</v>
      </c>
      <c r="F1595" t="s">
        <v>373</v>
      </c>
      <c r="G1595">
        <v>3.900156006</v>
      </c>
      <c r="H1595">
        <v>0</v>
      </c>
      <c r="I1595">
        <v>3.900156006</v>
      </c>
      <c r="J1595">
        <v>96.099843989999997</v>
      </c>
      <c r="K1595">
        <v>0.8</v>
      </c>
      <c r="L1595">
        <v>0.2</v>
      </c>
      <c r="M1595">
        <v>0.7</v>
      </c>
      <c r="N1595">
        <v>616</v>
      </c>
      <c r="O1595">
        <v>25</v>
      </c>
      <c r="P1595">
        <v>0</v>
      </c>
      <c r="Q1595">
        <v>3.9</v>
      </c>
      <c r="R1595" t="s">
        <v>243</v>
      </c>
      <c r="S1595">
        <v>0.11</v>
      </c>
      <c r="T1595">
        <v>0.12</v>
      </c>
    </row>
    <row r="1596" spans="1:21" ht="15" customHeight="1" x14ac:dyDescent="0.25">
      <c r="A1596" s="2">
        <v>45254.121527777781</v>
      </c>
      <c r="B1596" t="s">
        <v>309</v>
      </c>
      <c r="C1596" t="s">
        <v>217</v>
      </c>
      <c r="D1596">
        <v>2</v>
      </c>
      <c r="E1596" t="s">
        <v>132</v>
      </c>
      <c r="F1596" t="s">
        <v>373</v>
      </c>
      <c r="G1596">
        <v>7.68</v>
      </c>
      <c r="H1596">
        <v>0</v>
      </c>
      <c r="I1596">
        <v>7.68</v>
      </c>
      <c r="J1596">
        <v>92.32</v>
      </c>
      <c r="K1596">
        <v>0.8</v>
      </c>
      <c r="L1596">
        <v>0.2</v>
      </c>
      <c r="M1596">
        <v>0.7</v>
      </c>
      <c r="N1596">
        <v>577</v>
      </c>
      <c r="O1596">
        <v>48</v>
      </c>
      <c r="P1596">
        <v>0</v>
      </c>
      <c r="Q1596">
        <v>7.68</v>
      </c>
      <c r="R1596" t="s">
        <v>231</v>
      </c>
      <c r="S1596">
        <v>0.23</v>
      </c>
      <c r="T1596">
        <v>0.24</v>
      </c>
    </row>
    <row r="1597" spans="1:21" ht="15" customHeight="1" x14ac:dyDescent="0.25">
      <c r="A1597" s="2">
        <v>45316.457638888889</v>
      </c>
      <c r="B1597" t="s">
        <v>309</v>
      </c>
      <c r="C1597" t="s">
        <v>219</v>
      </c>
      <c r="D1597">
        <v>3</v>
      </c>
      <c r="E1597" t="s">
        <v>132</v>
      </c>
      <c r="F1597" t="s">
        <v>373</v>
      </c>
      <c r="G1597">
        <v>31.779661019999999</v>
      </c>
      <c r="H1597">
        <v>0</v>
      </c>
      <c r="I1597">
        <v>31.779661019999999</v>
      </c>
      <c r="J1597">
        <v>68.220338979999994</v>
      </c>
      <c r="K1597">
        <v>0.8</v>
      </c>
      <c r="L1597">
        <v>0.2</v>
      </c>
      <c r="M1597">
        <v>0.7</v>
      </c>
      <c r="N1597">
        <v>161</v>
      </c>
      <c r="O1597">
        <v>75</v>
      </c>
      <c r="P1597">
        <v>0</v>
      </c>
      <c r="Q1597">
        <v>31.78</v>
      </c>
      <c r="R1597" t="s">
        <v>227</v>
      </c>
      <c r="S1597">
        <v>3.02</v>
      </c>
      <c r="T1597">
        <v>4.0599999999999996</v>
      </c>
    </row>
    <row r="1598" spans="1:21" ht="15" customHeight="1" x14ac:dyDescent="0.25">
      <c r="A1598" s="2">
        <v>45320.981249999997</v>
      </c>
      <c r="B1598" t="s">
        <v>309</v>
      </c>
      <c r="C1598" t="s">
        <v>221</v>
      </c>
      <c r="D1598">
        <v>2</v>
      </c>
      <c r="E1598" t="s">
        <v>132</v>
      </c>
      <c r="F1598" t="s">
        <v>373</v>
      </c>
      <c r="G1598">
        <v>22.701688560000001</v>
      </c>
      <c r="H1598">
        <v>0</v>
      </c>
      <c r="I1598">
        <v>22.701688560000001</v>
      </c>
      <c r="J1598">
        <v>77.298311440000006</v>
      </c>
      <c r="K1598">
        <v>0.8</v>
      </c>
      <c r="L1598">
        <v>0.3</v>
      </c>
      <c r="M1598">
        <v>0.7</v>
      </c>
      <c r="N1598">
        <v>412</v>
      </c>
      <c r="O1598">
        <v>121</v>
      </c>
      <c r="P1598">
        <v>0</v>
      </c>
      <c r="Q1598">
        <v>22.7</v>
      </c>
      <c r="R1598" t="s">
        <v>254</v>
      </c>
      <c r="S1598">
        <v>0.75</v>
      </c>
      <c r="T1598">
        <v>0.79</v>
      </c>
    </row>
    <row r="1599" spans="1:21" ht="15" customHeight="1" x14ac:dyDescent="0.25">
      <c r="A1599" t="s">
        <v>19</v>
      </c>
      <c r="B1599" t="s">
        <v>20</v>
      </c>
      <c r="C1599" t="s">
        <v>320</v>
      </c>
      <c r="D1599">
        <v>3</v>
      </c>
      <c r="E1599" t="s">
        <v>132</v>
      </c>
      <c r="F1599" t="s">
        <v>373</v>
      </c>
      <c r="G1599">
        <v>10</v>
      </c>
      <c r="H1599">
        <v>0</v>
      </c>
      <c r="I1599">
        <f>100-J1599</f>
        <v>10</v>
      </c>
      <c r="J1599">
        <f>100-G1599-H1599</f>
        <v>90</v>
      </c>
      <c r="K1599" t="s">
        <v>19</v>
      </c>
      <c r="L1599" t="s">
        <v>19</v>
      </c>
      <c r="M1599" t="s">
        <v>19</v>
      </c>
      <c r="N1599" t="s">
        <v>19</v>
      </c>
      <c r="O1599" t="s">
        <v>19</v>
      </c>
      <c r="P1599" t="s">
        <v>19</v>
      </c>
      <c r="Q1599">
        <f>I1599</f>
        <v>10</v>
      </c>
      <c r="R1599" t="s">
        <v>19</v>
      </c>
      <c r="S1599" t="s">
        <v>19</v>
      </c>
      <c r="T1599" t="s">
        <v>19</v>
      </c>
    </row>
    <row r="1600" spans="1:21" ht="15" customHeight="1" x14ac:dyDescent="0.25">
      <c r="A1600" s="2">
        <v>45323.598425925928</v>
      </c>
      <c r="B1600" t="s">
        <v>309</v>
      </c>
      <c r="C1600" t="s">
        <v>322</v>
      </c>
      <c r="D1600">
        <v>3</v>
      </c>
      <c r="E1600" t="s">
        <v>132</v>
      </c>
      <c r="F1600" t="s">
        <v>373</v>
      </c>
      <c r="G1600">
        <f>(O1600/(N1600+O1600+P1600))*100</f>
        <v>17.647058823529413</v>
      </c>
      <c r="H1600">
        <f>(P1600/(O1600+P1600+N1600))*100</f>
        <v>0</v>
      </c>
      <c r="I1600">
        <f>((O1600+P1600)/(P1600+O1600+N1600))*100</f>
        <v>17.647058823529413</v>
      </c>
      <c r="J1600">
        <f>(N1600/(P1600+O1600+N1600))*100</f>
        <v>82.35294117647058</v>
      </c>
      <c r="K1600">
        <v>0.8</v>
      </c>
      <c r="L1600">
        <v>0.3</v>
      </c>
      <c r="M1600">
        <v>0.7</v>
      </c>
      <c r="N1600">
        <v>462</v>
      </c>
      <c r="O1600">
        <v>99</v>
      </c>
      <c r="P1600">
        <v>0</v>
      </c>
      <c r="Q1600">
        <v>17.649999999999999</v>
      </c>
      <c r="R1600" t="s">
        <v>288</v>
      </c>
      <c r="S1600">
        <v>2.64</v>
      </c>
      <c r="T1600">
        <v>3.03</v>
      </c>
      <c r="U1600">
        <v>113</v>
      </c>
    </row>
    <row r="1601" spans="1:21" ht="15" customHeight="1" x14ac:dyDescent="0.25">
      <c r="A1601" s="2">
        <v>45323.601921296293</v>
      </c>
      <c r="B1601" t="s">
        <v>309</v>
      </c>
      <c r="C1601" t="s">
        <v>322</v>
      </c>
      <c r="D1601">
        <v>3</v>
      </c>
      <c r="E1601" t="s">
        <v>132</v>
      </c>
      <c r="F1601" t="s">
        <v>373</v>
      </c>
      <c r="G1601">
        <f>(O1601/(N1601+O1601+P1601))*100</f>
        <v>20.344827586206897</v>
      </c>
      <c r="H1601">
        <f>(P1601/(O1601+P1601+N1601))*100</f>
        <v>0</v>
      </c>
      <c r="I1601">
        <f>((O1601+P1601)/(P1601+O1601+N1601))*100</f>
        <v>20.344827586206897</v>
      </c>
      <c r="J1601">
        <f>(N1601/(P1601+O1601+N1601))*100</f>
        <v>79.65517241379311</v>
      </c>
      <c r="K1601">
        <v>0.7</v>
      </c>
      <c r="L1601">
        <v>0.3</v>
      </c>
      <c r="M1601">
        <v>0.7</v>
      </c>
      <c r="N1601">
        <v>462</v>
      </c>
      <c r="O1601">
        <v>118</v>
      </c>
      <c r="P1601">
        <v>0</v>
      </c>
      <c r="Q1601">
        <v>20.34</v>
      </c>
      <c r="R1601" t="s">
        <v>339</v>
      </c>
      <c r="S1601">
        <v>2.64</v>
      </c>
      <c r="T1601">
        <v>3.03</v>
      </c>
      <c r="U1601">
        <v>94</v>
      </c>
    </row>
    <row r="1602" spans="1:21" ht="15" customHeight="1" x14ac:dyDescent="0.25">
      <c r="A1602" s="2">
        <v>45325.165081018517</v>
      </c>
      <c r="B1602" t="s">
        <v>309</v>
      </c>
      <c r="C1602" t="s">
        <v>368</v>
      </c>
      <c r="D1602">
        <v>2</v>
      </c>
      <c r="E1602" t="s">
        <v>132</v>
      </c>
      <c r="F1602" t="s">
        <v>373</v>
      </c>
      <c r="G1602">
        <f>(O1602/(N1602+O1602+P1602))*100</f>
        <v>30.499075785582253</v>
      </c>
      <c r="H1602">
        <f>(P1602/(O1602+P1602+N1602))*100</f>
        <v>0</v>
      </c>
      <c r="I1602">
        <v>30.5</v>
      </c>
      <c r="J1602">
        <f>(N1602/(P1602+O1602+N1602))*100</f>
        <v>69.500924214417751</v>
      </c>
      <c r="K1602">
        <v>0.8</v>
      </c>
      <c r="L1602">
        <v>0.3</v>
      </c>
      <c r="M1602">
        <v>0.7</v>
      </c>
      <c r="N1602">
        <v>376</v>
      </c>
      <c r="O1602">
        <v>165</v>
      </c>
      <c r="P1602">
        <v>0</v>
      </c>
      <c r="Q1602">
        <v>30.5</v>
      </c>
      <c r="R1602" t="s">
        <v>284</v>
      </c>
      <c r="S1602">
        <v>0.87</v>
      </c>
      <c r="T1602">
        <v>0.92</v>
      </c>
    </row>
    <row r="1603" spans="1:21" ht="15" customHeight="1" x14ac:dyDescent="0.25">
      <c r="A1603" t="s">
        <v>19</v>
      </c>
      <c r="B1603" t="s">
        <v>20</v>
      </c>
      <c r="C1603" t="s">
        <v>308</v>
      </c>
      <c r="D1603">
        <v>3</v>
      </c>
      <c r="E1603" t="s">
        <v>133</v>
      </c>
      <c r="F1603" t="s">
        <v>388</v>
      </c>
      <c r="G1603">
        <v>10</v>
      </c>
      <c r="H1603">
        <v>30</v>
      </c>
      <c r="I1603">
        <f>G1603+H1603</f>
        <v>40</v>
      </c>
      <c r="J1603">
        <f>100-G1603-H1603</f>
        <v>60</v>
      </c>
      <c r="K1603" t="s">
        <v>19</v>
      </c>
      <c r="L1603" t="s">
        <v>19</v>
      </c>
      <c r="M1603" t="s">
        <v>19</v>
      </c>
      <c r="N1603" t="s">
        <v>19</v>
      </c>
      <c r="O1603" t="s">
        <v>19</v>
      </c>
      <c r="P1603" t="s">
        <v>19</v>
      </c>
      <c r="Q1603">
        <f>I1603</f>
        <v>40</v>
      </c>
      <c r="R1603" t="s">
        <v>19</v>
      </c>
      <c r="S1603" t="s">
        <v>19</v>
      </c>
      <c r="T1603" t="s">
        <v>19</v>
      </c>
    </row>
    <row r="1604" spans="1:21" ht="15" customHeight="1" x14ac:dyDescent="0.25">
      <c r="A1604" t="s">
        <v>19</v>
      </c>
      <c r="B1604" t="s">
        <v>20</v>
      </c>
      <c r="C1604" t="s">
        <v>22</v>
      </c>
      <c r="D1604">
        <v>3</v>
      </c>
      <c r="E1604" t="s">
        <v>133</v>
      </c>
      <c r="F1604" t="s">
        <v>388</v>
      </c>
      <c r="G1604">
        <v>40</v>
      </c>
      <c r="H1604">
        <v>5</v>
      </c>
      <c r="I1604">
        <f>G1604+H1604</f>
        <v>45</v>
      </c>
      <c r="J1604">
        <f>100-G1604-H1604</f>
        <v>55</v>
      </c>
      <c r="K1604" t="s">
        <v>19</v>
      </c>
      <c r="L1604" t="s">
        <v>19</v>
      </c>
      <c r="M1604" t="s">
        <v>19</v>
      </c>
      <c r="N1604" t="s">
        <v>19</v>
      </c>
      <c r="O1604" t="s">
        <v>19</v>
      </c>
      <c r="P1604" t="s">
        <v>19</v>
      </c>
      <c r="Q1604">
        <f>I1604</f>
        <v>45</v>
      </c>
      <c r="R1604" t="s">
        <v>19</v>
      </c>
      <c r="S1604" t="s">
        <v>19</v>
      </c>
      <c r="T1604" t="s">
        <v>19</v>
      </c>
    </row>
    <row r="1605" spans="1:21" ht="15" customHeight="1" x14ac:dyDescent="0.25">
      <c r="A1605" t="s">
        <v>19</v>
      </c>
      <c r="B1605" t="s">
        <v>20</v>
      </c>
      <c r="C1605" t="s">
        <v>305</v>
      </c>
      <c r="D1605">
        <v>3</v>
      </c>
      <c r="E1605" t="s">
        <v>133</v>
      </c>
      <c r="F1605" t="s">
        <v>388</v>
      </c>
      <c r="G1605">
        <v>30</v>
      </c>
      <c r="H1605">
        <v>20</v>
      </c>
      <c r="I1605">
        <f>G1605+H1605</f>
        <v>50</v>
      </c>
      <c r="J1605">
        <f>100-G1605-H1605</f>
        <v>50</v>
      </c>
      <c r="K1605" t="s">
        <v>19</v>
      </c>
      <c r="L1605" t="s">
        <v>19</v>
      </c>
      <c r="M1605" t="s">
        <v>19</v>
      </c>
      <c r="N1605" t="s">
        <v>19</v>
      </c>
      <c r="O1605" t="s">
        <v>19</v>
      </c>
      <c r="P1605" t="s">
        <v>19</v>
      </c>
      <c r="Q1605">
        <f>I1605</f>
        <v>50</v>
      </c>
      <c r="R1605" t="s">
        <v>19</v>
      </c>
      <c r="S1605" t="s">
        <v>19</v>
      </c>
      <c r="T1605" t="s">
        <v>19</v>
      </c>
    </row>
    <row r="1606" spans="1:21" ht="15" customHeight="1" x14ac:dyDescent="0.25">
      <c r="A1606" t="s">
        <v>19</v>
      </c>
      <c r="B1606" t="s">
        <v>20</v>
      </c>
      <c r="C1606" t="s">
        <v>307</v>
      </c>
      <c r="D1606">
        <v>3</v>
      </c>
      <c r="E1606" t="s">
        <v>133</v>
      </c>
      <c r="F1606" t="s">
        <v>388</v>
      </c>
      <c r="G1606">
        <v>9</v>
      </c>
      <c r="H1606">
        <v>3</v>
      </c>
      <c r="I1606">
        <f>G1606+H1606</f>
        <v>12</v>
      </c>
      <c r="J1606">
        <f>100-G1606-H1606</f>
        <v>88</v>
      </c>
      <c r="K1606" t="s">
        <v>19</v>
      </c>
      <c r="L1606" t="s">
        <v>19</v>
      </c>
      <c r="M1606" t="s">
        <v>19</v>
      </c>
      <c r="N1606" t="s">
        <v>19</v>
      </c>
      <c r="O1606" t="s">
        <v>19</v>
      </c>
      <c r="P1606" t="s">
        <v>19</v>
      </c>
      <c r="Q1606">
        <f>I1606</f>
        <v>12</v>
      </c>
      <c r="R1606" t="s">
        <v>19</v>
      </c>
      <c r="S1606" t="s">
        <v>19</v>
      </c>
      <c r="T1606" t="s">
        <v>19</v>
      </c>
    </row>
    <row r="1607" spans="1:21" ht="15" customHeight="1" x14ac:dyDescent="0.25">
      <c r="A1607" s="2">
        <v>45253.59375</v>
      </c>
      <c r="B1607" t="s">
        <v>309</v>
      </c>
      <c r="C1607" t="s">
        <v>213</v>
      </c>
      <c r="D1607">
        <v>3</v>
      </c>
      <c r="E1607" t="s">
        <v>133</v>
      </c>
      <c r="F1607" t="s">
        <v>388</v>
      </c>
      <c r="G1607">
        <v>8.3778966130000008</v>
      </c>
      <c r="H1607">
        <v>11.0516934</v>
      </c>
      <c r="I1607">
        <v>19.429590019999999</v>
      </c>
      <c r="J1607">
        <v>80.570409979999994</v>
      </c>
      <c r="K1607">
        <v>0.8</v>
      </c>
      <c r="L1607">
        <v>0.2</v>
      </c>
      <c r="M1607">
        <v>0.7</v>
      </c>
      <c r="N1607">
        <v>452</v>
      </c>
      <c r="O1607">
        <v>47</v>
      </c>
      <c r="P1607">
        <v>62</v>
      </c>
      <c r="Q1607">
        <v>19.43</v>
      </c>
      <c r="R1607" t="s">
        <v>289</v>
      </c>
      <c r="S1607">
        <v>2.66</v>
      </c>
      <c r="T1607">
        <v>3</v>
      </c>
    </row>
    <row r="1608" spans="1:21" ht="15" customHeight="1" x14ac:dyDescent="0.25">
      <c r="A1608" s="2">
        <v>45253.862500000003</v>
      </c>
      <c r="B1608" t="s">
        <v>309</v>
      </c>
      <c r="C1608" t="s">
        <v>215</v>
      </c>
      <c r="D1608">
        <v>2</v>
      </c>
      <c r="E1608" t="s">
        <v>133</v>
      </c>
      <c r="F1608" t="s">
        <v>388</v>
      </c>
      <c r="G1608">
        <v>13.636363640000001</v>
      </c>
      <c r="H1608">
        <v>0</v>
      </c>
      <c r="I1608">
        <v>13.636363640000001</v>
      </c>
      <c r="J1608">
        <v>86.363636360000001</v>
      </c>
      <c r="K1608">
        <v>0.8</v>
      </c>
      <c r="L1608">
        <v>0.2</v>
      </c>
      <c r="M1608">
        <v>0.7</v>
      </c>
      <c r="N1608">
        <v>532</v>
      </c>
      <c r="O1608">
        <v>84</v>
      </c>
      <c r="P1608">
        <v>0</v>
      </c>
      <c r="Q1608">
        <v>13.64</v>
      </c>
      <c r="R1608" t="s">
        <v>224</v>
      </c>
      <c r="S1608">
        <v>0.41</v>
      </c>
      <c r="T1608">
        <v>0.44</v>
      </c>
    </row>
    <row r="1609" spans="1:21" ht="15" customHeight="1" x14ac:dyDescent="0.25">
      <c r="A1609" s="2">
        <v>45254.03125</v>
      </c>
      <c r="B1609" t="s">
        <v>309</v>
      </c>
      <c r="C1609" t="s">
        <v>217</v>
      </c>
      <c r="D1609">
        <v>2</v>
      </c>
      <c r="E1609" t="s">
        <v>133</v>
      </c>
      <c r="F1609" t="s">
        <v>388</v>
      </c>
      <c r="G1609">
        <v>25.24590164</v>
      </c>
      <c r="H1609">
        <v>0</v>
      </c>
      <c r="I1609">
        <v>25.24590164</v>
      </c>
      <c r="J1609">
        <v>74.75409836</v>
      </c>
      <c r="K1609">
        <v>0.8</v>
      </c>
      <c r="L1609">
        <v>0.2</v>
      </c>
      <c r="M1609">
        <v>0.7</v>
      </c>
      <c r="N1609">
        <v>456</v>
      </c>
      <c r="O1609">
        <v>154</v>
      </c>
      <c r="P1609">
        <v>0</v>
      </c>
      <c r="Q1609">
        <v>25.25</v>
      </c>
      <c r="R1609" t="s">
        <v>229</v>
      </c>
      <c r="S1609">
        <v>0.63</v>
      </c>
      <c r="T1609">
        <v>0.65</v>
      </c>
    </row>
    <row r="1610" spans="1:21" ht="15" customHeight="1" x14ac:dyDescent="0.25">
      <c r="A1610" s="2">
        <v>45316.542361111111</v>
      </c>
      <c r="B1610" t="s">
        <v>309</v>
      </c>
      <c r="C1610" t="s">
        <v>219</v>
      </c>
      <c r="D1610">
        <v>3</v>
      </c>
      <c r="E1610" t="s">
        <v>133</v>
      </c>
      <c r="F1610" t="s">
        <v>388</v>
      </c>
      <c r="G1610">
        <v>5.7251908399999998</v>
      </c>
      <c r="H1610">
        <v>9.5419847329999996</v>
      </c>
      <c r="I1610">
        <v>15.267175569999999</v>
      </c>
      <c r="J1610">
        <v>84.732824429999994</v>
      </c>
      <c r="K1610">
        <v>0.8</v>
      </c>
      <c r="L1610">
        <v>0.2</v>
      </c>
      <c r="M1610">
        <v>0.7</v>
      </c>
      <c r="N1610">
        <v>444</v>
      </c>
      <c r="O1610">
        <v>30</v>
      </c>
      <c r="P1610">
        <v>50</v>
      </c>
      <c r="Q1610">
        <v>15.27</v>
      </c>
      <c r="R1610" t="s">
        <v>226</v>
      </c>
      <c r="S1610">
        <v>3.05</v>
      </c>
      <c r="T1610">
        <v>4.3099999999999996</v>
      </c>
    </row>
    <row r="1611" spans="1:21" ht="15" customHeight="1" x14ac:dyDescent="0.25">
      <c r="A1611" s="2">
        <v>45320.883333333331</v>
      </c>
      <c r="B1611" t="s">
        <v>309</v>
      </c>
      <c r="C1611" t="s">
        <v>221</v>
      </c>
      <c r="D1611">
        <v>2</v>
      </c>
      <c r="E1611" t="s">
        <v>133</v>
      </c>
      <c r="F1611" t="s">
        <v>388</v>
      </c>
      <c r="G1611">
        <v>35.24590164</v>
      </c>
      <c r="H1611">
        <v>0</v>
      </c>
      <c r="I1611">
        <v>35.24590164</v>
      </c>
      <c r="J1611">
        <v>64.75409836</v>
      </c>
      <c r="K1611">
        <v>0.8</v>
      </c>
      <c r="L1611">
        <v>0.3</v>
      </c>
      <c r="M1611">
        <v>0.7</v>
      </c>
      <c r="N1611">
        <v>395</v>
      </c>
      <c r="O1611">
        <v>215</v>
      </c>
      <c r="P1611">
        <v>0</v>
      </c>
      <c r="Q1611">
        <v>35.25</v>
      </c>
      <c r="R1611" t="s">
        <v>239</v>
      </c>
      <c r="S1611">
        <v>0.96</v>
      </c>
      <c r="T1611">
        <v>1.05</v>
      </c>
    </row>
    <row r="1612" spans="1:21" ht="15" customHeight="1" x14ac:dyDescent="0.25">
      <c r="A1612" t="s">
        <v>19</v>
      </c>
      <c r="B1612" t="s">
        <v>20</v>
      </c>
      <c r="C1612" t="s">
        <v>306</v>
      </c>
      <c r="D1612">
        <v>3</v>
      </c>
      <c r="E1612" t="s">
        <v>133</v>
      </c>
      <c r="F1612" t="s">
        <v>388</v>
      </c>
      <c r="G1612">
        <v>40</v>
      </c>
      <c r="H1612">
        <v>30</v>
      </c>
      <c r="I1612">
        <v>70</v>
      </c>
      <c r="J1612">
        <v>30</v>
      </c>
      <c r="K1612" t="s">
        <v>19</v>
      </c>
      <c r="L1612" t="s">
        <v>19</v>
      </c>
      <c r="M1612" t="s">
        <v>19</v>
      </c>
      <c r="N1612" t="s">
        <v>19</v>
      </c>
      <c r="O1612" t="s">
        <v>19</v>
      </c>
      <c r="P1612" t="s">
        <v>19</v>
      </c>
      <c r="Q1612">
        <f>I1612</f>
        <v>70</v>
      </c>
      <c r="R1612" t="s">
        <v>19</v>
      </c>
      <c r="S1612" t="s">
        <v>19</v>
      </c>
      <c r="T1612" t="s">
        <v>19</v>
      </c>
    </row>
    <row r="1613" spans="1:21" ht="15" customHeight="1" x14ac:dyDescent="0.25">
      <c r="A1613" t="s">
        <v>19</v>
      </c>
      <c r="B1613" t="s">
        <v>20</v>
      </c>
      <c r="C1613" t="s">
        <v>320</v>
      </c>
      <c r="D1613">
        <v>3</v>
      </c>
      <c r="E1613" t="s">
        <v>133</v>
      </c>
      <c r="F1613" t="s">
        <v>388</v>
      </c>
      <c r="G1613">
        <v>10</v>
      </c>
      <c r="H1613">
        <v>0</v>
      </c>
      <c r="I1613">
        <f>100-J1613</f>
        <v>10</v>
      </c>
      <c r="J1613">
        <f>100-G1613-H1613</f>
        <v>90</v>
      </c>
      <c r="K1613" t="s">
        <v>19</v>
      </c>
      <c r="L1613" t="s">
        <v>19</v>
      </c>
      <c r="M1613" t="s">
        <v>19</v>
      </c>
      <c r="N1613" t="s">
        <v>19</v>
      </c>
      <c r="O1613" t="s">
        <v>19</v>
      </c>
      <c r="P1613" t="s">
        <v>19</v>
      </c>
      <c r="Q1613">
        <f>I1613</f>
        <v>10</v>
      </c>
      <c r="R1613" t="s">
        <v>19</v>
      </c>
      <c r="S1613" t="s">
        <v>19</v>
      </c>
      <c r="T1613" t="s">
        <v>19</v>
      </c>
    </row>
    <row r="1614" spans="1:21" ht="15" customHeight="1" x14ac:dyDescent="0.25">
      <c r="A1614" s="2">
        <v>45323.603807870371</v>
      </c>
      <c r="B1614" t="s">
        <v>309</v>
      </c>
      <c r="C1614" t="s">
        <v>322</v>
      </c>
      <c r="D1614">
        <v>3</v>
      </c>
      <c r="E1614" t="s">
        <v>133</v>
      </c>
      <c r="F1614" t="s">
        <v>388</v>
      </c>
      <c r="G1614">
        <f>(O1614/(N1614+O1614+P1614))*100</f>
        <v>22.10144927536232</v>
      </c>
      <c r="H1614">
        <f>(P1614/(O1614+P1614+N1614))*100</f>
        <v>7.0652173913043477</v>
      </c>
      <c r="I1614">
        <v>29.17</v>
      </c>
      <c r="J1614">
        <f>(N1614/(P1614+O1614+N1614))*100</f>
        <v>70.833333333333343</v>
      </c>
      <c r="K1614">
        <v>0.8</v>
      </c>
      <c r="L1614">
        <v>0.3</v>
      </c>
      <c r="M1614">
        <v>0.7</v>
      </c>
      <c r="N1614">
        <v>391</v>
      </c>
      <c r="O1614">
        <v>122</v>
      </c>
      <c r="P1614">
        <v>39</v>
      </c>
      <c r="Q1614">
        <v>29.17</v>
      </c>
      <c r="R1614" t="s">
        <v>288</v>
      </c>
      <c r="S1614">
        <v>2.56</v>
      </c>
      <c r="T1614">
        <v>3.22</v>
      </c>
      <c r="U1614">
        <v>135</v>
      </c>
    </row>
    <row r="1615" spans="1:21" ht="15" customHeight="1" x14ac:dyDescent="0.25">
      <c r="A1615" s="2">
        <v>45323.601307870369</v>
      </c>
      <c r="B1615" t="s">
        <v>309</v>
      </c>
      <c r="C1615" t="s">
        <v>322</v>
      </c>
      <c r="D1615">
        <v>3</v>
      </c>
      <c r="E1615" t="s">
        <v>133</v>
      </c>
      <c r="F1615" t="s">
        <v>388</v>
      </c>
      <c r="G1615">
        <f>(O1615/(N1615+O1615+P1615))*100</f>
        <v>25.217391304347824</v>
      </c>
      <c r="H1615">
        <f>(P1615/(O1615+P1615+N1615))*100</f>
        <v>8.5217391304347831</v>
      </c>
      <c r="I1615">
        <v>33.74</v>
      </c>
      <c r="J1615">
        <f>(N1615/(P1615+O1615+N1615))*100</f>
        <v>66.260869565217391</v>
      </c>
      <c r="K1615">
        <v>0.7</v>
      </c>
      <c r="L1615">
        <v>0.3</v>
      </c>
      <c r="M1615">
        <v>0.7</v>
      </c>
      <c r="N1615">
        <v>381</v>
      </c>
      <c r="O1615">
        <v>145</v>
      </c>
      <c r="P1615">
        <v>49</v>
      </c>
      <c r="Q1615">
        <v>33.74</v>
      </c>
      <c r="R1615" t="s">
        <v>245</v>
      </c>
      <c r="S1615">
        <v>2.56</v>
      </c>
      <c r="T1615">
        <v>3.22</v>
      </c>
      <c r="U1615">
        <v>112</v>
      </c>
    </row>
    <row r="1616" spans="1:21" ht="15" customHeight="1" x14ac:dyDescent="0.25">
      <c r="A1616" s="2">
        <v>45325.021354166667</v>
      </c>
      <c r="B1616" t="s">
        <v>309</v>
      </c>
      <c r="C1616" t="s">
        <v>368</v>
      </c>
      <c r="D1616">
        <v>2</v>
      </c>
      <c r="E1616" t="s">
        <v>133</v>
      </c>
      <c r="F1616" t="s">
        <v>388</v>
      </c>
      <c r="G1616">
        <f>(O1616/(N1616+O1616+P1616))*100</f>
        <v>34.090909090909086</v>
      </c>
      <c r="H1616">
        <f>(P1616/(O1616+P1616+N1616))*100</f>
        <v>0</v>
      </c>
      <c r="I1616">
        <v>34.090000000000003</v>
      </c>
      <c r="J1616">
        <f>(N1616/(P1616+O1616+N1616))*100</f>
        <v>65.909090909090907</v>
      </c>
      <c r="K1616">
        <v>0.8</v>
      </c>
      <c r="L1616">
        <v>0.3</v>
      </c>
      <c r="M1616">
        <v>0.7</v>
      </c>
      <c r="N1616">
        <v>377</v>
      </c>
      <c r="O1616">
        <v>195</v>
      </c>
      <c r="P1616">
        <v>0</v>
      </c>
      <c r="Q1616">
        <v>34.090000000000003</v>
      </c>
      <c r="R1616" t="s">
        <v>284</v>
      </c>
      <c r="S1616">
        <v>0.99</v>
      </c>
      <c r="T1616">
        <v>1.0900000000000001</v>
      </c>
    </row>
    <row r="1617" spans="1:21" ht="15" customHeight="1" x14ac:dyDescent="0.25">
      <c r="A1617" t="s">
        <v>19</v>
      </c>
      <c r="B1617" t="s">
        <v>20</v>
      </c>
      <c r="C1617" t="s">
        <v>308</v>
      </c>
      <c r="D1617">
        <v>3</v>
      </c>
      <c r="E1617" t="s">
        <v>134</v>
      </c>
      <c r="F1617" t="s">
        <v>388</v>
      </c>
      <c r="G1617">
        <v>10</v>
      </c>
      <c r="H1617">
        <v>80</v>
      </c>
      <c r="I1617">
        <f>G1617+H1617</f>
        <v>90</v>
      </c>
      <c r="J1617">
        <f>100-G1617-H1617</f>
        <v>10</v>
      </c>
      <c r="K1617" t="s">
        <v>19</v>
      </c>
      <c r="L1617" t="s">
        <v>19</v>
      </c>
      <c r="M1617" t="s">
        <v>19</v>
      </c>
      <c r="N1617" t="s">
        <v>19</v>
      </c>
      <c r="O1617" t="s">
        <v>19</v>
      </c>
      <c r="P1617" t="s">
        <v>19</v>
      </c>
      <c r="Q1617">
        <f>I1617</f>
        <v>90</v>
      </c>
      <c r="R1617" t="s">
        <v>19</v>
      </c>
      <c r="S1617" t="s">
        <v>19</v>
      </c>
      <c r="T1617" t="s">
        <v>19</v>
      </c>
    </row>
    <row r="1618" spans="1:21" ht="15" customHeight="1" x14ac:dyDescent="0.25">
      <c r="A1618" t="s">
        <v>19</v>
      </c>
      <c r="B1618" t="s">
        <v>20</v>
      </c>
      <c r="C1618" t="s">
        <v>22</v>
      </c>
      <c r="D1618">
        <v>3</v>
      </c>
      <c r="E1618" t="s">
        <v>134</v>
      </c>
      <c r="F1618" t="s">
        <v>388</v>
      </c>
      <c r="G1618">
        <v>35</v>
      </c>
      <c r="H1618">
        <v>55</v>
      </c>
      <c r="I1618">
        <f>G1618+H1618</f>
        <v>90</v>
      </c>
      <c r="J1618">
        <f>100-G1618-H1618</f>
        <v>10</v>
      </c>
      <c r="K1618" t="s">
        <v>19</v>
      </c>
      <c r="L1618" t="s">
        <v>19</v>
      </c>
      <c r="M1618" t="s">
        <v>19</v>
      </c>
      <c r="N1618" t="s">
        <v>19</v>
      </c>
      <c r="O1618" t="s">
        <v>19</v>
      </c>
      <c r="P1618" t="s">
        <v>19</v>
      </c>
      <c r="Q1618">
        <f>I1618</f>
        <v>90</v>
      </c>
      <c r="R1618" t="s">
        <v>19</v>
      </c>
      <c r="S1618" t="s">
        <v>19</v>
      </c>
      <c r="T1618" t="s">
        <v>19</v>
      </c>
    </row>
    <row r="1619" spans="1:21" ht="15" customHeight="1" x14ac:dyDescent="0.25">
      <c r="A1619" t="s">
        <v>19</v>
      </c>
      <c r="B1619" t="s">
        <v>20</v>
      </c>
      <c r="C1619" t="s">
        <v>305</v>
      </c>
      <c r="D1619">
        <v>3</v>
      </c>
      <c r="E1619" t="s">
        <v>134</v>
      </c>
      <c r="F1619" t="s">
        <v>388</v>
      </c>
      <c r="G1619">
        <v>25</v>
      </c>
      <c r="H1619">
        <v>60</v>
      </c>
      <c r="I1619">
        <f>G1619+H1619</f>
        <v>85</v>
      </c>
      <c r="J1619">
        <f>100-G1619-H1619</f>
        <v>15</v>
      </c>
      <c r="K1619" t="s">
        <v>19</v>
      </c>
      <c r="L1619" t="s">
        <v>19</v>
      </c>
      <c r="M1619" t="s">
        <v>19</v>
      </c>
      <c r="N1619" t="s">
        <v>19</v>
      </c>
      <c r="O1619" t="s">
        <v>19</v>
      </c>
      <c r="P1619" t="s">
        <v>19</v>
      </c>
      <c r="Q1619">
        <f>I1619</f>
        <v>85</v>
      </c>
      <c r="R1619" t="s">
        <v>19</v>
      </c>
      <c r="S1619" t="s">
        <v>19</v>
      </c>
      <c r="T1619" t="s">
        <v>19</v>
      </c>
    </row>
    <row r="1620" spans="1:21" ht="15" customHeight="1" x14ac:dyDescent="0.25">
      <c r="A1620" t="s">
        <v>19</v>
      </c>
      <c r="B1620" t="s">
        <v>20</v>
      </c>
      <c r="C1620" t="s">
        <v>307</v>
      </c>
      <c r="D1620">
        <v>3</v>
      </c>
      <c r="E1620" t="s">
        <v>134</v>
      </c>
      <c r="F1620" t="s">
        <v>388</v>
      </c>
      <c r="G1620">
        <v>30</v>
      </c>
      <c r="H1620">
        <v>60</v>
      </c>
      <c r="I1620">
        <f>G1620+H1620</f>
        <v>90</v>
      </c>
      <c r="J1620">
        <f>100-G1620-H1620</f>
        <v>10</v>
      </c>
      <c r="K1620" t="s">
        <v>19</v>
      </c>
      <c r="L1620" t="s">
        <v>19</v>
      </c>
      <c r="M1620" t="s">
        <v>19</v>
      </c>
      <c r="N1620" t="s">
        <v>19</v>
      </c>
      <c r="O1620" t="s">
        <v>19</v>
      </c>
      <c r="P1620" t="s">
        <v>19</v>
      </c>
      <c r="Q1620">
        <f>I1620</f>
        <v>90</v>
      </c>
      <c r="R1620" t="s">
        <v>19</v>
      </c>
      <c r="S1620" t="s">
        <v>19</v>
      </c>
      <c r="T1620" t="s">
        <v>19</v>
      </c>
    </row>
    <row r="1621" spans="1:21" ht="15" customHeight="1" x14ac:dyDescent="0.25">
      <c r="A1621" s="2">
        <v>45253.595138888886</v>
      </c>
      <c r="B1621" t="s">
        <v>309</v>
      </c>
      <c r="C1621" t="s">
        <v>213</v>
      </c>
      <c r="D1621">
        <v>3</v>
      </c>
      <c r="E1621" t="s">
        <v>134</v>
      </c>
      <c r="F1621" t="s">
        <v>388</v>
      </c>
      <c r="G1621">
        <v>0.79239302700000003</v>
      </c>
      <c r="H1621">
        <v>75.911251980000003</v>
      </c>
      <c r="I1621">
        <v>76.703645010000002</v>
      </c>
      <c r="J1621">
        <v>23.296354990000001</v>
      </c>
      <c r="K1621">
        <v>0.8</v>
      </c>
      <c r="L1621">
        <v>0.2</v>
      </c>
      <c r="M1621">
        <v>0.7</v>
      </c>
      <c r="N1621">
        <v>147</v>
      </c>
      <c r="O1621">
        <v>5</v>
      </c>
      <c r="P1621">
        <v>479</v>
      </c>
      <c r="Q1621">
        <v>76.7</v>
      </c>
      <c r="R1621" t="s">
        <v>289</v>
      </c>
      <c r="S1621">
        <v>2.91</v>
      </c>
      <c r="T1621">
        <v>3.75</v>
      </c>
    </row>
    <row r="1622" spans="1:21" ht="15" customHeight="1" x14ac:dyDescent="0.25">
      <c r="A1622" s="2">
        <v>45253.863194444442</v>
      </c>
      <c r="B1622" t="s">
        <v>309</v>
      </c>
      <c r="C1622" t="s">
        <v>215</v>
      </c>
      <c r="D1622">
        <v>2</v>
      </c>
      <c r="E1622" t="s">
        <v>134</v>
      </c>
      <c r="F1622" t="s">
        <v>388</v>
      </c>
      <c r="G1622">
        <v>2.5875190259999998</v>
      </c>
      <c r="H1622">
        <v>0</v>
      </c>
      <c r="I1622">
        <v>2.5875190259999998</v>
      </c>
      <c r="J1622">
        <v>97.412480970000004</v>
      </c>
      <c r="K1622">
        <v>0.8</v>
      </c>
      <c r="L1622">
        <v>0.2</v>
      </c>
      <c r="M1622">
        <v>0.7</v>
      </c>
      <c r="N1622">
        <v>640</v>
      </c>
      <c r="O1622">
        <v>17</v>
      </c>
      <c r="P1622">
        <v>0</v>
      </c>
      <c r="Q1622">
        <v>2.59</v>
      </c>
      <c r="R1622" t="s">
        <v>243</v>
      </c>
      <c r="S1622">
        <v>0.13</v>
      </c>
      <c r="T1622">
        <v>0.14000000000000001</v>
      </c>
    </row>
    <row r="1623" spans="1:21" ht="15" customHeight="1" x14ac:dyDescent="0.25">
      <c r="A1623" s="2">
        <v>45254.032638888886</v>
      </c>
      <c r="B1623" t="s">
        <v>309</v>
      </c>
      <c r="C1623" t="s">
        <v>217</v>
      </c>
      <c r="D1623">
        <v>2</v>
      </c>
      <c r="E1623" t="s">
        <v>134</v>
      </c>
      <c r="F1623" t="s">
        <v>388</v>
      </c>
      <c r="G1623">
        <v>4.7913446679999998</v>
      </c>
      <c r="H1623">
        <v>0</v>
      </c>
      <c r="I1623">
        <v>4.7913446679999998</v>
      </c>
      <c r="J1623">
        <v>95.208655329999999</v>
      </c>
      <c r="K1623">
        <v>0.8</v>
      </c>
      <c r="L1623">
        <v>0.2</v>
      </c>
      <c r="M1623">
        <v>0.7</v>
      </c>
      <c r="N1623">
        <v>616</v>
      </c>
      <c r="O1623">
        <v>31</v>
      </c>
      <c r="P1623">
        <v>0</v>
      </c>
      <c r="Q1623">
        <v>4.79</v>
      </c>
      <c r="R1623" t="s">
        <v>226</v>
      </c>
      <c r="S1623">
        <v>0.23</v>
      </c>
      <c r="T1623">
        <v>0.25</v>
      </c>
    </row>
    <row r="1624" spans="1:21" ht="15" customHeight="1" x14ac:dyDescent="0.25">
      <c r="A1624" s="2">
        <v>45316.543055555558</v>
      </c>
      <c r="B1624" t="s">
        <v>309</v>
      </c>
      <c r="C1624" t="s">
        <v>219</v>
      </c>
      <c r="D1624">
        <v>3</v>
      </c>
      <c r="E1624" t="s">
        <v>134</v>
      </c>
      <c r="F1624" t="s">
        <v>388</v>
      </c>
      <c r="G1624">
        <v>0.163666121</v>
      </c>
      <c r="H1624">
        <v>81.833060560000007</v>
      </c>
      <c r="I1624">
        <v>81.996726679999995</v>
      </c>
      <c r="J1624">
        <v>18.003273320000002</v>
      </c>
      <c r="K1624">
        <v>0.8</v>
      </c>
      <c r="L1624">
        <v>0.2</v>
      </c>
      <c r="M1624">
        <v>0.7</v>
      </c>
      <c r="N1624">
        <v>110</v>
      </c>
      <c r="O1624">
        <v>1</v>
      </c>
      <c r="P1624">
        <v>500</v>
      </c>
      <c r="Q1624">
        <v>82</v>
      </c>
      <c r="R1624" t="s">
        <v>226</v>
      </c>
      <c r="S1624">
        <v>3.05</v>
      </c>
      <c r="T1624">
        <v>4.37</v>
      </c>
    </row>
    <row r="1625" spans="1:21" ht="15" customHeight="1" x14ac:dyDescent="0.25">
      <c r="A1625" s="2">
        <v>45320.884027777778</v>
      </c>
      <c r="B1625" t="s">
        <v>309</v>
      </c>
      <c r="C1625" t="s">
        <v>221</v>
      </c>
      <c r="D1625">
        <v>2</v>
      </c>
      <c r="E1625" t="s">
        <v>134</v>
      </c>
      <c r="F1625" t="s">
        <v>388</v>
      </c>
      <c r="G1625">
        <v>89.010989010000003</v>
      </c>
      <c r="H1625">
        <v>0</v>
      </c>
      <c r="I1625">
        <v>89.010989010000003</v>
      </c>
      <c r="J1625">
        <v>10.989010990000001</v>
      </c>
      <c r="K1625">
        <v>0.8</v>
      </c>
      <c r="L1625">
        <v>0.3</v>
      </c>
      <c r="M1625">
        <v>0.7</v>
      </c>
      <c r="N1625">
        <v>70</v>
      </c>
      <c r="O1625">
        <v>567</v>
      </c>
      <c r="P1625">
        <v>0</v>
      </c>
      <c r="Q1625">
        <v>89.01</v>
      </c>
      <c r="R1625" t="s">
        <v>251</v>
      </c>
      <c r="S1625">
        <v>2.29</v>
      </c>
      <c r="T1625">
        <v>2.41</v>
      </c>
    </row>
    <row r="1626" spans="1:21" ht="15" customHeight="1" x14ac:dyDescent="0.25">
      <c r="A1626" t="s">
        <v>19</v>
      </c>
      <c r="B1626" t="s">
        <v>20</v>
      </c>
      <c r="C1626" t="s">
        <v>306</v>
      </c>
      <c r="D1626">
        <v>3</v>
      </c>
      <c r="E1626" t="s">
        <v>134</v>
      </c>
      <c r="F1626" t="s">
        <v>388</v>
      </c>
      <c r="G1626">
        <v>5</v>
      </c>
      <c r="H1626">
        <v>95</v>
      </c>
      <c r="I1626">
        <f>G1626+H1626</f>
        <v>100</v>
      </c>
      <c r="J1626">
        <f>100-G1626-H1626</f>
        <v>0</v>
      </c>
      <c r="K1626" t="s">
        <v>19</v>
      </c>
      <c r="L1626" t="s">
        <v>19</v>
      </c>
      <c r="M1626" t="s">
        <v>19</v>
      </c>
      <c r="N1626" t="s">
        <v>19</v>
      </c>
      <c r="O1626" t="s">
        <v>19</v>
      </c>
      <c r="P1626" t="s">
        <v>19</v>
      </c>
      <c r="Q1626">
        <f>I1626</f>
        <v>100</v>
      </c>
      <c r="R1626" t="s">
        <v>19</v>
      </c>
      <c r="S1626" t="s">
        <v>19</v>
      </c>
      <c r="T1626" t="s">
        <v>19</v>
      </c>
    </row>
    <row r="1627" spans="1:21" ht="15" customHeight="1" x14ac:dyDescent="0.25">
      <c r="A1627" t="s">
        <v>19</v>
      </c>
      <c r="B1627" t="s">
        <v>20</v>
      </c>
      <c r="C1627" t="s">
        <v>320</v>
      </c>
      <c r="D1627">
        <v>3</v>
      </c>
      <c r="E1627" t="s">
        <v>134</v>
      </c>
      <c r="F1627" t="s">
        <v>388</v>
      </c>
      <c r="G1627">
        <v>10</v>
      </c>
      <c r="H1627">
        <v>90</v>
      </c>
      <c r="I1627">
        <f>100-J1627</f>
        <v>100</v>
      </c>
      <c r="J1627">
        <f>100-G1627-H1627</f>
        <v>0</v>
      </c>
      <c r="K1627" t="s">
        <v>19</v>
      </c>
      <c r="L1627" t="s">
        <v>19</v>
      </c>
      <c r="M1627" t="s">
        <v>19</v>
      </c>
      <c r="N1627" t="s">
        <v>19</v>
      </c>
      <c r="O1627" t="s">
        <v>19</v>
      </c>
      <c r="P1627" t="s">
        <v>19</v>
      </c>
      <c r="Q1627">
        <f>I1627</f>
        <v>100</v>
      </c>
      <c r="R1627" t="s">
        <v>19</v>
      </c>
      <c r="S1627" t="s">
        <v>19</v>
      </c>
      <c r="T1627" t="s">
        <v>19</v>
      </c>
    </row>
    <row r="1628" spans="1:21" ht="15" customHeight="1" x14ac:dyDescent="0.25">
      <c r="A1628" s="2">
        <v>45323.605416666665</v>
      </c>
      <c r="B1628" t="s">
        <v>309</v>
      </c>
      <c r="C1628" t="s">
        <v>322</v>
      </c>
      <c r="D1628">
        <v>3</v>
      </c>
      <c r="E1628" t="s">
        <v>134</v>
      </c>
      <c r="F1628" t="s">
        <v>388</v>
      </c>
      <c r="G1628">
        <f>(O1628/(N1628+O1628+P1628))*100</f>
        <v>11.130434782608695</v>
      </c>
      <c r="H1628">
        <f>(P1628/(O1628+P1628+N1628))*100</f>
        <v>68.347826086956516</v>
      </c>
      <c r="I1628">
        <v>79.48</v>
      </c>
      <c r="J1628">
        <f>(N1628/(P1628+O1628+N1628))*100</f>
        <v>20.521739130434781</v>
      </c>
      <c r="K1628">
        <v>0.8</v>
      </c>
      <c r="L1628">
        <v>0.3</v>
      </c>
      <c r="M1628">
        <v>0.7</v>
      </c>
      <c r="N1628">
        <v>118</v>
      </c>
      <c r="O1628">
        <v>64</v>
      </c>
      <c r="P1628">
        <v>393</v>
      </c>
      <c r="Q1628">
        <v>79.48</v>
      </c>
      <c r="R1628" t="s">
        <v>330</v>
      </c>
      <c r="S1628">
        <v>2.78</v>
      </c>
      <c r="T1628">
        <v>4.21</v>
      </c>
      <c r="U1628">
        <v>120</v>
      </c>
    </row>
    <row r="1629" spans="1:21" ht="15" customHeight="1" x14ac:dyDescent="0.25">
      <c r="A1629" s="2">
        <v>45323.602870370371</v>
      </c>
      <c r="B1629" t="s">
        <v>309</v>
      </c>
      <c r="C1629" t="s">
        <v>322</v>
      </c>
      <c r="D1629">
        <v>3</v>
      </c>
      <c r="E1629" t="s">
        <v>134</v>
      </c>
      <c r="F1629" t="s">
        <v>388</v>
      </c>
      <c r="G1629">
        <f>(O1629/(N1629+O1629+P1629))*100</f>
        <v>14.833333333333334</v>
      </c>
      <c r="H1629">
        <f>(P1629/(O1629+P1629+N1629))*100</f>
        <v>70.166666666666671</v>
      </c>
      <c r="I1629">
        <v>85</v>
      </c>
      <c r="J1629">
        <f>(N1629/(P1629+O1629+N1629))*100</f>
        <v>15</v>
      </c>
      <c r="K1629">
        <v>0.7</v>
      </c>
      <c r="L1629">
        <v>0.3</v>
      </c>
      <c r="M1629">
        <v>0.7</v>
      </c>
      <c r="N1629">
        <v>90</v>
      </c>
      <c r="O1629">
        <v>89</v>
      </c>
      <c r="P1629">
        <v>421</v>
      </c>
      <c r="Q1629">
        <v>85</v>
      </c>
      <c r="R1629" t="s">
        <v>345</v>
      </c>
      <c r="S1629">
        <v>2.78</v>
      </c>
      <c r="T1629">
        <v>4.21</v>
      </c>
      <c r="U1629">
        <v>95</v>
      </c>
    </row>
    <row r="1630" spans="1:21" ht="15" customHeight="1" x14ac:dyDescent="0.25">
      <c r="A1630" s="2">
        <v>45325.022812499999</v>
      </c>
      <c r="B1630" t="s">
        <v>309</v>
      </c>
      <c r="C1630" t="s">
        <v>368</v>
      </c>
      <c r="D1630">
        <v>2</v>
      </c>
      <c r="E1630" t="s">
        <v>134</v>
      </c>
      <c r="F1630" t="s">
        <v>388</v>
      </c>
      <c r="G1630">
        <f>(O1630/(N1630+O1630+P1630))*100</f>
        <v>94.887218045112789</v>
      </c>
      <c r="H1630">
        <f>(P1630/(O1630+P1630+N1630))*100</f>
        <v>0</v>
      </c>
      <c r="I1630">
        <v>94.89</v>
      </c>
      <c r="J1630">
        <f>(N1630/(P1630+O1630+N1630))*100</f>
        <v>5.1127819548872182</v>
      </c>
      <c r="K1630">
        <v>0.8</v>
      </c>
      <c r="L1630">
        <v>0.3</v>
      </c>
      <c r="M1630">
        <v>0.7</v>
      </c>
      <c r="N1630">
        <v>34</v>
      </c>
      <c r="O1630">
        <v>631</v>
      </c>
      <c r="P1630">
        <v>0</v>
      </c>
      <c r="Q1630">
        <v>94.89</v>
      </c>
      <c r="R1630" t="s">
        <v>339</v>
      </c>
      <c r="S1630">
        <v>2.3199999999999998</v>
      </c>
      <c r="T1630">
        <v>2.56</v>
      </c>
    </row>
    <row r="1631" spans="1:21" ht="15" customHeight="1" x14ac:dyDescent="0.25">
      <c r="A1631" t="s">
        <v>19</v>
      </c>
      <c r="B1631" t="s">
        <v>20</v>
      </c>
      <c r="C1631" t="s">
        <v>306</v>
      </c>
      <c r="D1631">
        <v>3</v>
      </c>
      <c r="E1631" t="s">
        <v>135</v>
      </c>
      <c r="F1631" t="s">
        <v>373</v>
      </c>
      <c r="G1631">
        <v>1</v>
      </c>
      <c r="H1631">
        <v>0</v>
      </c>
      <c r="I1631">
        <f>G1631+H1631</f>
        <v>1</v>
      </c>
      <c r="J1631">
        <f>100-G1631-H1631</f>
        <v>99</v>
      </c>
      <c r="K1631" t="s">
        <v>19</v>
      </c>
      <c r="L1631" t="s">
        <v>19</v>
      </c>
      <c r="M1631" t="s">
        <v>19</v>
      </c>
      <c r="N1631" t="s">
        <v>19</v>
      </c>
      <c r="O1631" t="s">
        <v>19</v>
      </c>
      <c r="P1631" t="s">
        <v>19</v>
      </c>
      <c r="Q1631">
        <f>I1631</f>
        <v>1</v>
      </c>
      <c r="R1631" t="s">
        <v>19</v>
      </c>
      <c r="S1631" t="s">
        <v>19</v>
      </c>
      <c r="T1631" t="s">
        <v>19</v>
      </c>
    </row>
    <row r="1632" spans="1:21" ht="15" customHeight="1" x14ac:dyDescent="0.25">
      <c r="A1632" t="s">
        <v>19</v>
      </c>
      <c r="B1632" t="s">
        <v>20</v>
      </c>
      <c r="C1632" t="s">
        <v>308</v>
      </c>
      <c r="D1632">
        <v>3</v>
      </c>
      <c r="E1632" t="s">
        <v>135</v>
      </c>
      <c r="F1632" t="s">
        <v>373</v>
      </c>
      <c r="G1632">
        <v>0</v>
      </c>
      <c r="H1632">
        <v>0</v>
      </c>
      <c r="I1632">
        <f>G1632+H1632</f>
        <v>0</v>
      </c>
      <c r="J1632">
        <f>100-G1632-H1632</f>
        <v>100</v>
      </c>
      <c r="K1632" t="s">
        <v>19</v>
      </c>
      <c r="L1632" t="s">
        <v>19</v>
      </c>
      <c r="M1632" t="s">
        <v>19</v>
      </c>
      <c r="N1632" t="s">
        <v>19</v>
      </c>
      <c r="O1632" t="s">
        <v>19</v>
      </c>
      <c r="P1632" t="s">
        <v>19</v>
      </c>
      <c r="Q1632">
        <f>I1632</f>
        <v>0</v>
      </c>
      <c r="R1632" t="s">
        <v>19</v>
      </c>
      <c r="S1632" t="s">
        <v>19</v>
      </c>
      <c r="T1632" t="s">
        <v>19</v>
      </c>
    </row>
    <row r="1633" spans="1:21" ht="15" customHeight="1" x14ac:dyDescent="0.25">
      <c r="A1633" t="s">
        <v>19</v>
      </c>
      <c r="B1633" t="s">
        <v>20</v>
      </c>
      <c r="C1633" t="s">
        <v>22</v>
      </c>
      <c r="D1633">
        <v>3</v>
      </c>
      <c r="E1633" t="s">
        <v>135</v>
      </c>
      <c r="F1633" t="s">
        <v>373</v>
      </c>
      <c r="G1633">
        <v>0</v>
      </c>
      <c r="H1633">
        <v>0</v>
      </c>
      <c r="I1633">
        <f>G1633+H1633</f>
        <v>0</v>
      </c>
      <c r="J1633">
        <f>100-G1633-H1633</f>
        <v>100</v>
      </c>
      <c r="K1633" t="s">
        <v>19</v>
      </c>
      <c r="L1633" t="s">
        <v>19</v>
      </c>
      <c r="M1633" t="s">
        <v>19</v>
      </c>
      <c r="N1633" t="s">
        <v>19</v>
      </c>
      <c r="O1633" t="s">
        <v>19</v>
      </c>
      <c r="P1633" t="s">
        <v>19</v>
      </c>
      <c r="Q1633">
        <f>I1633</f>
        <v>0</v>
      </c>
      <c r="R1633" t="s">
        <v>19</v>
      </c>
      <c r="S1633" t="s">
        <v>19</v>
      </c>
      <c r="T1633" t="s">
        <v>19</v>
      </c>
    </row>
    <row r="1634" spans="1:21" ht="15" customHeight="1" x14ac:dyDescent="0.25">
      <c r="A1634" t="s">
        <v>19</v>
      </c>
      <c r="B1634" t="s">
        <v>20</v>
      </c>
      <c r="C1634" t="s">
        <v>305</v>
      </c>
      <c r="D1634">
        <v>3</v>
      </c>
      <c r="E1634" t="s">
        <v>135</v>
      </c>
      <c r="F1634" t="s">
        <v>373</v>
      </c>
      <c r="G1634">
        <v>0</v>
      </c>
      <c r="H1634">
        <v>0</v>
      </c>
      <c r="I1634">
        <f>G1634+H1634</f>
        <v>0</v>
      </c>
      <c r="J1634">
        <f>100-G1634-H1634</f>
        <v>100</v>
      </c>
      <c r="K1634" t="s">
        <v>19</v>
      </c>
      <c r="L1634" t="s">
        <v>19</v>
      </c>
      <c r="M1634" t="s">
        <v>19</v>
      </c>
      <c r="N1634" t="s">
        <v>19</v>
      </c>
      <c r="O1634" t="s">
        <v>19</v>
      </c>
      <c r="P1634" t="s">
        <v>19</v>
      </c>
      <c r="Q1634">
        <f>I1634</f>
        <v>0</v>
      </c>
      <c r="R1634" t="s">
        <v>19</v>
      </c>
      <c r="S1634" t="s">
        <v>19</v>
      </c>
      <c r="T1634" t="s">
        <v>19</v>
      </c>
    </row>
    <row r="1635" spans="1:21" ht="15" customHeight="1" x14ac:dyDescent="0.25">
      <c r="A1635" t="s">
        <v>19</v>
      </c>
      <c r="B1635" t="s">
        <v>20</v>
      </c>
      <c r="C1635" t="s">
        <v>307</v>
      </c>
      <c r="D1635">
        <v>3</v>
      </c>
      <c r="E1635" t="s">
        <v>135</v>
      </c>
      <c r="F1635" t="s">
        <v>373</v>
      </c>
      <c r="G1635">
        <v>0</v>
      </c>
      <c r="H1635">
        <v>0</v>
      </c>
      <c r="I1635">
        <f>G1635+H1635</f>
        <v>0</v>
      </c>
      <c r="J1635">
        <f>100-G1635-H1635</f>
        <v>100</v>
      </c>
      <c r="K1635" t="s">
        <v>19</v>
      </c>
      <c r="L1635" t="s">
        <v>19</v>
      </c>
      <c r="M1635" t="s">
        <v>19</v>
      </c>
      <c r="N1635" t="s">
        <v>19</v>
      </c>
      <c r="O1635" t="s">
        <v>19</v>
      </c>
      <c r="P1635" t="s">
        <v>19</v>
      </c>
      <c r="Q1635">
        <f>I1635</f>
        <v>0</v>
      </c>
      <c r="R1635" t="s">
        <v>19</v>
      </c>
      <c r="S1635" t="s">
        <v>19</v>
      </c>
      <c r="T1635" t="s">
        <v>19</v>
      </c>
    </row>
    <row r="1636" spans="1:21" ht="15" customHeight="1" x14ac:dyDescent="0.25">
      <c r="A1636" s="2">
        <v>45253.752083333333</v>
      </c>
      <c r="B1636" t="s">
        <v>309</v>
      </c>
      <c r="C1636" t="s">
        <v>213</v>
      </c>
      <c r="D1636">
        <v>3</v>
      </c>
      <c r="E1636" t="s">
        <v>135</v>
      </c>
      <c r="F1636" t="s">
        <v>373</v>
      </c>
      <c r="G1636">
        <v>2.0295202950000002</v>
      </c>
      <c r="H1636">
        <v>0.92250922499999999</v>
      </c>
      <c r="I1636">
        <v>2.95202952</v>
      </c>
      <c r="J1636">
        <v>97.047970480000004</v>
      </c>
      <c r="K1636">
        <v>0.8</v>
      </c>
      <c r="L1636">
        <v>0.2</v>
      </c>
      <c r="M1636">
        <v>0.7</v>
      </c>
      <c r="N1636">
        <v>526</v>
      </c>
      <c r="O1636">
        <v>11</v>
      </c>
      <c r="P1636">
        <v>5</v>
      </c>
      <c r="Q1636">
        <v>2.95</v>
      </c>
      <c r="R1636" t="s">
        <v>240</v>
      </c>
      <c r="S1636">
        <v>3.03</v>
      </c>
      <c r="T1636">
        <v>3.37</v>
      </c>
    </row>
    <row r="1637" spans="1:21" ht="15" customHeight="1" x14ac:dyDescent="0.25">
      <c r="A1637" s="2">
        <v>45253.946527777778</v>
      </c>
      <c r="B1637" t="s">
        <v>309</v>
      </c>
      <c r="C1637" t="s">
        <v>215</v>
      </c>
      <c r="D1637">
        <v>2</v>
      </c>
      <c r="E1637" t="s">
        <v>135</v>
      </c>
      <c r="F1637" t="s">
        <v>373</v>
      </c>
      <c r="G1637">
        <v>3.8737446200000001</v>
      </c>
      <c r="H1637">
        <v>0</v>
      </c>
      <c r="I1637">
        <v>3.8737446200000001</v>
      </c>
      <c r="J1637">
        <v>96.126255380000003</v>
      </c>
      <c r="K1637">
        <v>0.8</v>
      </c>
      <c r="L1637">
        <v>0.2</v>
      </c>
      <c r="M1637">
        <v>0.7</v>
      </c>
      <c r="N1637">
        <v>670</v>
      </c>
      <c r="O1637">
        <v>27</v>
      </c>
      <c r="P1637">
        <v>0</v>
      </c>
      <c r="Q1637">
        <v>3.87</v>
      </c>
      <c r="R1637" t="s">
        <v>243</v>
      </c>
      <c r="S1637">
        <v>0.14000000000000001</v>
      </c>
      <c r="T1637">
        <v>0.15</v>
      </c>
    </row>
    <row r="1638" spans="1:21" ht="15" customHeight="1" x14ac:dyDescent="0.25">
      <c r="A1638" s="2">
        <v>45254.12222222222</v>
      </c>
      <c r="B1638" t="s">
        <v>309</v>
      </c>
      <c r="C1638" t="s">
        <v>217</v>
      </c>
      <c r="D1638">
        <v>2</v>
      </c>
      <c r="E1638" t="s">
        <v>135</v>
      </c>
      <c r="F1638" t="s">
        <v>373</v>
      </c>
      <c r="G1638">
        <v>5.5722891570000002</v>
      </c>
      <c r="H1638">
        <v>0</v>
      </c>
      <c r="I1638">
        <v>5.5722891570000002</v>
      </c>
      <c r="J1638">
        <v>94.427710840000003</v>
      </c>
      <c r="K1638">
        <v>0.8</v>
      </c>
      <c r="L1638">
        <v>0.2</v>
      </c>
      <c r="M1638">
        <v>0.7</v>
      </c>
      <c r="N1638">
        <v>627</v>
      </c>
      <c r="O1638">
        <v>37</v>
      </c>
      <c r="P1638">
        <v>0</v>
      </c>
      <c r="Q1638">
        <v>5.57</v>
      </c>
      <c r="R1638" t="s">
        <v>225</v>
      </c>
      <c r="S1638">
        <v>0.19</v>
      </c>
      <c r="T1638">
        <v>0.21</v>
      </c>
    </row>
    <row r="1639" spans="1:21" ht="15" customHeight="1" x14ac:dyDescent="0.25">
      <c r="A1639" s="2">
        <v>45316.458333333336</v>
      </c>
      <c r="B1639" t="s">
        <v>309</v>
      </c>
      <c r="C1639" t="s">
        <v>219</v>
      </c>
      <c r="D1639">
        <v>3</v>
      </c>
      <c r="E1639" t="s">
        <v>135</v>
      </c>
      <c r="F1639" t="s">
        <v>373</v>
      </c>
      <c r="G1639">
        <v>3.8961038960000001</v>
      </c>
      <c r="H1639">
        <v>1.298701299</v>
      </c>
      <c r="I1639">
        <v>5.1948051949999998</v>
      </c>
      <c r="J1639">
        <v>94.805194810000003</v>
      </c>
      <c r="K1639">
        <v>0.8</v>
      </c>
      <c r="L1639">
        <v>0.2</v>
      </c>
      <c r="M1639">
        <v>0.7</v>
      </c>
      <c r="N1639">
        <v>146</v>
      </c>
      <c r="O1639">
        <v>6</v>
      </c>
      <c r="P1639">
        <v>2</v>
      </c>
      <c r="Q1639">
        <v>5.19</v>
      </c>
      <c r="R1639" t="s">
        <v>218</v>
      </c>
      <c r="S1639">
        <v>3.2</v>
      </c>
      <c r="T1639">
        <v>4.3099999999999996</v>
      </c>
    </row>
    <row r="1640" spans="1:21" ht="15" customHeight="1" x14ac:dyDescent="0.25">
      <c r="A1640" s="2">
        <v>45320.982638888891</v>
      </c>
      <c r="B1640" t="s">
        <v>309</v>
      </c>
      <c r="C1640" t="s">
        <v>221</v>
      </c>
      <c r="D1640">
        <v>2</v>
      </c>
      <c r="E1640" t="s">
        <v>135</v>
      </c>
      <c r="F1640" t="s">
        <v>373</v>
      </c>
      <c r="G1640">
        <v>2.4154589369999999</v>
      </c>
      <c r="H1640">
        <v>0</v>
      </c>
      <c r="I1640">
        <v>2.4154589369999999</v>
      </c>
      <c r="J1640">
        <v>97.584541060000006</v>
      </c>
      <c r="K1640">
        <v>0.8</v>
      </c>
      <c r="L1640">
        <v>0.3</v>
      </c>
      <c r="M1640">
        <v>0.7</v>
      </c>
      <c r="N1640">
        <v>606</v>
      </c>
      <c r="O1640">
        <v>15</v>
      </c>
      <c r="P1640">
        <v>0</v>
      </c>
      <c r="Q1640">
        <v>2.42</v>
      </c>
      <c r="R1640" t="s">
        <v>220</v>
      </c>
      <c r="S1640">
        <v>0.17</v>
      </c>
      <c r="T1640">
        <v>0.18</v>
      </c>
    </row>
    <row r="1641" spans="1:21" ht="15" customHeight="1" x14ac:dyDescent="0.25">
      <c r="A1641" t="s">
        <v>19</v>
      </c>
      <c r="B1641" t="s">
        <v>20</v>
      </c>
      <c r="C1641" t="s">
        <v>320</v>
      </c>
      <c r="D1641">
        <v>3</v>
      </c>
      <c r="E1641" t="s">
        <v>135</v>
      </c>
      <c r="F1641" t="s">
        <v>373</v>
      </c>
      <c r="G1641">
        <v>0</v>
      </c>
      <c r="H1641">
        <v>0</v>
      </c>
      <c r="I1641">
        <f>100-J1641</f>
        <v>0</v>
      </c>
      <c r="J1641">
        <f>100-G1641-H1641</f>
        <v>100</v>
      </c>
      <c r="K1641" t="s">
        <v>19</v>
      </c>
      <c r="L1641" t="s">
        <v>19</v>
      </c>
      <c r="M1641" t="s">
        <v>19</v>
      </c>
      <c r="N1641" t="s">
        <v>19</v>
      </c>
      <c r="O1641" t="s">
        <v>19</v>
      </c>
      <c r="P1641" t="s">
        <v>19</v>
      </c>
      <c r="Q1641">
        <f>I1641</f>
        <v>0</v>
      </c>
      <c r="R1641" t="s">
        <v>19</v>
      </c>
      <c r="S1641" t="s">
        <v>19</v>
      </c>
      <c r="T1641" t="s">
        <v>19</v>
      </c>
    </row>
    <row r="1642" spans="1:21" ht="15" customHeight="1" x14ac:dyDescent="0.25">
      <c r="A1642" s="2">
        <v>45323.600034722222</v>
      </c>
      <c r="B1642" t="s">
        <v>309</v>
      </c>
      <c r="C1642" t="s">
        <v>322</v>
      </c>
      <c r="D1642">
        <v>3</v>
      </c>
      <c r="E1642" t="s">
        <v>135</v>
      </c>
      <c r="F1642" t="s">
        <v>373</v>
      </c>
      <c r="G1642">
        <f>(O1642/(N1642+O1642+P1642))*100</f>
        <v>1.8148820326678767</v>
      </c>
      <c r="H1642">
        <f>(P1642/(O1642+P1642+N1642))*100</f>
        <v>0</v>
      </c>
      <c r="I1642">
        <f>((O1642+P1642)/(P1642+O1642+N1642))*100</f>
        <v>1.8148820326678767</v>
      </c>
      <c r="J1642">
        <f>(N1642/(P1642+O1642+N1642))*100</f>
        <v>98.185117967332118</v>
      </c>
      <c r="K1642">
        <v>0.8</v>
      </c>
      <c r="L1642">
        <v>0.3</v>
      </c>
      <c r="M1642">
        <v>0.7</v>
      </c>
      <c r="N1642">
        <v>541</v>
      </c>
      <c r="O1642">
        <v>10</v>
      </c>
      <c r="P1642">
        <v>0</v>
      </c>
      <c r="Q1642">
        <v>1.81</v>
      </c>
      <c r="R1642" t="s">
        <v>234</v>
      </c>
      <c r="S1642">
        <v>2.72</v>
      </c>
      <c r="T1642">
        <v>3.09</v>
      </c>
      <c r="U1642">
        <v>141</v>
      </c>
    </row>
    <row r="1643" spans="1:21" ht="15" customHeight="1" x14ac:dyDescent="0.25">
      <c r="A1643" s="2">
        <v>45323.603576388887</v>
      </c>
      <c r="B1643" t="s">
        <v>309</v>
      </c>
      <c r="C1643" t="s">
        <v>322</v>
      </c>
      <c r="D1643">
        <v>3</v>
      </c>
      <c r="E1643" t="s">
        <v>135</v>
      </c>
      <c r="F1643" t="s">
        <v>373</v>
      </c>
      <c r="G1643">
        <f>(O1643/(N1643+O1643+P1643))*100</f>
        <v>4.5855379188712515</v>
      </c>
      <c r="H1643">
        <f>(P1643/(O1643+P1643+N1643))*100</f>
        <v>0.17636684303350969</v>
      </c>
      <c r="I1643">
        <f>((O1643+P1643)/(P1643+O1643+N1643))*100</f>
        <v>4.7619047619047619</v>
      </c>
      <c r="J1643">
        <f>(N1643/(P1643+O1643+N1643))*100</f>
        <v>95.238095238095227</v>
      </c>
      <c r="K1643">
        <v>0.7</v>
      </c>
      <c r="L1643">
        <v>0.3</v>
      </c>
      <c r="M1643">
        <v>0.7</v>
      </c>
      <c r="N1643">
        <v>540</v>
      </c>
      <c r="O1643">
        <v>26</v>
      </c>
      <c r="P1643">
        <v>1</v>
      </c>
      <c r="Q1643">
        <v>4.76</v>
      </c>
      <c r="R1643" t="s">
        <v>345</v>
      </c>
      <c r="S1643">
        <v>2.72</v>
      </c>
      <c r="T1643">
        <v>3.09</v>
      </c>
      <c r="U1643">
        <v>125</v>
      </c>
    </row>
    <row r="1644" spans="1:21" ht="15" customHeight="1" x14ac:dyDescent="0.25">
      <c r="A1644" s="2">
        <v>45325.166516203702</v>
      </c>
      <c r="B1644" t="s">
        <v>309</v>
      </c>
      <c r="C1644" t="s">
        <v>368</v>
      </c>
      <c r="D1644">
        <v>2</v>
      </c>
      <c r="E1644" t="s">
        <v>135</v>
      </c>
      <c r="F1644" t="s">
        <v>373</v>
      </c>
      <c r="G1644">
        <f>(O1644/(N1644+O1644+P1644))*100</f>
        <v>2.118003025718608</v>
      </c>
      <c r="H1644">
        <f>(P1644/(O1644+P1644+N1644))*100</f>
        <v>0</v>
      </c>
      <c r="I1644">
        <v>2.12</v>
      </c>
      <c r="J1644">
        <f>(N1644/(P1644+O1644+N1644))*100</f>
        <v>97.881996974281392</v>
      </c>
      <c r="K1644">
        <v>0.8</v>
      </c>
      <c r="L1644">
        <v>0.3</v>
      </c>
      <c r="M1644">
        <v>0.7</v>
      </c>
      <c r="N1644">
        <v>647</v>
      </c>
      <c r="O1644">
        <v>14</v>
      </c>
      <c r="P1644">
        <v>0</v>
      </c>
      <c r="Q1644">
        <v>2.12</v>
      </c>
      <c r="R1644" t="s">
        <v>275</v>
      </c>
      <c r="S1644">
        <v>0.08</v>
      </c>
      <c r="T1644">
        <v>0.08</v>
      </c>
    </row>
    <row r="1645" spans="1:21" ht="15" customHeight="1" x14ac:dyDescent="0.25">
      <c r="A1645" t="s">
        <v>19</v>
      </c>
      <c r="B1645" t="s">
        <v>20</v>
      </c>
      <c r="C1645" t="s">
        <v>306</v>
      </c>
      <c r="D1645">
        <v>3</v>
      </c>
      <c r="E1645" t="s">
        <v>136</v>
      </c>
      <c r="F1645" t="s">
        <v>373</v>
      </c>
      <c r="G1645">
        <v>0</v>
      </c>
      <c r="H1645">
        <v>0</v>
      </c>
      <c r="I1645">
        <f>G1645+H1645</f>
        <v>0</v>
      </c>
      <c r="J1645">
        <f>100-G1645-H1645</f>
        <v>100</v>
      </c>
      <c r="K1645" t="s">
        <v>19</v>
      </c>
      <c r="L1645" t="s">
        <v>19</v>
      </c>
      <c r="M1645" t="s">
        <v>19</v>
      </c>
      <c r="N1645" t="s">
        <v>19</v>
      </c>
      <c r="O1645" t="s">
        <v>19</v>
      </c>
      <c r="P1645" t="s">
        <v>19</v>
      </c>
      <c r="Q1645">
        <f>I1645</f>
        <v>0</v>
      </c>
      <c r="R1645" t="s">
        <v>19</v>
      </c>
      <c r="S1645" t="s">
        <v>19</v>
      </c>
      <c r="T1645" t="s">
        <v>19</v>
      </c>
    </row>
    <row r="1646" spans="1:21" ht="15" customHeight="1" x14ac:dyDescent="0.25">
      <c r="A1646" t="s">
        <v>19</v>
      </c>
      <c r="B1646" t="s">
        <v>20</v>
      </c>
      <c r="C1646" t="s">
        <v>308</v>
      </c>
      <c r="D1646">
        <v>3</v>
      </c>
      <c r="E1646" t="s">
        <v>136</v>
      </c>
      <c r="F1646" t="s">
        <v>373</v>
      </c>
      <c r="G1646">
        <v>0</v>
      </c>
      <c r="H1646">
        <v>0</v>
      </c>
      <c r="I1646">
        <f>G1646+H1646</f>
        <v>0</v>
      </c>
      <c r="J1646">
        <f>100-G1646-H1646</f>
        <v>100</v>
      </c>
      <c r="K1646" t="s">
        <v>19</v>
      </c>
      <c r="L1646" t="s">
        <v>19</v>
      </c>
      <c r="M1646" t="s">
        <v>19</v>
      </c>
      <c r="N1646" t="s">
        <v>19</v>
      </c>
      <c r="O1646" t="s">
        <v>19</v>
      </c>
      <c r="P1646" t="s">
        <v>19</v>
      </c>
      <c r="Q1646">
        <f>I1646</f>
        <v>0</v>
      </c>
      <c r="R1646" t="s">
        <v>19</v>
      </c>
      <c r="S1646" t="s">
        <v>19</v>
      </c>
      <c r="T1646" t="s">
        <v>19</v>
      </c>
    </row>
    <row r="1647" spans="1:21" ht="15" customHeight="1" x14ac:dyDescent="0.25">
      <c r="A1647" t="s">
        <v>19</v>
      </c>
      <c r="B1647" t="s">
        <v>20</v>
      </c>
      <c r="C1647" t="s">
        <v>22</v>
      </c>
      <c r="D1647">
        <v>3</v>
      </c>
      <c r="E1647" t="s">
        <v>136</v>
      </c>
      <c r="F1647" t="s">
        <v>373</v>
      </c>
      <c r="G1647">
        <v>0</v>
      </c>
      <c r="H1647">
        <v>0</v>
      </c>
      <c r="I1647">
        <f>G1647+H1647</f>
        <v>0</v>
      </c>
      <c r="J1647">
        <f>100-G1647-H1647</f>
        <v>100</v>
      </c>
      <c r="K1647" t="s">
        <v>19</v>
      </c>
      <c r="L1647" t="s">
        <v>19</v>
      </c>
      <c r="M1647" t="s">
        <v>19</v>
      </c>
      <c r="N1647" t="s">
        <v>19</v>
      </c>
      <c r="O1647" t="s">
        <v>19</v>
      </c>
      <c r="P1647" t="s">
        <v>19</v>
      </c>
      <c r="Q1647">
        <f>I1647</f>
        <v>0</v>
      </c>
      <c r="R1647" t="s">
        <v>19</v>
      </c>
      <c r="S1647" t="s">
        <v>19</v>
      </c>
      <c r="T1647" t="s">
        <v>19</v>
      </c>
    </row>
    <row r="1648" spans="1:21" ht="15" customHeight="1" x14ac:dyDescent="0.25">
      <c r="A1648" t="s">
        <v>19</v>
      </c>
      <c r="B1648" t="s">
        <v>20</v>
      </c>
      <c r="C1648" t="s">
        <v>305</v>
      </c>
      <c r="D1648">
        <v>3</v>
      </c>
      <c r="E1648" t="s">
        <v>136</v>
      </c>
      <c r="F1648" t="s">
        <v>373</v>
      </c>
      <c r="G1648">
        <v>0</v>
      </c>
      <c r="H1648">
        <v>0</v>
      </c>
      <c r="I1648">
        <f>G1648+H1648</f>
        <v>0</v>
      </c>
      <c r="J1648">
        <f>100-G1648-H1648</f>
        <v>100</v>
      </c>
      <c r="K1648" t="s">
        <v>19</v>
      </c>
      <c r="L1648" t="s">
        <v>19</v>
      </c>
      <c r="M1648" t="s">
        <v>19</v>
      </c>
      <c r="N1648" t="s">
        <v>19</v>
      </c>
      <c r="O1648" t="s">
        <v>19</v>
      </c>
      <c r="P1648" t="s">
        <v>19</v>
      </c>
      <c r="Q1648">
        <f>I1648</f>
        <v>0</v>
      </c>
      <c r="R1648" t="s">
        <v>19</v>
      </c>
      <c r="S1648" t="s">
        <v>19</v>
      </c>
      <c r="T1648" t="s">
        <v>19</v>
      </c>
    </row>
    <row r="1649" spans="1:21" ht="15" customHeight="1" x14ac:dyDescent="0.25">
      <c r="A1649" t="s">
        <v>19</v>
      </c>
      <c r="B1649" t="s">
        <v>20</v>
      </c>
      <c r="C1649" t="s">
        <v>307</v>
      </c>
      <c r="D1649">
        <v>3</v>
      </c>
      <c r="E1649" t="s">
        <v>136</v>
      </c>
      <c r="F1649" t="s">
        <v>373</v>
      </c>
      <c r="G1649">
        <v>0</v>
      </c>
      <c r="H1649">
        <v>0</v>
      </c>
      <c r="I1649">
        <f>G1649+H1649</f>
        <v>0</v>
      </c>
      <c r="J1649">
        <f>100-G1649-H1649</f>
        <v>100</v>
      </c>
      <c r="K1649" t="s">
        <v>19</v>
      </c>
      <c r="L1649" t="s">
        <v>19</v>
      </c>
      <c r="M1649" t="s">
        <v>19</v>
      </c>
      <c r="N1649" t="s">
        <v>19</v>
      </c>
      <c r="O1649" t="s">
        <v>19</v>
      </c>
      <c r="P1649" t="s">
        <v>19</v>
      </c>
      <c r="Q1649">
        <f>I1649</f>
        <v>0</v>
      </c>
      <c r="R1649" t="s">
        <v>19</v>
      </c>
      <c r="S1649" t="s">
        <v>19</v>
      </c>
      <c r="T1649" t="s">
        <v>19</v>
      </c>
    </row>
    <row r="1650" spans="1:21" ht="15" customHeight="1" x14ac:dyDescent="0.25">
      <c r="A1650" s="2">
        <v>45253.753472222219</v>
      </c>
      <c r="B1650" t="s">
        <v>309</v>
      </c>
      <c r="C1650" t="s">
        <v>213</v>
      </c>
      <c r="D1650">
        <v>3</v>
      </c>
      <c r="E1650" t="s">
        <v>136</v>
      </c>
      <c r="F1650" t="s">
        <v>373</v>
      </c>
      <c r="G1650">
        <v>2.8571428569999999</v>
      </c>
      <c r="H1650">
        <v>0</v>
      </c>
      <c r="I1650">
        <v>2.8571428569999999</v>
      </c>
      <c r="J1650">
        <v>97.142857140000004</v>
      </c>
      <c r="K1650">
        <v>0.8</v>
      </c>
      <c r="L1650">
        <v>0.2</v>
      </c>
      <c r="M1650">
        <v>0.7</v>
      </c>
      <c r="N1650">
        <v>544</v>
      </c>
      <c r="O1650">
        <v>16</v>
      </c>
      <c r="P1650">
        <v>0</v>
      </c>
      <c r="Q1650">
        <v>2.86</v>
      </c>
      <c r="R1650" t="s">
        <v>238</v>
      </c>
      <c r="S1650">
        <v>2.75</v>
      </c>
      <c r="T1650">
        <v>3.06</v>
      </c>
    </row>
    <row r="1651" spans="1:21" ht="15" customHeight="1" x14ac:dyDescent="0.25">
      <c r="A1651" s="2">
        <v>45253.947222222225</v>
      </c>
      <c r="B1651" t="s">
        <v>309</v>
      </c>
      <c r="C1651" t="s">
        <v>215</v>
      </c>
      <c r="D1651">
        <v>2</v>
      </c>
      <c r="E1651" t="s">
        <v>136</v>
      </c>
      <c r="F1651" t="s">
        <v>373</v>
      </c>
      <c r="G1651">
        <v>1.7391304350000001</v>
      </c>
      <c r="H1651">
        <v>0</v>
      </c>
      <c r="I1651">
        <v>1.7391304350000001</v>
      </c>
      <c r="J1651">
        <v>98.260869569999997</v>
      </c>
      <c r="K1651">
        <v>0.8</v>
      </c>
      <c r="L1651">
        <v>0.2</v>
      </c>
      <c r="M1651">
        <v>0.7</v>
      </c>
      <c r="N1651">
        <v>678</v>
      </c>
      <c r="O1651">
        <v>12</v>
      </c>
      <c r="P1651">
        <v>0</v>
      </c>
      <c r="Q1651">
        <v>1.74</v>
      </c>
      <c r="R1651" t="s">
        <v>243</v>
      </c>
      <c r="S1651">
        <v>0.08</v>
      </c>
      <c r="T1651">
        <v>0.09</v>
      </c>
    </row>
    <row r="1652" spans="1:21" ht="15" customHeight="1" x14ac:dyDescent="0.25">
      <c r="A1652" s="2">
        <v>45254.122916666667</v>
      </c>
      <c r="B1652" t="s">
        <v>309</v>
      </c>
      <c r="C1652" t="s">
        <v>217</v>
      </c>
      <c r="D1652">
        <v>2</v>
      </c>
      <c r="E1652" t="s">
        <v>136</v>
      </c>
      <c r="F1652" t="s">
        <v>373</v>
      </c>
      <c r="G1652">
        <v>3.680981595</v>
      </c>
      <c r="H1652">
        <v>0</v>
      </c>
      <c r="I1652">
        <v>3.680981595</v>
      </c>
      <c r="J1652">
        <v>96.319018400000004</v>
      </c>
      <c r="K1652">
        <v>0.8</v>
      </c>
      <c r="L1652">
        <v>0.2</v>
      </c>
      <c r="M1652">
        <v>0.7</v>
      </c>
      <c r="N1652">
        <v>628</v>
      </c>
      <c r="O1652">
        <v>24</v>
      </c>
      <c r="P1652">
        <v>0</v>
      </c>
      <c r="Q1652">
        <v>3.68</v>
      </c>
      <c r="R1652" t="s">
        <v>231</v>
      </c>
      <c r="S1652">
        <v>0.15</v>
      </c>
      <c r="T1652">
        <v>0.15</v>
      </c>
    </row>
    <row r="1653" spans="1:21" ht="15" customHeight="1" x14ac:dyDescent="0.25">
      <c r="A1653" s="2">
        <v>45316.459027777775</v>
      </c>
      <c r="B1653" t="s">
        <v>309</v>
      </c>
      <c r="C1653" t="s">
        <v>219</v>
      </c>
      <c r="D1653">
        <v>3</v>
      </c>
      <c r="E1653" t="s">
        <v>136</v>
      </c>
      <c r="F1653" t="s">
        <v>373</v>
      </c>
      <c r="G1653">
        <v>1.9277108430000001</v>
      </c>
      <c r="H1653">
        <v>0.48192771099999998</v>
      </c>
      <c r="I1653">
        <v>2.4096385539999998</v>
      </c>
      <c r="J1653">
        <v>97.590361450000003</v>
      </c>
      <c r="K1653">
        <v>0.8</v>
      </c>
      <c r="L1653">
        <v>0.2</v>
      </c>
      <c r="M1653">
        <v>0.7</v>
      </c>
      <c r="N1653">
        <v>405</v>
      </c>
      <c r="O1653">
        <v>8</v>
      </c>
      <c r="P1653">
        <v>2</v>
      </c>
      <c r="Q1653">
        <v>2.41</v>
      </c>
      <c r="R1653" t="s">
        <v>225</v>
      </c>
      <c r="S1653">
        <v>3.2</v>
      </c>
      <c r="T1653">
        <v>4.24</v>
      </c>
    </row>
    <row r="1654" spans="1:21" ht="15" customHeight="1" x14ac:dyDescent="0.25">
      <c r="A1654" s="2">
        <v>45320.98333333333</v>
      </c>
      <c r="B1654" t="s">
        <v>309</v>
      </c>
      <c r="C1654" t="s">
        <v>221</v>
      </c>
      <c r="D1654">
        <v>2</v>
      </c>
      <c r="E1654" t="s">
        <v>136</v>
      </c>
      <c r="F1654" t="s">
        <v>373</v>
      </c>
      <c r="G1654">
        <v>1.2461059189999999</v>
      </c>
      <c r="H1654">
        <v>0</v>
      </c>
      <c r="I1654">
        <v>1.2461059189999999</v>
      </c>
      <c r="J1654">
        <v>98.753894079999995</v>
      </c>
      <c r="K1654">
        <v>0.8</v>
      </c>
      <c r="L1654">
        <v>0.3</v>
      </c>
      <c r="M1654">
        <v>0.7</v>
      </c>
      <c r="N1654">
        <v>634</v>
      </c>
      <c r="O1654">
        <v>8</v>
      </c>
      <c r="P1654">
        <v>0</v>
      </c>
      <c r="Q1654">
        <v>1.25</v>
      </c>
      <c r="R1654" t="s">
        <v>229</v>
      </c>
      <c r="S1654">
        <v>0.13</v>
      </c>
      <c r="T1654">
        <v>0.14000000000000001</v>
      </c>
    </row>
    <row r="1655" spans="1:21" ht="15" customHeight="1" x14ac:dyDescent="0.25">
      <c r="A1655" t="s">
        <v>19</v>
      </c>
      <c r="B1655" t="s">
        <v>20</v>
      </c>
      <c r="C1655" t="s">
        <v>320</v>
      </c>
      <c r="D1655">
        <v>3</v>
      </c>
      <c r="E1655" t="s">
        <v>136</v>
      </c>
      <c r="F1655" t="s">
        <v>373</v>
      </c>
      <c r="G1655">
        <v>0</v>
      </c>
      <c r="H1655">
        <v>0</v>
      </c>
      <c r="I1655">
        <f>100-J1655</f>
        <v>0</v>
      </c>
      <c r="J1655">
        <f>100-G1655-H1655</f>
        <v>100</v>
      </c>
      <c r="K1655" t="s">
        <v>19</v>
      </c>
      <c r="L1655" t="s">
        <v>19</v>
      </c>
      <c r="M1655" t="s">
        <v>19</v>
      </c>
      <c r="N1655" t="s">
        <v>19</v>
      </c>
      <c r="O1655" t="s">
        <v>19</v>
      </c>
      <c r="P1655" t="s">
        <v>19</v>
      </c>
      <c r="Q1655">
        <f>I1655</f>
        <v>0</v>
      </c>
      <c r="R1655" t="s">
        <v>19</v>
      </c>
      <c r="S1655" t="s">
        <v>19</v>
      </c>
      <c r="T1655" t="s">
        <v>19</v>
      </c>
    </row>
    <row r="1656" spans="1:21" ht="15" customHeight="1" x14ac:dyDescent="0.25">
      <c r="A1656" s="2">
        <v>45323.601620370369</v>
      </c>
      <c r="B1656" t="s">
        <v>309</v>
      </c>
      <c r="C1656" t="s">
        <v>322</v>
      </c>
      <c r="D1656">
        <v>3</v>
      </c>
      <c r="E1656" t="s">
        <v>136</v>
      </c>
      <c r="F1656" t="s">
        <v>373</v>
      </c>
      <c r="G1656">
        <f>(O1656/(N1656+O1656+P1656))*100</f>
        <v>0.61255742725880558</v>
      </c>
      <c r="H1656">
        <f>(P1656/(O1656+P1656+N1656))*100</f>
        <v>0</v>
      </c>
      <c r="I1656">
        <f>((O1656+P1656)/(P1656+O1656+N1656))*100</f>
        <v>0.61255742725880558</v>
      </c>
      <c r="J1656">
        <f>(N1656/(P1656+O1656+N1656))*100</f>
        <v>99.387442572741193</v>
      </c>
      <c r="K1656">
        <v>0.8</v>
      </c>
      <c r="L1656">
        <v>0.3</v>
      </c>
      <c r="M1656">
        <v>0.7</v>
      </c>
      <c r="N1656">
        <v>649</v>
      </c>
      <c r="O1656">
        <v>4</v>
      </c>
      <c r="P1656">
        <v>0</v>
      </c>
      <c r="Q1656">
        <v>0.61</v>
      </c>
      <c r="R1656" t="s">
        <v>345</v>
      </c>
      <c r="S1656">
        <v>2.61</v>
      </c>
      <c r="T1656">
        <v>3.03</v>
      </c>
      <c r="U1656">
        <v>46</v>
      </c>
    </row>
    <row r="1657" spans="1:21" ht="15" customHeight="1" x14ac:dyDescent="0.25">
      <c r="A1657" s="2">
        <v>45323.605208333334</v>
      </c>
      <c r="B1657" t="s">
        <v>309</v>
      </c>
      <c r="C1657" t="s">
        <v>322</v>
      </c>
      <c r="D1657">
        <v>3</v>
      </c>
      <c r="E1657" t="s">
        <v>136</v>
      </c>
      <c r="F1657" t="s">
        <v>373</v>
      </c>
      <c r="G1657">
        <f>(O1657/(N1657+O1657+P1657))*100</f>
        <v>1.5174506828528074</v>
      </c>
      <c r="H1657">
        <f>(P1657/(O1657+P1657+N1657))*100</f>
        <v>0</v>
      </c>
      <c r="I1657">
        <f>((O1657+P1657)/(P1657+O1657+N1657))*100</f>
        <v>1.5174506828528074</v>
      </c>
      <c r="J1657">
        <f>(N1657/(P1657+O1657+N1657))*100</f>
        <v>98.482549317147189</v>
      </c>
      <c r="K1657">
        <v>0.7</v>
      </c>
      <c r="L1657">
        <v>0.3</v>
      </c>
      <c r="M1657">
        <v>0.7</v>
      </c>
      <c r="N1657">
        <v>649</v>
      </c>
      <c r="O1657">
        <v>10</v>
      </c>
      <c r="P1657">
        <v>0</v>
      </c>
      <c r="Q1657">
        <v>1.52</v>
      </c>
      <c r="R1657" t="s">
        <v>287</v>
      </c>
      <c r="S1657">
        <v>2.61</v>
      </c>
      <c r="T1657">
        <v>3.03</v>
      </c>
      <c r="U1657">
        <v>40</v>
      </c>
    </row>
    <row r="1658" spans="1:21" ht="15" customHeight="1" x14ac:dyDescent="0.25">
      <c r="A1658" s="2">
        <v>45325.167824074073</v>
      </c>
      <c r="B1658" t="s">
        <v>309</v>
      </c>
      <c r="C1658" t="s">
        <v>368</v>
      </c>
      <c r="D1658">
        <v>2</v>
      </c>
      <c r="E1658" t="s">
        <v>136</v>
      </c>
      <c r="F1658" t="s">
        <v>373</v>
      </c>
      <c r="G1658">
        <f>(O1658/(N1658+O1658+P1658))*100</f>
        <v>2.459016393442623</v>
      </c>
      <c r="H1658">
        <f>(P1658/(O1658+P1658+N1658))*100</f>
        <v>0</v>
      </c>
      <c r="I1658">
        <v>2.46</v>
      </c>
      <c r="J1658">
        <f>(N1658/(P1658+O1658+N1658))*100</f>
        <v>97.540983606557376</v>
      </c>
      <c r="K1658">
        <v>0.8</v>
      </c>
      <c r="L1658">
        <v>0.3</v>
      </c>
      <c r="M1658">
        <v>0.7</v>
      </c>
      <c r="N1658">
        <v>595</v>
      </c>
      <c r="O1658">
        <v>15</v>
      </c>
      <c r="P1658">
        <v>0</v>
      </c>
      <c r="Q1658">
        <v>2.46</v>
      </c>
      <c r="R1658" t="s">
        <v>268</v>
      </c>
      <c r="S1658">
        <v>0.19</v>
      </c>
      <c r="T1658">
        <v>0.2</v>
      </c>
    </row>
    <row r="1659" spans="1:21" ht="15" customHeight="1" x14ac:dyDescent="0.25">
      <c r="A1659" t="s">
        <v>19</v>
      </c>
      <c r="B1659" t="s">
        <v>20</v>
      </c>
      <c r="C1659" t="s">
        <v>306</v>
      </c>
      <c r="D1659">
        <v>3</v>
      </c>
      <c r="E1659" t="s">
        <v>137</v>
      </c>
      <c r="F1659" t="s">
        <v>373</v>
      </c>
      <c r="G1659">
        <v>88</v>
      </c>
      <c r="H1659">
        <v>2</v>
      </c>
      <c r="I1659">
        <f>G1659+H1659</f>
        <v>90</v>
      </c>
      <c r="J1659">
        <f>100-G1659-H1659</f>
        <v>10</v>
      </c>
      <c r="K1659" t="s">
        <v>19</v>
      </c>
      <c r="L1659" t="s">
        <v>19</v>
      </c>
      <c r="M1659" t="s">
        <v>19</v>
      </c>
      <c r="N1659" t="s">
        <v>19</v>
      </c>
      <c r="O1659" t="s">
        <v>19</v>
      </c>
      <c r="P1659" t="s">
        <v>19</v>
      </c>
      <c r="Q1659">
        <f>I1659</f>
        <v>90</v>
      </c>
      <c r="R1659" t="s">
        <v>19</v>
      </c>
      <c r="S1659" t="s">
        <v>19</v>
      </c>
      <c r="T1659" t="s">
        <v>19</v>
      </c>
    </row>
    <row r="1660" spans="1:21" ht="15" customHeight="1" x14ac:dyDescent="0.25">
      <c r="A1660" t="s">
        <v>19</v>
      </c>
      <c r="B1660" t="s">
        <v>20</v>
      </c>
      <c r="C1660" t="s">
        <v>308</v>
      </c>
      <c r="D1660">
        <v>3</v>
      </c>
      <c r="E1660" t="s">
        <v>137</v>
      </c>
      <c r="F1660" t="s">
        <v>373</v>
      </c>
      <c r="G1660">
        <v>78</v>
      </c>
      <c r="H1660">
        <v>2</v>
      </c>
      <c r="I1660">
        <f>G1660+H1660</f>
        <v>80</v>
      </c>
      <c r="J1660">
        <f>100-G1660-H1660</f>
        <v>20</v>
      </c>
      <c r="K1660" t="s">
        <v>19</v>
      </c>
      <c r="L1660" t="s">
        <v>19</v>
      </c>
      <c r="M1660" t="s">
        <v>19</v>
      </c>
      <c r="N1660" t="s">
        <v>19</v>
      </c>
      <c r="O1660" t="s">
        <v>19</v>
      </c>
      <c r="P1660" t="s">
        <v>19</v>
      </c>
      <c r="Q1660">
        <f>I1660</f>
        <v>80</v>
      </c>
      <c r="R1660" t="s">
        <v>19</v>
      </c>
      <c r="S1660" t="s">
        <v>19</v>
      </c>
      <c r="T1660" t="s">
        <v>19</v>
      </c>
    </row>
    <row r="1661" spans="1:21" ht="15" customHeight="1" x14ac:dyDescent="0.25">
      <c r="A1661" t="s">
        <v>19</v>
      </c>
      <c r="B1661" t="s">
        <v>20</v>
      </c>
      <c r="C1661" t="s">
        <v>22</v>
      </c>
      <c r="D1661">
        <v>3</v>
      </c>
      <c r="E1661" t="s">
        <v>137</v>
      </c>
      <c r="F1661" t="s">
        <v>373</v>
      </c>
      <c r="G1661">
        <v>75</v>
      </c>
      <c r="H1661">
        <v>0</v>
      </c>
      <c r="I1661">
        <f>G1661+H1661</f>
        <v>75</v>
      </c>
      <c r="J1661">
        <f>100-G1661-H1661</f>
        <v>25</v>
      </c>
      <c r="K1661" t="s">
        <v>19</v>
      </c>
      <c r="L1661" t="s">
        <v>19</v>
      </c>
      <c r="M1661" t="s">
        <v>19</v>
      </c>
      <c r="N1661" t="s">
        <v>19</v>
      </c>
      <c r="O1661" t="s">
        <v>19</v>
      </c>
      <c r="P1661" t="s">
        <v>19</v>
      </c>
      <c r="Q1661">
        <f>I1661</f>
        <v>75</v>
      </c>
      <c r="R1661" t="s">
        <v>19</v>
      </c>
      <c r="S1661" t="s">
        <v>19</v>
      </c>
      <c r="T1661" t="s">
        <v>19</v>
      </c>
    </row>
    <row r="1662" spans="1:21" ht="15" customHeight="1" x14ac:dyDescent="0.25">
      <c r="A1662" t="s">
        <v>19</v>
      </c>
      <c r="B1662" t="s">
        <v>20</v>
      </c>
      <c r="C1662" t="s">
        <v>305</v>
      </c>
      <c r="D1662">
        <v>3</v>
      </c>
      <c r="E1662" t="s">
        <v>137</v>
      </c>
      <c r="F1662" t="s">
        <v>373</v>
      </c>
      <c r="G1662">
        <v>34</v>
      </c>
      <c r="H1662">
        <v>1</v>
      </c>
      <c r="I1662">
        <f>G1662+H1662</f>
        <v>35</v>
      </c>
      <c r="J1662">
        <f>100-G1662-H1662</f>
        <v>65</v>
      </c>
      <c r="K1662" t="s">
        <v>19</v>
      </c>
      <c r="L1662" t="s">
        <v>19</v>
      </c>
      <c r="M1662" t="s">
        <v>19</v>
      </c>
      <c r="N1662" t="s">
        <v>19</v>
      </c>
      <c r="O1662" t="s">
        <v>19</v>
      </c>
      <c r="P1662" t="s">
        <v>19</v>
      </c>
      <c r="Q1662">
        <f>I1662</f>
        <v>35</v>
      </c>
      <c r="R1662" t="s">
        <v>19</v>
      </c>
      <c r="S1662" t="s">
        <v>19</v>
      </c>
      <c r="T1662" t="s">
        <v>19</v>
      </c>
    </row>
    <row r="1663" spans="1:21" ht="15" customHeight="1" x14ac:dyDescent="0.25">
      <c r="A1663" t="s">
        <v>19</v>
      </c>
      <c r="B1663" t="s">
        <v>20</v>
      </c>
      <c r="C1663" t="s">
        <v>307</v>
      </c>
      <c r="D1663">
        <v>3</v>
      </c>
      <c r="E1663" t="s">
        <v>137</v>
      </c>
      <c r="F1663" t="s">
        <v>373</v>
      </c>
      <c r="G1663">
        <v>27</v>
      </c>
      <c r="H1663">
        <v>3</v>
      </c>
      <c r="I1663">
        <f>G1663+H1663</f>
        <v>30</v>
      </c>
      <c r="J1663">
        <f>100-G1663-H1663</f>
        <v>70</v>
      </c>
      <c r="K1663" t="s">
        <v>19</v>
      </c>
      <c r="L1663" t="s">
        <v>19</v>
      </c>
      <c r="M1663" t="s">
        <v>19</v>
      </c>
      <c r="N1663" t="s">
        <v>19</v>
      </c>
      <c r="O1663" t="s">
        <v>19</v>
      </c>
      <c r="P1663" t="s">
        <v>19</v>
      </c>
      <c r="Q1663">
        <f>I1663</f>
        <v>30</v>
      </c>
      <c r="R1663" t="s">
        <v>19</v>
      </c>
      <c r="S1663" t="s">
        <v>19</v>
      </c>
      <c r="T1663" t="s">
        <v>19</v>
      </c>
    </row>
    <row r="1664" spans="1:21" ht="15" customHeight="1" x14ac:dyDescent="0.25">
      <c r="A1664" s="2">
        <v>45253.755555555559</v>
      </c>
      <c r="B1664" t="s">
        <v>309</v>
      </c>
      <c r="C1664" t="s">
        <v>213</v>
      </c>
      <c r="D1664">
        <v>3</v>
      </c>
      <c r="E1664" t="s">
        <v>137</v>
      </c>
      <c r="F1664" t="s">
        <v>373</v>
      </c>
      <c r="G1664">
        <v>88.006482980000001</v>
      </c>
      <c r="H1664">
        <v>0.32414910899999999</v>
      </c>
      <c r="I1664">
        <v>88.330632089999995</v>
      </c>
      <c r="J1664">
        <v>11.66936791</v>
      </c>
      <c r="K1664">
        <v>0.8</v>
      </c>
      <c r="L1664">
        <v>0.2</v>
      </c>
      <c r="M1664">
        <v>0.7</v>
      </c>
      <c r="N1664">
        <v>72</v>
      </c>
      <c r="O1664">
        <v>543</v>
      </c>
      <c r="P1664">
        <v>2</v>
      </c>
      <c r="Q1664">
        <v>88.33</v>
      </c>
      <c r="R1664" t="s">
        <v>236</v>
      </c>
      <c r="S1664">
        <v>3.06</v>
      </c>
      <c r="T1664">
        <v>3.31</v>
      </c>
    </row>
    <row r="1665" spans="1:21" ht="15" customHeight="1" x14ac:dyDescent="0.25">
      <c r="A1665" s="2">
        <v>45253.948611111111</v>
      </c>
      <c r="B1665" t="s">
        <v>309</v>
      </c>
      <c r="C1665" t="s">
        <v>215</v>
      </c>
      <c r="D1665">
        <v>2</v>
      </c>
      <c r="E1665" t="s">
        <v>137</v>
      </c>
      <c r="F1665" t="s">
        <v>373</v>
      </c>
      <c r="G1665">
        <v>62.58278146</v>
      </c>
      <c r="H1665">
        <v>0</v>
      </c>
      <c r="I1665">
        <v>62.58278146</v>
      </c>
      <c r="J1665">
        <v>37.41721854</v>
      </c>
      <c r="K1665">
        <v>0.8</v>
      </c>
      <c r="L1665">
        <v>0.2</v>
      </c>
      <c r="M1665">
        <v>0.7</v>
      </c>
      <c r="N1665">
        <v>226</v>
      </c>
      <c r="O1665">
        <v>378</v>
      </c>
      <c r="P1665">
        <v>0</v>
      </c>
      <c r="Q1665">
        <v>62.58</v>
      </c>
      <c r="R1665" t="s">
        <v>222</v>
      </c>
      <c r="S1665">
        <v>1.41</v>
      </c>
      <c r="T1665">
        <v>1.54</v>
      </c>
    </row>
    <row r="1666" spans="1:21" ht="15" customHeight="1" x14ac:dyDescent="0.25">
      <c r="A1666" s="2">
        <v>45254.123611111114</v>
      </c>
      <c r="B1666" t="s">
        <v>309</v>
      </c>
      <c r="C1666" t="s">
        <v>217</v>
      </c>
      <c r="D1666">
        <v>2</v>
      </c>
      <c r="E1666" t="s">
        <v>137</v>
      </c>
      <c r="F1666" t="s">
        <v>373</v>
      </c>
      <c r="G1666">
        <v>79.264705879999994</v>
      </c>
      <c r="H1666">
        <v>0</v>
      </c>
      <c r="I1666">
        <v>79.264705879999994</v>
      </c>
      <c r="J1666">
        <v>20.735294119999999</v>
      </c>
      <c r="K1666">
        <v>0.8</v>
      </c>
      <c r="L1666">
        <v>0.2</v>
      </c>
      <c r="M1666">
        <v>0.7</v>
      </c>
      <c r="N1666">
        <v>141</v>
      </c>
      <c r="O1666">
        <v>539</v>
      </c>
      <c r="P1666">
        <v>0</v>
      </c>
      <c r="Q1666">
        <v>79.260000000000005</v>
      </c>
      <c r="R1666" t="s">
        <v>250</v>
      </c>
      <c r="S1666">
        <v>1.94</v>
      </c>
      <c r="T1666">
        <v>2.0699999999999998</v>
      </c>
    </row>
    <row r="1667" spans="1:21" ht="15" customHeight="1" x14ac:dyDescent="0.25">
      <c r="A1667" s="2">
        <v>45316.459722222222</v>
      </c>
      <c r="B1667" t="s">
        <v>309</v>
      </c>
      <c r="C1667" t="s">
        <v>219</v>
      </c>
      <c r="D1667">
        <v>3</v>
      </c>
      <c r="E1667" t="s">
        <v>137</v>
      </c>
      <c r="F1667" t="s">
        <v>373</v>
      </c>
      <c r="G1667">
        <v>78.805970149999993</v>
      </c>
      <c r="H1667">
        <v>2.0895522390000001</v>
      </c>
      <c r="I1667">
        <v>80.895522389999996</v>
      </c>
      <c r="J1667">
        <v>19.10447761</v>
      </c>
      <c r="K1667">
        <v>0.8</v>
      </c>
      <c r="L1667">
        <v>0.2</v>
      </c>
      <c r="M1667">
        <v>0.7</v>
      </c>
      <c r="N1667">
        <v>64</v>
      </c>
      <c r="O1667">
        <v>264</v>
      </c>
      <c r="P1667">
        <v>7</v>
      </c>
      <c r="Q1667">
        <v>80.900000000000006</v>
      </c>
      <c r="R1667" t="s">
        <v>235</v>
      </c>
      <c r="S1667">
        <v>3.12</v>
      </c>
      <c r="T1667">
        <v>4.28</v>
      </c>
    </row>
    <row r="1668" spans="1:21" ht="15" customHeight="1" x14ac:dyDescent="0.25">
      <c r="A1668" s="2">
        <v>45320.984027777777</v>
      </c>
      <c r="B1668" t="s">
        <v>309</v>
      </c>
      <c r="C1668" t="s">
        <v>221</v>
      </c>
      <c r="D1668">
        <v>2</v>
      </c>
      <c r="E1668" t="s">
        <v>137</v>
      </c>
      <c r="F1668" t="s">
        <v>373</v>
      </c>
      <c r="G1668">
        <v>79.565217390000001</v>
      </c>
      <c r="H1668">
        <v>0</v>
      </c>
      <c r="I1668">
        <v>79.565217390000001</v>
      </c>
      <c r="J1668">
        <v>20.434782609999999</v>
      </c>
      <c r="K1668">
        <v>0.8</v>
      </c>
      <c r="L1668">
        <v>0.3</v>
      </c>
      <c r="M1668">
        <v>0.7</v>
      </c>
      <c r="N1668">
        <v>141</v>
      </c>
      <c r="O1668">
        <v>549</v>
      </c>
      <c r="P1668">
        <v>0</v>
      </c>
      <c r="Q1668">
        <v>79.569999999999993</v>
      </c>
      <c r="R1668" t="s">
        <v>263</v>
      </c>
      <c r="S1668">
        <v>2.06</v>
      </c>
      <c r="T1668">
        <v>2.19</v>
      </c>
    </row>
    <row r="1669" spans="1:21" ht="15" customHeight="1" x14ac:dyDescent="0.25">
      <c r="A1669" t="s">
        <v>19</v>
      </c>
      <c r="B1669" t="s">
        <v>20</v>
      </c>
      <c r="C1669" t="s">
        <v>320</v>
      </c>
      <c r="D1669">
        <v>3</v>
      </c>
      <c r="E1669" t="s">
        <v>137</v>
      </c>
      <c r="F1669" t="s">
        <v>373</v>
      </c>
      <c r="G1669">
        <v>0</v>
      </c>
      <c r="H1669">
        <v>0</v>
      </c>
      <c r="I1669">
        <f>100-J1669</f>
        <v>0</v>
      </c>
      <c r="J1669">
        <f>100-G1669-H1669</f>
        <v>100</v>
      </c>
      <c r="K1669" t="s">
        <v>19</v>
      </c>
      <c r="L1669" t="s">
        <v>19</v>
      </c>
      <c r="M1669" t="s">
        <v>19</v>
      </c>
      <c r="N1669" t="s">
        <v>19</v>
      </c>
      <c r="O1669" t="s">
        <v>19</v>
      </c>
      <c r="P1669" t="s">
        <v>19</v>
      </c>
      <c r="Q1669">
        <f>I1669</f>
        <v>0</v>
      </c>
      <c r="R1669" t="s">
        <v>19</v>
      </c>
      <c r="S1669" t="s">
        <v>19</v>
      </c>
      <c r="T1669" t="s">
        <v>19</v>
      </c>
    </row>
    <row r="1670" spans="1:21" ht="15" customHeight="1" x14ac:dyDescent="0.25">
      <c r="A1670" s="2">
        <v>45323.60324074074</v>
      </c>
      <c r="B1670" t="s">
        <v>309</v>
      </c>
      <c r="C1670" t="s">
        <v>322</v>
      </c>
      <c r="D1670">
        <v>3</v>
      </c>
      <c r="E1670" t="s">
        <v>137</v>
      </c>
      <c r="F1670" t="s">
        <v>373</v>
      </c>
      <c r="G1670">
        <f>(O1670/(N1670+O1670+P1670))*100</f>
        <v>79.91266375545851</v>
      </c>
      <c r="H1670">
        <f>(P1670/(O1670+P1670+N1670))*100</f>
        <v>0.58224163027656484</v>
      </c>
      <c r="I1670">
        <f>((O1670+P1670)/(P1670+O1670+N1670))*100</f>
        <v>80.49490538573508</v>
      </c>
      <c r="J1670">
        <f>(N1670/(P1670+O1670+N1670))*100</f>
        <v>19.50509461426492</v>
      </c>
      <c r="K1670">
        <v>0.8</v>
      </c>
      <c r="L1670">
        <v>0.3</v>
      </c>
      <c r="M1670">
        <v>0.7</v>
      </c>
      <c r="N1670">
        <v>134</v>
      </c>
      <c r="O1670">
        <v>549</v>
      </c>
      <c r="P1670">
        <v>4</v>
      </c>
      <c r="Q1670">
        <v>80.489999999999995</v>
      </c>
      <c r="R1670" t="s">
        <v>343</v>
      </c>
      <c r="S1670">
        <v>2.7</v>
      </c>
      <c r="T1670">
        <v>3.38</v>
      </c>
      <c r="U1670">
        <v>65</v>
      </c>
    </row>
    <row r="1671" spans="1:21" ht="15" customHeight="1" x14ac:dyDescent="0.25">
      <c r="A1671" s="2">
        <v>45323.606793981482</v>
      </c>
      <c r="B1671" t="s">
        <v>309</v>
      </c>
      <c r="C1671" t="s">
        <v>322</v>
      </c>
      <c r="D1671">
        <v>3</v>
      </c>
      <c r="E1671" t="s">
        <v>137</v>
      </c>
      <c r="F1671" t="s">
        <v>373</v>
      </c>
      <c r="G1671">
        <f>(O1671/(N1671+O1671+P1671))*100</f>
        <v>80.508474576271183</v>
      </c>
      <c r="H1671">
        <f>(P1671/(O1671+P1671+N1671))*100</f>
        <v>1.1299435028248588</v>
      </c>
      <c r="I1671">
        <f>((O1671+P1671)/(P1671+O1671+N1671))*100</f>
        <v>81.638418079096041</v>
      </c>
      <c r="J1671">
        <f>(N1671/(P1671+O1671+N1671))*100</f>
        <v>18.361581920903955</v>
      </c>
      <c r="K1671">
        <v>0.7</v>
      </c>
      <c r="L1671">
        <v>0.3</v>
      </c>
      <c r="M1671">
        <v>0.7</v>
      </c>
      <c r="N1671">
        <v>130</v>
      </c>
      <c r="O1671">
        <v>570</v>
      </c>
      <c r="P1671">
        <v>8</v>
      </c>
      <c r="Q1671">
        <v>81.64</v>
      </c>
      <c r="R1671" t="s">
        <v>364</v>
      </c>
      <c r="S1671">
        <v>2.7</v>
      </c>
      <c r="T1671">
        <v>3.38</v>
      </c>
      <c r="U1671">
        <v>44</v>
      </c>
    </row>
    <row r="1672" spans="1:21" ht="15" customHeight="1" x14ac:dyDescent="0.25">
      <c r="A1672" s="2">
        <v>45325.169131944444</v>
      </c>
      <c r="B1672" t="s">
        <v>309</v>
      </c>
      <c r="C1672" t="s">
        <v>368</v>
      </c>
      <c r="D1672">
        <v>2</v>
      </c>
      <c r="E1672" t="s">
        <v>137</v>
      </c>
      <c r="F1672" t="s">
        <v>373</v>
      </c>
      <c r="G1672">
        <f>(O1672/(N1672+O1672+P1672))*100</f>
        <v>85.078909612625537</v>
      </c>
      <c r="H1672">
        <f>(P1672/(O1672+P1672+N1672))*100</f>
        <v>0</v>
      </c>
      <c r="I1672">
        <v>85.08</v>
      </c>
      <c r="J1672">
        <f>(N1672/(P1672+O1672+N1672))*100</f>
        <v>14.921090387374461</v>
      </c>
      <c r="K1672">
        <v>0.8</v>
      </c>
      <c r="L1672">
        <v>0.3</v>
      </c>
      <c r="M1672">
        <v>0.7</v>
      </c>
      <c r="N1672">
        <v>104</v>
      </c>
      <c r="O1672">
        <v>593</v>
      </c>
      <c r="P1672">
        <v>0</v>
      </c>
      <c r="Q1672">
        <v>85.08</v>
      </c>
      <c r="R1672" t="s">
        <v>255</v>
      </c>
      <c r="S1672">
        <v>2.16</v>
      </c>
      <c r="T1672">
        <v>2.38</v>
      </c>
    </row>
    <row r="1673" spans="1:21" ht="15" customHeight="1" x14ac:dyDescent="0.25">
      <c r="A1673" t="s">
        <v>19</v>
      </c>
      <c r="B1673" t="s">
        <v>20</v>
      </c>
      <c r="C1673" t="s">
        <v>306</v>
      </c>
      <c r="D1673">
        <v>3</v>
      </c>
      <c r="E1673" t="s">
        <v>138</v>
      </c>
      <c r="F1673" t="s">
        <v>373</v>
      </c>
      <c r="G1673">
        <v>0</v>
      </c>
      <c r="H1673">
        <v>0</v>
      </c>
      <c r="I1673">
        <f>G1673+H1673</f>
        <v>0</v>
      </c>
      <c r="J1673">
        <f>100-G1673-H1673</f>
        <v>100</v>
      </c>
      <c r="K1673" t="s">
        <v>19</v>
      </c>
      <c r="L1673" t="s">
        <v>19</v>
      </c>
      <c r="M1673" t="s">
        <v>19</v>
      </c>
      <c r="N1673" t="s">
        <v>19</v>
      </c>
      <c r="O1673" t="s">
        <v>19</v>
      </c>
      <c r="P1673" t="s">
        <v>19</v>
      </c>
      <c r="Q1673">
        <f>I1673</f>
        <v>0</v>
      </c>
      <c r="R1673" t="s">
        <v>19</v>
      </c>
      <c r="S1673" t="s">
        <v>19</v>
      </c>
      <c r="T1673" t="s">
        <v>19</v>
      </c>
    </row>
    <row r="1674" spans="1:21" ht="15" customHeight="1" x14ac:dyDescent="0.25">
      <c r="A1674" t="s">
        <v>19</v>
      </c>
      <c r="B1674" t="s">
        <v>20</v>
      </c>
      <c r="C1674" t="s">
        <v>308</v>
      </c>
      <c r="D1674">
        <v>3</v>
      </c>
      <c r="E1674" t="s">
        <v>138</v>
      </c>
      <c r="F1674" t="s">
        <v>373</v>
      </c>
      <c r="G1674">
        <v>0</v>
      </c>
      <c r="H1674">
        <v>0</v>
      </c>
      <c r="I1674">
        <f>G1674+H1674</f>
        <v>0</v>
      </c>
      <c r="J1674">
        <f>100-G1674-H1674</f>
        <v>100</v>
      </c>
      <c r="K1674" t="s">
        <v>19</v>
      </c>
      <c r="L1674" t="s">
        <v>19</v>
      </c>
      <c r="M1674" t="s">
        <v>19</v>
      </c>
      <c r="N1674" t="s">
        <v>19</v>
      </c>
      <c r="O1674" t="s">
        <v>19</v>
      </c>
      <c r="P1674" t="s">
        <v>19</v>
      </c>
      <c r="Q1674">
        <f>I1674</f>
        <v>0</v>
      </c>
      <c r="R1674" t="s">
        <v>19</v>
      </c>
      <c r="S1674" t="s">
        <v>19</v>
      </c>
      <c r="T1674" t="s">
        <v>19</v>
      </c>
    </row>
    <row r="1675" spans="1:21" ht="15" customHeight="1" x14ac:dyDescent="0.25">
      <c r="A1675" t="s">
        <v>19</v>
      </c>
      <c r="B1675" t="s">
        <v>20</v>
      </c>
      <c r="C1675" t="s">
        <v>22</v>
      </c>
      <c r="D1675">
        <v>3</v>
      </c>
      <c r="E1675" t="s">
        <v>138</v>
      </c>
      <c r="F1675" t="s">
        <v>373</v>
      </c>
      <c r="G1675">
        <v>0</v>
      </c>
      <c r="H1675">
        <v>0</v>
      </c>
      <c r="I1675">
        <f>G1675+H1675</f>
        <v>0</v>
      </c>
      <c r="J1675">
        <f>100-G1675-H1675</f>
        <v>100</v>
      </c>
      <c r="K1675" t="s">
        <v>19</v>
      </c>
      <c r="L1675" t="s">
        <v>19</v>
      </c>
      <c r="M1675" t="s">
        <v>19</v>
      </c>
      <c r="N1675" t="s">
        <v>19</v>
      </c>
      <c r="O1675" t="s">
        <v>19</v>
      </c>
      <c r="P1675" t="s">
        <v>19</v>
      </c>
      <c r="Q1675">
        <f>I1675</f>
        <v>0</v>
      </c>
      <c r="R1675" t="s">
        <v>19</v>
      </c>
      <c r="S1675" t="s">
        <v>19</v>
      </c>
      <c r="T1675" t="s">
        <v>19</v>
      </c>
    </row>
    <row r="1676" spans="1:21" ht="15" customHeight="1" x14ac:dyDescent="0.25">
      <c r="A1676" t="s">
        <v>19</v>
      </c>
      <c r="B1676" t="s">
        <v>20</v>
      </c>
      <c r="C1676" t="s">
        <v>305</v>
      </c>
      <c r="D1676">
        <v>3</v>
      </c>
      <c r="E1676" t="s">
        <v>138</v>
      </c>
      <c r="F1676" t="s">
        <v>373</v>
      </c>
      <c r="G1676">
        <v>0</v>
      </c>
      <c r="H1676">
        <v>0</v>
      </c>
      <c r="I1676">
        <f>G1676+H1676</f>
        <v>0</v>
      </c>
      <c r="J1676">
        <f>100-G1676-H1676</f>
        <v>100</v>
      </c>
      <c r="K1676" t="s">
        <v>19</v>
      </c>
      <c r="L1676" t="s">
        <v>19</v>
      </c>
      <c r="M1676" t="s">
        <v>19</v>
      </c>
      <c r="N1676" t="s">
        <v>19</v>
      </c>
      <c r="O1676" t="s">
        <v>19</v>
      </c>
      <c r="P1676" t="s">
        <v>19</v>
      </c>
      <c r="Q1676">
        <f>I1676</f>
        <v>0</v>
      </c>
      <c r="R1676" t="s">
        <v>19</v>
      </c>
      <c r="S1676" t="s">
        <v>19</v>
      </c>
      <c r="T1676" t="s">
        <v>19</v>
      </c>
    </row>
    <row r="1677" spans="1:21" ht="15" customHeight="1" x14ac:dyDescent="0.25">
      <c r="A1677" t="s">
        <v>19</v>
      </c>
      <c r="B1677" t="s">
        <v>20</v>
      </c>
      <c r="C1677" t="s">
        <v>307</v>
      </c>
      <c r="D1677">
        <v>3</v>
      </c>
      <c r="E1677" t="s">
        <v>138</v>
      </c>
      <c r="F1677" t="s">
        <v>373</v>
      </c>
      <c r="G1677">
        <v>0</v>
      </c>
      <c r="H1677">
        <v>0</v>
      </c>
      <c r="I1677">
        <f>G1677+H1677</f>
        <v>0</v>
      </c>
      <c r="J1677">
        <f>100-G1677-H1677</f>
        <v>100</v>
      </c>
      <c r="K1677" t="s">
        <v>19</v>
      </c>
      <c r="L1677" t="s">
        <v>19</v>
      </c>
      <c r="M1677" t="s">
        <v>19</v>
      </c>
      <c r="N1677" t="s">
        <v>19</v>
      </c>
      <c r="O1677" t="s">
        <v>19</v>
      </c>
      <c r="P1677" t="s">
        <v>19</v>
      </c>
      <c r="Q1677">
        <f>I1677</f>
        <v>0</v>
      </c>
      <c r="R1677" t="s">
        <v>19</v>
      </c>
      <c r="S1677" t="s">
        <v>19</v>
      </c>
      <c r="T1677" t="s">
        <v>19</v>
      </c>
    </row>
    <row r="1678" spans="1:21" ht="15" customHeight="1" x14ac:dyDescent="0.25">
      <c r="A1678" s="2">
        <v>45253.756944444445</v>
      </c>
      <c r="B1678" t="s">
        <v>309</v>
      </c>
      <c r="C1678" t="s">
        <v>213</v>
      </c>
      <c r="D1678">
        <v>3</v>
      </c>
      <c r="E1678" t="s">
        <v>138</v>
      </c>
      <c r="F1678" t="s">
        <v>373</v>
      </c>
      <c r="G1678">
        <v>1.162790698</v>
      </c>
      <c r="H1678">
        <v>0</v>
      </c>
      <c r="I1678">
        <v>1.162790698</v>
      </c>
      <c r="J1678">
        <v>98.837209299999998</v>
      </c>
      <c r="K1678">
        <v>0.8</v>
      </c>
      <c r="L1678">
        <v>0.2</v>
      </c>
      <c r="M1678">
        <v>0.7</v>
      </c>
      <c r="N1678">
        <v>510</v>
      </c>
      <c r="O1678">
        <v>6</v>
      </c>
      <c r="P1678">
        <v>0</v>
      </c>
      <c r="Q1678">
        <v>1.1599999999999999</v>
      </c>
      <c r="R1678" t="s">
        <v>248</v>
      </c>
      <c r="S1678">
        <v>2.97</v>
      </c>
      <c r="T1678">
        <v>3.28</v>
      </c>
    </row>
    <row r="1679" spans="1:21" ht="15" customHeight="1" x14ac:dyDescent="0.25">
      <c r="A1679" s="2">
        <v>45253.949305555558</v>
      </c>
      <c r="B1679" t="s">
        <v>309</v>
      </c>
      <c r="C1679" t="s">
        <v>215</v>
      </c>
      <c r="D1679">
        <v>2</v>
      </c>
      <c r="E1679" t="s">
        <v>138</v>
      </c>
      <c r="F1679" t="s">
        <v>373</v>
      </c>
      <c r="G1679">
        <v>1.772525849</v>
      </c>
      <c r="H1679">
        <v>0</v>
      </c>
      <c r="I1679">
        <v>1.772525849</v>
      </c>
      <c r="J1679">
        <v>98.227474150000006</v>
      </c>
      <c r="K1679">
        <v>0.8</v>
      </c>
      <c r="L1679">
        <v>0.2</v>
      </c>
      <c r="M1679">
        <v>0.7</v>
      </c>
      <c r="N1679">
        <v>665</v>
      </c>
      <c r="O1679">
        <v>12</v>
      </c>
      <c r="P1679">
        <v>0</v>
      </c>
      <c r="Q1679">
        <v>1.77</v>
      </c>
      <c r="R1679" t="s">
        <v>243</v>
      </c>
      <c r="S1679">
        <v>0.09</v>
      </c>
      <c r="T1679">
        <v>0.1</v>
      </c>
    </row>
    <row r="1680" spans="1:21" ht="15" customHeight="1" x14ac:dyDescent="0.25">
      <c r="A1680" s="2">
        <v>45254.125</v>
      </c>
      <c r="B1680" t="s">
        <v>309</v>
      </c>
      <c r="C1680" t="s">
        <v>217</v>
      </c>
      <c r="D1680">
        <v>2</v>
      </c>
      <c r="E1680" t="s">
        <v>138</v>
      </c>
      <c r="F1680" t="s">
        <v>373</v>
      </c>
      <c r="G1680">
        <v>0.86206896600000005</v>
      </c>
      <c r="H1680">
        <v>0</v>
      </c>
      <c r="I1680">
        <v>0.86206896600000005</v>
      </c>
      <c r="J1680">
        <v>99.137931030000004</v>
      </c>
      <c r="K1680">
        <v>0.8</v>
      </c>
      <c r="L1680">
        <v>0.2</v>
      </c>
      <c r="M1680">
        <v>0.7</v>
      </c>
      <c r="N1680">
        <v>690</v>
      </c>
      <c r="O1680">
        <v>6</v>
      </c>
      <c r="P1680">
        <v>0</v>
      </c>
      <c r="Q1680">
        <v>0.86</v>
      </c>
      <c r="R1680" t="s">
        <v>227</v>
      </c>
      <c r="S1680">
        <v>0.06</v>
      </c>
      <c r="T1680">
        <v>0.06</v>
      </c>
    </row>
    <row r="1681" spans="1:21" ht="15" customHeight="1" x14ac:dyDescent="0.25">
      <c r="A1681" s="2">
        <v>45316.461111111108</v>
      </c>
      <c r="B1681" t="s">
        <v>309</v>
      </c>
      <c r="C1681" t="s">
        <v>219</v>
      </c>
      <c r="D1681">
        <v>3</v>
      </c>
      <c r="E1681" t="s">
        <v>138</v>
      </c>
      <c r="F1681" t="s">
        <v>373</v>
      </c>
      <c r="G1681">
        <v>0.519031142</v>
      </c>
      <c r="H1681">
        <v>0</v>
      </c>
      <c r="I1681">
        <v>0.519031142</v>
      </c>
      <c r="J1681">
        <v>99.480968860000004</v>
      </c>
      <c r="K1681">
        <v>0.8</v>
      </c>
      <c r="L1681">
        <v>0.2</v>
      </c>
      <c r="M1681">
        <v>0.7</v>
      </c>
      <c r="N1681">
        <v>575</v>
      </c>
      <c r="O1681">
        <v>3</v>
      </c>
      <c r="P1681">
        <v>0</v>
      </c>
      <c r="Q1681">
        <v>0.52</v>
      </c>
      <c r="R1681" t="s">
        <v>226</v>
      </c>
      <c r="S1681">
        <v>3.06</v>
      </c>
      <c r="T1681">
        <v>3.98</v>
      </c>
    </row>
    <row r="1682" spans="1:21" ht="15" customHeight="1" x14ac:dyDescent="0.25">
      <c r="A1682" s="2">
        <v>45320.98541666667</v>
      </c>
      <c r="B1682" t="s">
        <v>309</v>
      </c>
      <c r="C1682" t="s">
        <v>221</v>
      </c>
      <c r="D1682">
        <v>2</v>
      </c>
      <c r="E1682" t="s">
        <v>138</v>
      </c>
      <c r="F1682" t="s">
        <v>373</v>
      </c>
      <c r="G1682">
        <v>0.14970059899999999</v>
      </c>
      <c r="H1682">
        <v>0</v>
      </c>
      <c r="I1682">
        <v>0.14970059899999999</v>
      </c>
      <c r="J1682">
        <v>99.850299399999997</v>
      </c>
      <c r="K1682">
        <v>0.8</v>
      </c>
      <c r="L1682">
        <v>0.3</v>
      </c>
      <c r="M1682">
        <v>0.7</v>
      </c>
      <c r="N1682">
        <v>667</v>
      </c>
      <c r="O1682">
        <v>1</v>
      </c>
      <c r="P1682">
        <v>0</v>
      </c>
      <c r="Q1682">
        <v>0.15</v>
      </c>
      <c r="R1682" t="s">
        <v>218</v>
      </c>
      <c r="S1682">
        <v>0.01</v>
      </c>
      <c r="T1682">
        <v>0.01</v>
      </c>
    </row>
    <row r="1683" spans="1:21" ht="15" customHeight="1" x14ac:dyDescent="0.25">
      <c r="A1683" t="s">
        <v>19</v>
      </c>
      <c r="B1683" t="s">
        <v>20</v>
      </c>
      <c r="C1683" t="s">
        <v>320</v>
      </c>
      <c r="D1683">
        <v>3</v>
      </c>
      <c r="E1683" t="s">
        <v>138</v>
      </c>
      <c r="F1683" t="s">
        <v>373</v>
      </c>
      <c r="G1683">
        <v>0</v>
      </c>
      <c r="H1683">
        <v>0</v>
      </c>
      <c r="I1683">
        <f>100-J1683</f>
        <v>0</v>
      </c>
      <c r="J1683">
        <f>100-G1683-H1683</f>
        <v>100</v>
      </c>
      <c r="K1683" t="s">
        <v>19</v>
      </c>
      <c r="L1683" t="s">
        <v>19</v>
      </c>
      <c r="M1683" t="s">
        <v>19</v>
      </c>
      <c r="N1683" t="s">
        <v>19</v>
      </c>
      <c r="O1683" t="s">
        <v>19</v>
      </c>
      <c r="P1683" t="s">
        <v>19</v>
      </c>
      <c r="Q1683">
        <f>I1683</f>
        <v>0</v>
      </c>
      <c r="R1683" t="s">
        <v>19</v>
      </c>
      <c r="S1683" t="s">
        <v>19</v>
      </c>
      <c r="T1683" t="s">
        <v>19</v>
      </c>
    </row>
    <row r="1684" spans="1:21" ht="15" customHeight="1" x14ac:dyDescent="0.25">
      <c r="A1684" s="2">
        <v>45323.604930555557</v>
      </c>
      <c r="B1684" t="s">
        <v>309</v>
      </c>
      <c r="C1684" t="s">
        <v>322</v>
      </c>
      <c r="D1684">
        <v>3</v>
      </c>
      <c r="E1684" t="s">
        <v>138</v>
      </c>
      <c r="F1684" t="s">
        <v>373</v>
      </c>
      <c r="G1684">
        <f>(O1684/(N1684+O1684+P1684))*100</f>
        <v>0.30075187969924816</v>
      </c>
      <c r="H1684">
        <f>(P1684/(O1684+P1684+N1684))*100</f>
        <v>0</v>
      </c>
      <c r="I1684">
        <f>((O1684+P1684)/(P1684+O1684+N1684))*100</f>
        <v>0.30075187969924816</v>
      </c>
      <c r="J1684">
        <f>(N1684/(P1684+O1684+N1684))*100</f>
        <v>99.699248120300751</v>
      </c>
      <c r="K1684">
        <v>0.8</v>
      </c>
      <c r="L1684">
        <v>0.3</v>
      </c>
      <c r="M1684">
        <v>0.7</v>
      </c>
      <c r="N1684">
        <v>663</v>
      </c>
      <c r="O1684">
        <v>2</v>
      </c>
      <c r="P1684">
        <v>0</v>
      </c>
      <c r="Q1684">
        <v>0.3</v>
      </c>
      <c r="R1684" t="s">
        <v>255</v>
      </c>
      <c r="S1684">
        <v>2.95</v>
      </c>
      <c r="T1684">
        <v>3.15</v>
      </c>
      <c r="U1684">
        <v>11</v>
      </c>
    </row>
    <row r="1685" spans="1:21" ht="15" customHeight="1" x14ac:dyDescent="0.25">
      <c r="A1685" s="2">
        <v>45323.608831018515</v>
      </c>
      <c r="B1685" t="s">
        <v>309</v>
      </c>
      <c r="C1685" t="s">
        <v>322</v>
      </c>
      <c r="D1685">
        <v>3</v>
      </c>
      <c r="E1685" t="s">
        <v>138</v>
      </c>
      <c r="F1685" t="s">
        <v>373</v>
      </c>
      <c r="G1685">
        <f>(O1685/(N1685+O1685+P1685))*100</f>
        <v>0.59970014992503751</v>
      </c>
      <c r="H1685">
        <f>(P1685/(O1685+P1685+N1685))*100</f>
        <v>0</v>
      </c>
      <c r="I1685">
        <f>((O1685+P1685)/(P1685+O1685+N1685))*100</f>
        <v>0.59970014992503751</v>
      </c>
      <c r="J1685">
        <f>(N1685/(P1685+O1685+N1685))*100</f>
        <v>99.400299850074958</v>
      </c>
      <c r="K1685">
        <v>0.7</v>
      </c>
      <c r="L1685">
        <v>0.3</v>
      </c>
      <c r="M1685">
        <v>0.7</v>
      </c>
      <c r="N1685">
        <v>663</v>
      </c>
      <c r="O1685">
        <v>4</v>
      </c>
      <c r="P1685">
        <v>0</v>
      </c>
      <c r="Q1685">
        <v>0.6</v>
      </c>
      <c r="R1685" t="s">
        <v>365</v>
      </c>
      <c r="S1685">
        <v>2.95</v>
      </c>
      <c r="T1685">
        <v>3.15</v>
      </c>
      <c r="U1685">
        <v>9</v>
      </c>
    </row>
    <row r="1686" spans="1:21" ht="15" customHeight="1" x14ac:dyDescent="0.25">
      <c r="A1686" s="2">
        <v>45325.170706018522</v>
      </c>
      <c r="B1686" t="s">
        <v>309</v>
      </c>
      <c r="C1686" t="s">
        <v>368</v>
      </c>
      <c r="D1686">
        <v>2</v>
      </c>
      <c r="E1686" t="s">
        <v>138</v>
      </c>
      <c r="F1686" t="s">
        <v>373</v>
      </c>
      <c r="G1686">
        <f>(O1686/(N1686+O1686+P1686))*100</f>
        <v>0</v>
      </c>
      <c r="H1686">
        <f>(P1686/(O1686+P1686+N1686))*100</f>
        <v>0</v>
      </c>
      <c r="I1686">
        <v>0</v>
      </c>
      <c r="J1686">
        <f>(N1686/(P1686+O1686+N1686))*100</f>
        <v>100</v>
      </c>
      <c r="K1686">
        <v>0.8</v>
      </c>
      <c r="L1686">
        <v>0.3</v>
      </c>
      <c r="M1686">
        <v>0.7</v>
      </c>
      <c r="N1686">
        <v>674</v>
      </c>
      <c r="O1686">
        <v>0</v>
      </c>
      <c r="P1686">
        <v>0</v>
      </c>
      <c r="Q1686">
        <v>0</v>
      </c>
      <c r="R1686" t="s">
        <v>276</v>
      </c>
      <c r="S1686">
        <v>0</v>
      </c>
      <c r="T1686">
        <v>0</v>
      </c>
    </row>
    <row r="1687" spans="1:21" ht="15" customHeight="1" x14ac:dyDescent="0.25">
      <c r="A1687" t="s">
        <v>19</v>
      </c>
      <c r="B1687" t="s">
        <v>20</v>
      </c>
      <c r="C1687" t="s">
        <v>308</v>
      </c>
      <c r="D1687">
        <v>3</v>
      </c>
      <c r="E1687" t="s">
        <v>139</v>
      </c>
      <c r="F1687" t="s">
        <v>388</v>
      </c>
      <c r="G1687">
        <v>45</v>
      </c>
      <c r="H1687">
        <v>35</v>
      </c>
      <c r="I1687">
        <f>G1687+H1687</f>
        <v>80</v>
      </c>
      <c r="J1687">
        <f>100-G1687-H1687</f>
        <v>20</v>
      </c>
      <c r="K1687" t="s">
        <v>19</v>
      </c>
      <c r="L1687" t="s">
        <v>19</v>
      </c>
      <c r="M1687" t="s">
        <v>19</v>
      </c>
      <c r="N1687" t="s">
        <v>19</v>
      </c>
      <c r="O1687" t="s">
        <v>19</v>
      </c>
      <c r="P1687" t="s">
        <v>19</v>
      </c>
      <c r="Q1687">
        <f>I1687</f>
        <v>80</v>
      </c>
      <c r="R1687" t="s">
        <v>19</v>
      </c>
      <c r="S1687" t="s">
        <v>19</v>
      </c>
      <c r="T1687" t="s">
        <v>19</v>
      </c>
    </row>
    <row r="1688" spans="1:21" ht="15" customHeight="1" x14ac:dyDescent="0.25">
      <c r="A1688" t="s">
        <v>19</v>
      </c>
      <c r="B1688" t="s">
        <v>20</v>
      </c>
      <c r="C1688" t="s">
        <v>22</v>
      </c>
      <c r="D1688">
        <v>3</v>
      </c>
      <c r="E1688" t="s">
        <v>139</v>
      </c>
      <c r="F1688" t="s">
        <v>388</v>
      </c>
      <c r="G1688">
        <v>20</v>
      </c>
      <c r="H1688">
        <v>50</v>
      </c>
      <c r="I1688">
        <f>G1688+H1688</f>
        <v>70</v>
      </c>
      <c r="J1688">
        <f>100-G1688-H1688</f>
        <v>30</v>
      </c>
      <c r="K1688" t="s">
        <v>19</v>
      </c>
      <c r="L1688" t="s">
        <v>19</v>
      </c>
      <c r="M1688" t="s">
        <v>19</v>
      </c>
      <c r="N1688" t="s">
        <v>19</v>
      </c>
      <c r="O1688" t="s">
        <v>19</v>
      </c>
      <c r="P1688" t="s">
        <v>19</v>
      </c>
      <c r="Q1688">
        <f>I1688</f>
        <v>70</v>
      </c>
      <c r="R1688" t="s">
        <v>19</v>
      </c>
      <c r="S1688" t="s">
        <v>19</v>
      </c>
      <c r="T1688" t="s">
        <v>19</v>
      </c>
    </row>
    <row r="1689" spans="1:21" ht="15" customHeight="1" x14ac:dyDescent="0.25">
      <c r="A1689" t="s">
        <v>19</v>
      </c>
      <c r="B1689" t="s">
        <v>20</v>
      </c>
      <c r="C1689" t="s">
        <v>305</v>
      </c>
      <c r="D1689">
        <v>3</v>
      </c>
      <c r="E1689" t="s">
        <v>139</v>
      </c>
      <c r="F1689" t="s">
        <v>388</v>
      </c>
      <c r="G1689">
        <v>45</v>
      </c>
      <c r="H1689">
        <v>15</v>
      </c>
      <c r="I1689">
        <f>G1689+H1689</f>
        <v>60</v>
      </c>
      <c r="J1689">
        <f>100-G1689-H1689</f>
        <v>40</v>
      </c>
      <c r="K1689" t="s">
        <v>19</v>
      </c>
      <c r="L1689" t="s">
        <v>19</v>
      </c>
      <c r="M1689" t="s">
        <v>19</v>
      </c>
      <c r="N1689" t="s">
        <v>19</v>
      </c>
      <c r="O1689" t="s">
        <v>19</v>
      </c>
      <c r="P1689" t="s">
        <v>19</v>
      </c>
      <c r="Q1689">
        <f>I1689</f>
        <v>60</v>
      </c>
      <c r="R1689" t="s">
        <v>19</v>
      </c>
      <c r="S1689" t="s">
        <v>19</v>
      </c>
      <c r="T1689" t="s">
        <v>19</v>
      </c>
    </row>
    <row r="1690" spans="1:21" ht="15" customHeight="1" x14ac:dyDescent="0.25">
      <c r="A1690" t="s">
        <v>19</v>
      </c>
      <c r="B1690" t="s">
        <v>20</v>
      </c>
      <c r="C1690" t="s">
        <v>307</v>
      </c>
      <c r="D1690">
        <v>3</v>
      </c>
      <c r="E1690" t="s">
        <v>139</v>
      </c>
      <c r="F1690" t="s">
        <v>388</v>
      </c>
      <c r="G1690">
        <v>20</v>
      </c>
      <c r="H1690">
        <v>60</v>
      </c>
      <c r="I1690">
        <f>G1690+H1690</f>
        <v>80</v>
      </c>
      <c r="J1690">
        <f>100-G1690-H1690</f>
        <v>20</v>
      </c>
      <c r="K1690" t="s">
        <v>19</v>
      </c>
      <c r="L1690" t="s">
        <v>19</v>
      </c>
      <c r="M1690" t="s">
        <v>19</v>
      </c>
      <c r="N1690" t="s">
        <v>19</v>
      </c>
      <c r="O1690" t="s">
        <v>19</v>
      </c>
      <c r="P1690" t="s">
        <v>19</v>
      </c>
      <c r="Q1690">
        <f>I1690</f>
        <v>80</v>
      </c>
      <c r="R1690" t="s">
        <v>19</v>
      </c>
      <c r="S1690" t="s">
        <v>19</v>
      </c>
      <c r="T1690" t="s">
        <v>19</v>
      </c>
    </row>
    <row r="1691" spans="1:21" ht="15" customHeight="1" x14ac:dyDescent="0.25">
      <c r="A1691" s="2">
        <v>45253.59652777778</v>
      </c>
      <c r="B1691" t="s">
        <v>309</v>
      </c>
      <c r="C1691" t="s">
        <v>213</v>
      </c>
      <c r="D1691">
        <v>3</v>
      </c>
      <c r="E1691" t="s">
        <v>139</v>
      </c>
      <c r="F1691" t="s">
        <v>388</v>
      </c>
      <c r="G1691">
        <v>0.29368575600000002</v>
      </c>
      <c r="H1691">
        <v>29.368575620000001</v>
      </c>
      <c r="I1691">
        <v>29.66226138</v>
      </c>
      <c r="J1691">
        <v>70.337738619999996</v>
      </c>
      <c r="K1691">
        <v>0.8</v>
      </c>
      <c r="L1691">
        <v>0.2</v>
      </c>
      <c r="M1691">
        <v>0.7</v>
      </c>
      <c r="N1691">
        <v>479</v>
      </c>
      <c r="O1691">
        <v>2</v>
      </c>
      <c r="P1691">
        <v>200</v>
      </c>
      <c r="Q1691">
        <v>29.66</v>
      </c>
      <c r="R1691" t="s">
        <v>245</v>
      </c>
      <c r="S1691">
        <v>2.4900000000000002</v>
      </c>
      <c r="T1691">
        <v>3.34</v>
      </c>
    </row>
    <row r="1692" spans="1:21" ht="15" customHeight="1" x14ac:dyDescent="0.25">
      <c r="A1692" s="2">
        <v>45253.863888888889</v>
      </c>
      <c r="B1692" t="s">
        <v>309</v>
      </c>
      <c r="C1692" t="s">
        <v>215</v>
      </c>
      <c r="D1692">
        <v>2</v>
      </c>
      <c r="E1692" t="s">
        <v>139</v>
      </c>
      <c r="F1692" t="s">
        <v>388</v>
      </c>
      <c r="G1692">
        <v>22.204724410000001</v>
      </c>
      <c r="H1692">
        <v>0</v>
      </c>
      <c r="I1692">
        <v>22.204724410000001</v>
      </c>
      <c r="J1692">
        <v>77.795275590000003</v>
      </c>
      <c r="K1692">
        <v>0.8</v>
      </c>
      <c r="L1692">
        <v>0.2</v>
      </c>
      <c r="M1692">
        <v>0.7</v>
      </c>
      <c r="N1692">
        <v>494</v>
      </c>
      <c r="O1692">
        <v>141</v>
      </c>
      <c r="P1692">
        <v>0</v>
      </c>
      <c r="Q1692">
        <v>22.2</v>
      </c>
      <c r="R1692" t="s">
        <v>231</v>
      </c>
      <c r="S1692">
        <v>0.59</v>
      </c>
      <c r="T1692">
        <v>0.66</v>
      </c>
    </row>
    <row r="1693" spans="1:21" ht="15" customHeight="1" x14ac:dyDescent="0.25">
      <c r="A1693" s="2">
        <v>45254.033333333333</v>
      </c>
      <c r="B1693" t="s">
        <v>309</v>
      </c>
      <c r="C1693" t="s">
        <v>217</v>
      </c>
      <c r="D1693">
        <v>2</v>
      </c>
      <c r="E1693" t="s">
        <v>139</v>
      </c>
      <c r="F1693" t="s">
        <v>388</v>
      </c>
      <c r="G1693">
        <v>24.458204330000001</v>
      </c>
      <c r="H1693">
        <v>0</v>
      </c>
      <c r="I1693">
        <v>24.458204330000001</v>
      </c>
      <c r="J1693">
        <v>75.541795669999999</v>
      </c>
      <c r="K1693">
        <v>0.8</v>
      </c>
      <c r="L1693">
        <v>0.2</v>
      </c>
      <c r="M1693">
        <v>0.7</v>
      </c>
      <c r="N1693">
        <v>488</v>
      </c>
      <c r="O1693">
        <v>158</v>
      </c>
      <c r="P1693">
        <v>0</v>
      </c>
      <c r="Q1693">
        <v>24.46</v>
      </c>
      <c r="R1693" t="s">
        <v>229</v>
      </c>
      <c r="S1693">
        <v>0.69</v>
      </c>
      <c r="T1693">
        <v>0.76</v>
      </c>
    </row>
    <row r="1694" spans="1:21" ht="15" customHeight="1" x14ac:dyDescent="0.25">
      <c r="A1694" s="2">
        <v>45316.543749999997</v>
      </c>
      <c r="B1694" t="s">
        <v>309</v>
      </c>
      <c r="C1694" t="s">
        <v>219</v>
      </c>
      <c r="D1694">
        <v>3</v>
      </c>
      <c r="E1694" t="s">
        <v>139</v>
      </c>
      <c r="F1694" t="s">
        <v>388</v>
      </c>
      <c r="G1694">
        <v>0</v>
      </c>
      <c r="H1694">
        <v>23.747680890000002</v>
      </c>
      <c r="I1694">
        <v>23.747680890000002</v>
      </c>
      <c r="J1694">
        <v>76.252319110000002</v>
      </c>
      <c r="K1694">
        <v>0.8</v>
      </c>
      <c r="L1694">
        <v>0.2</v>
      </c>
      <c r="M1694">
        <v>0.7</v>
      </c>
      <c r="N1694">
        <v>411</v>
      </c>
      <c r="O1694">
        <v>0</v>
      </c>
      <c r="P1694">
        <v>128</v>
      </c>
      <c r="Q1694">
        <v>23.75</v>
      </c>
      <c r="R1694" t="s">
        <v>220</v>
      </c>
      <c r="S1694">
        <v>2.97</v>
      </c>
      <c r="T1694">
        <v>4.41</v>
      </c>
    </row>
    <row r="1695" spans="1:21" ht="15" customHeight="1" x14ac:dyDescent="0.25">
      <c r="A1695" s="2">
        <v>45320.885416666664</v>
      </c>
      <c r="B1695" t="s">
        <v>309</v>
      </c>
      <c r="C1695" t="s">
        <v>221</v>
      </c>
      <c r="D1695">
        <v>2</v>
      </c>
      <c r="E1695" t="s">
        <v>139</v>
      </c>
      <c r="F1695" t="s">
        <v>388</v>
      </c>
      <c r="G1695">
        <v>63.48920863</v>
      </c>
      <c r="H1695">
        <v>0</v>
      </c>
      <c r="I1695">
        <v>63.48920863</v>
      </c>
      <c r="J1695">
        <v>36.51079137</v>
      </c>
      <c r="K1695">
        <v>0.8</v>
      </c>
      <c r="L1695">
        <v>0.3</v>
      </c>
      <c r="M1695">
        <v>0.7</v>
      </c>
      <c r="N1695">
        <v>203</v>
      </c>
      <c r="O1695">
        <v>353</v>
      </c>
      <c r="P1695">
        <v>0</v>
      </c>
      <c r="Q1695">
        <v>63.49</v>
      </c>
      <c r="R1695" t="s">
        <v>283</v>
      </c>
      <c r="S1695">
        <v>1.56</v>
      </c>
      <c r="T1695">
        <v>1.76</v>
      </c>
    </row>
    <row r="1696" spans="1:21" ht="15" customHeight="1" x14ac:dyDescent="0.25">
      <c r="A1696" t="s">
        <v>19</v>
      </c>
      <c r="B1696" t="s">
        <v>20</v>
      </c>
      <c r="C1696" t="s">
        <v>306</v>
      </c>
      <c r="D1696">
        <v>3</v>
      </c>
      <c r="E1696" t="s">
        <v>139</v>
      </c>
      <c r="F1696" t="s">
        <v>388</v>
      </c>
      <c r="G1696">
        <v>10</v>
      </c>
      <c r="H1696">
        <v>80</v>
      </c>
      <c r="I1696">
        <f>G1696+H1696</f>
        <v>90</v>
      </c>
      <c r="J1696">
        <f>100-G1696-H1696</f>
        <v>10</v>
      </c>
      <c r="K1696" t="s">
        <v>19</v>
      </c>
      <c r="L1696" t="s">
        <v>19</v>
      </c>
      <c r="M1696" t="s">
        <v>19</v>
      </c>
      <c r="N1696" t="s">
        <v>19</v>
      </c>
      <c r="O1696" t="s">
        <v>19</v>
      </c>
      <c r="P1696" t="s">
        <v>19</v>
      </c>
      <c r="Q1696">
        <f>I1696</f>
        <v>90</v>
      </c>
      <c r="R1696" t="s">
        <v>19</v>
      </c>
      <c r="S1696" t="s">
        <v>19</v>
      </c>
      <c r="T1696" t="s">
        <v>19</v>
      </c>
    </row>
    <row r="1697" spans="1:21" ht="15" customHeight="1" x14ac:dyDescent="0.25">
      <c r="A1697" t="s">
        <v>19</v>
      </c>
      <c r="B1697" t="s">
        <v>20</v>
      </c>
      <c r="C1697" t="s">
        <v>320</v>
      </c>
      <c r="D1697">
        <v>3</v>
      </c>
      <c r="E1697" t="s">
        <v>139</v>
      </c>
      <c r="F1697" t="s">
        <v>388</v>
      </c>
      <c r="G1697">
        <v>20</v>
      </c>
      <c r="H1697">
        <v>40</v>
      </c>
      <c r="I1697">
        <f>100-J1697</f>
        <v>60</v>
      </c>
      <c r="J1697">
        <f>100-G1697-H1697</f>
        <v>40</v>
      </c>
      <c r="K1697" t="s">
        <v>19</v>
      </c>
      <c r="L1697" t="s">
        <v>19</v>
      </c>
      <c r="M1697" t="s">
        <v>19</v>
      </c>
      <c r="N1697" t="s">
        <v>19</v>
      </c>
      <c r="O1697" t="s">
        <v>19</v>
      </c>
      <c r="P1697" t="s">
        <v>19</v>
      </c>
      <c r="Q1697">
        <f>I1697</f>
        <v>60</v>
      </c>
      <c r="R1697" t="s">
        <v>19</v>
      </c>
      <c r="S1697" t="s">
        <v>19</v>
      </c>
      <c r="T1697" t="s">
        <v>19</v>
      </c>
    </row>
    <row r="1698" spans="1:21" ht="15" customHeight="1" x14ac:dyDescent="0.25">
      <c r="A1698" s="2">
        <v>45323.607060185182</v>
      </c>
      <c r="B1698" t="s">
        <v>309</v>
      </c>
      <c r="C1698" t="s">
        <v>322</v>
      </c>
      <c r="D1698">
        <v>3</v>
      </c>
      <c r="E1698" t="s">
        <v>139</v>
      </c>
      <c r="F1698" t="s">
        <v>388</v>
      </c>
      <c r="G1698">
        <f>(O1698/(N1698+O1698+P1698))*100</f>
        <v>12.751677852348994</v>
      </c>
      <c r="H1698">
        <f>(P1698/(O1698+P1698+N1698))*100</f>
        <v>13.422818791946309</v>
      </c>
      <c r="I1698">
        <v>26.17</v>
      </c>
      <c r="J1698">
        <f>(N1698/(P1698+O1698+N1698))*100</f>
        <v>73.825503355704697</v>
      </c>
      <c r="K1698">
        <v>0.8</v>
      </c>
      <c r="L1698">
        <v>0.3</v>
      </c>
      <c r="M1698">
        <v>0.7</v>
      </c>
      <c r="N1698">
        <v>330</v>
      </c>
      <c r="O1698">
        <v>57</v>
      </c>
      <c r="P1698">
        <v>60</v>
      </c>
      <c r="Q1698">
        <v>26.17</v>
      </c>
      <c r="R1698" t="s">
        <v>335</v>
      </c>
      <c r="S1698">
        <v>2.46</v>
      </c>
      <c r="T1698">
        <v>3.92</v>
      </c>
      <c r="U1698">
        <v>259</v>
      </c>
    </row>
    <row r="1699" spans="1:21" ht="15" customHeight="1" x14ac:dyDescent="0.25">
      <c r="A1699" s="2">
        <v>45323.604502314818</v>
      </c>
      <c r="B1699" t="s">
        <v>309</v>
      </c>
      <c r="C1699" t="s">
        <v>322</v>
      </c>
      <c r="D1699">
        <v>3</v>
      </c>
      <c r="E1699" t="s">
        <v>139</v>
      </c>
      <c r="F1699" t="s">
        <v>388</v>
      </c>
      <c r="G1699">
        <f>(O1699/(N1699+O1699+P1699))*100</f>
        <v>21.212121212121211</v>
      </c>
      <c r="H1699">
        <f>(P1699/(O1699+P1699+N1699))*100</f>
        <v>17.171717171717169</v>
      </c>
      <c r="I1699">
        <v>38.380000000000003</v>
      </c>
      <c r="J1699">
        <f>(N1699/(P1699+O1699+N1699))*100</f>
        <v>61.616161616161612</v>
      </c>
      <c r="K1699">
        <v>0.7</v>
      </c>
      <c r="L1699">
        <v>0.3</v>
      </c>
      <c r="M1699">
        <v>0.7</v>
      </c>
      <c r="N1699">
        <v>305</v>
      </c>
      <c r="O1699">
        <v>105</v>
      </c>
      <c r="P1699">
        <v>85</v>
      </c>
      <c r="Q1699">
        <v>38.380000000000003</v>
      </c>
      <c r="R1699" t="s">
        <v>245</v>
      </c>
      <c r="S1699">
        <v>2.46</v>
      </c>
      <c r="T1699">
        <v>3.92</v>
      </c>
      <c r="U1699">
        <v>211</v>
      </c>
    </row>
    <row r="1700" spans="1:21" ht="15" customHeight="1" x14ac:dyDescent="0.25">
      <c r="A1700" s="2">
        <v>45325.024467592593</v>
      </c>
      <c r="B1700" t="s">
        <v>309</v>
      </c>
      <c r="C1700" t="s">
        <v>368</v>
      </c>
      <c r="D1700">
        <v>2</v>
      </c>
      <c r="E1700" t="s">
        <v>139</v>
      </c>
      <c r="F1700" t="s">
        <v>388</v>
      </c>
      <c r="G1700">
        <f>(O1700/(N1700+O1700+P1700))*100</f>
        <v>63.554757630161582</v>
      </c>
      <c r="H1700">
        <f>(P1700/(O1700+P1700+N1700))*100</f>
        <v>0</v>
      </c>
      <c r="I1700">
        <v>63.55</v>
      </c>
      <c r="J1700">
        <f>(N1700/(P1700+O1700+N1700))*100</f>
        <v>36.445242369838418</v>
      </c>
      <c r="K1700">
        <v>0.8</v>
      </c>
      <c r="L1700">
        <v>0.3</v>
      </c>
      <c r="M1700">
        <v>0.7</v>
      </c>
      <c r="N1700">
        <v>203</v>
      </c>
      <c r="O1700">
        <v>354</v>
      </c>
      <c r="P1700">
        <v>0</v>
      </c>
      <c r="Q1700">
        <v>63.55</v>
      </c>
      <c r="R1700" t="s">
        <v>338</v>
      </c>
      <c r="S1700">
        <v>1.56</v>
      </c>
      <c r="T1700">
        <v>1.78</v>
      </c>
    </row>
    <row r="1701" spans="1:21" ht="15" customHeight="1" x14ac:dyDescent="0.25">
      <c r="A1701" t="s">
        <v>19</v>
      </c>
      <c r="B1701" t="s">
        <v>20</v>
      </c>
      <c r="C1701" t="s">
        <v>306</v>
      </c>
      <c r="D1701">
        <v>3</v>
      </c>
      <c r="E1701" t="s">
        <v>140</v>
      </c>
      <c r="F1701" t="s">
        <v>373</v>
      </c>
      <c r="G1701">
        <v>30</v>
      </c>
      <c r="H1701">
        <v>0</v>
      </c>
      <c r="I1701">
        <f>G1701+H1701</f>
        <v>30</v>
      </c>
      <c r="J1701">
        <f>100-G1701-H1701</f>
        <v>70</v>
      </c>
      <c r="K1701" t="s">
        <v>19</v>
      </c>
      <c r="L1701" t="s">
        <v>19</v>
      </c>
      <c r="M1701" t="s">
        <v>19</v>
      </c>
      <c r="N1701" t="s">
        <v>19</v>
      </c>
      <c r="O1701" t="s">
        <v>19</v>
      </c>
      <c r="P1701" t="s">
        <v>19</v>
      </c>
      <c r="Q1701">
        <f>I1701</f>
        <v>30</v>
      </c>
      <c r="R1701" t="s">
        <v>19</v>
      </c>
      <c r="S1701" t="s">
        <v>19</v>
      </c>
      <c r="T1701" t="s">
        <v>19</v>
      </c>
    </row>
    <row r="1702" spans="1:21" ht="15" customHeight="1" x14ac:dyDescent="0.25">
      <c r="A1702" t="s">
        <v>19</v>
      </c>
      <c r="B1702" t="s">
        <v>20</v>
      </c>
      <c r="C1702" t="s">
        <v>308</v>
      </c>
      <c r="D1702">
        <v>3</v>
      </c>
      <c r="E1702" t="s">
        <v>140</v>
      </c>
      <c r="F1702" t="s">
        <v>373</v>
      </c>
      <c r="G1702">
        <v>33</v>
      </c>
      <c r="H1702">
        <v>2</v>
      </c>
      <c r="I1702">
        <f>G1702+H1702</f>
        <v>35</v>
      </c>
      <c r="J1702">
        <f>100-G1702-H1702</f>
        <v>65</v>
      </c>
      <c r="K1702" t="s">
        <v>19</v>
      </c>
      <c r="L1702" t="s">
        <v>19</v>
      </c>
      <c r="M1702" t="s">
        <v>19</v>
      </c>
      <c r="N1702" t="s">
        <v>19</v>
      </c>
      <c r="O1702" t="s">
        <v>19</v>
      </c>
      <c r="P1702" t="s">
        <v>19</v>
      </c>
      <c r="Q1702">
        <f>I1702</f>
        <v>35</v>
      </c>
      <c r="R1702" t="s">
        <v>19</v>
      </c>
      <c r="S1702" t="s">
        <v>19</v>
      </c>
      <c r="T1702" t="s">
        <v>19</v>
      </c>
    </row>
    <row r="1703" spans="1:21" ht="15" customHeight="1" x14ac:dyDescent="0.25">
      <c r="A1703" t="s">
        <v>19</v>
      </c>
      <c r="B1703" t="s">
        <v>20</v>
      </c>
      <c r="C1703" t="s">
        <v>22</v>
      </c>
      <c r="D1703">
        <v>3</v>
      </c>
      <c r="E1703" t="s">
        <v>140</v>
      </c>
      <c r="F1703" t="s">
        <v>373</v>
      </c>
      <c r="G1703">
        <v>12</v>
      </c>
      <c r="H1703">
        <v>0</v>
      </c>
      <c r="I1703">
        <f>G1703+H1703</f>
        <v>12</v>
      </c>
      <c r="J1703">
        <f>100-G1703-H1703</f>
        <v>88</v>
      </c>
      <c r="K1703" t="s">
        <v>19</v>
      </c>
      <c r="L1703" t="s">
        <v>19</v>
      </c>
      <c r="M1703" t="s">
        <v>19</v>
      </c>
      <c r="N1703" t="s">
        <v>19</v>
      </c>
      <c r="O1703" t="s">
        <v>19</v>
      </c>
      <c r="P1703" t="s">
        <v>19</v>
      </c>
      <c r="Q1703">
        <f>I1703</f>
        <v>12</v>
      </c>
      <c r="R1703" t="s">
        <v>19</v>
      </c>
      <c r="S1703" t="s">
        <v>19</v>
      </c>
      <c r="T1703" t="s">
        <v>19</v>
      </c>
    </row>
    <row r="1704" spans="1:21" ht="15" customHeight="1" x14ac:dyDescent="0.25">
      <c r="A1704" t="s">
        <v>19</v>
      </c>
      <c r="B1704" t="s">
        <v>20</v>
      </c>
      <c r="C1704" t="s">
        <v>305</v>
      </c>
      <c r="D1704">
        <v>3</v>
      </c>
      <c r="E1704" t="s">
        <v>140</v>
      </c>
      <c r="F1704" t="s">
        <v>373</v>
      </c>
      <c r="G1704">
        <v>6</v>
      </c>
      <c r="H1704">
        <v>0</v>
      </c>
      <c r="I1704">
        <f>G1704+H1704</f>
        <v>6</v>
      </c>
      <c r="J1704">
        <f>100-G1704-H1704</f>
        <v>94</v>
      </c>
      <c r="K1704" t="s">
        <v>19</v>
      </c>
      <c r="L1704" t="s">
        <v>19</v>
      </c>
      <c r="M1704" t="s">
        <v>19</v>
      </c>
      <c r="N1704" t="s">
        <v>19</v>
      </c>
      <c r="O1704" t="s">
        <v>19</v>
      </c>
      <c r="P1704" t="s">
        <v>19</v>
      </c>
      <c r="Q1704">
        <f>I1704</f>
        <v>6</v>
      </c>
      <c r="R1704" t="s">
        <v>19</v>
      </c>
      <c r="S1704" t="s">
        <v>19</v>
      </c>
      <c r="T1704" t="s">
        <v>19</v>
      </c>
    </row>
    <row r="1705" spans="1:21" ht="15" customHeight="1" x14ac:dyDescent="0.25">
      <c r="A1705" t="s">
        <v>19</v>
      </c>
      <c r="B1705" t="s">
        <v>20</v>
      </c>
      <c r="C1705" t="s">
        <v>307</v>
      </c>
      <c r="D1705">
        <v>3</v>
      </c>
      <c r="E1705" t="s">
        <v>140</v>
      </c>
      <c r="F1705" t="s">
        <v>373</v>
      </c>
      <c r="G1705">
        <v>0</v>
      </c>
      <c r="H1705">
        <v>0</v>
      </c>
      <c r="I1705">
        <f>G1705+H1705</f>
        <v>0</v>
      </c>
      <c r="J1705">
        <f>100-G1705-H1705</f>
        <v>100</v>
      </c>
      <c r="K1705" t="s">
        <v>19</v>
      </c>
      <c r="L1705" t="s">
        <v>19</v>
      </c>
      <c r="M1705" t="s">
        <v>19</v>
      </c>
      <c r="N1705" t="s">
        <v>19</v>
      </c>
      <c r="O1705" t="s">
        <v>19</v>
      </c>
      <c r="P1705" t="s">
        <v>19</v>
      </c>
      <c r="Q1705">
        <f>I1705</f>
        <v>0</v>
      </c>
      <c r="R1705" t="s">
        <v>19</v>
      </c>
      <c r="S1705" t="s">
        <v>19</v>
      </c>
      <c r="T1705" t="s">
        <v>19</v>
      </c>
    </row>
    <row r="1706" spans="1:21" ht="15" customHeight="1" x14ac:dyDescent="0.25">
      <c r="A1706" s="2">
        <v>45253.758333333331</v>
      </c>
      <c r="B1706" t="s">
        <v>309</v>
      </c>
      <c r="C1706" t="s">
        <v>213</v>
      </c>
      <c r="D1706">
        <v>3</v>
      </c>
      <c r="E1706" t="s">
        <v>140</v>
      </c>
      <c r="F1706" t="s">
        <v>373</v>
      </c>
      <c r="G1706">
        <v>17.12887439</v>
      </c>
      <c r="H1706">
        <v>0</v>
      </c>
      <c r="I1706">
        <v>17.12887439</v>
      </c>
      <c r="J1706">
        <v>82.871125610000007</v>
      </c>
      <c r="K1706">
        <v>0.8</v>
      </c>
      <c r="L1706">
        <v>0.2</v>
      </c>
      <c r="M1706">
        <v>0.7</v>
      </c>
      <c r="N1706">
        <v>508</v>
      </c>
      <c r="O1706">
        <v>105</v>
      </c>
      <c r="P1706">
        <v>0</v>
      </c>
      <c r="Q1706">
        <v>17.13</v>
      </c>
      <c r="R1706" t="s">
        <v>223</v>
      </c>
      <c r="S1706">
        <v>2.8</v>
      </c>
      <c r="T1706">
        <v>3.1</v>
      </c>
    </row>
    <row r="1707" spans="1:21" ht="15" customHeight="1" x14ac:dyDescent="0.25">
      <c r="A1707" s="2">
        <v>45253.95</v>
      </c>
      <c r="B1707" t="s">
        <v>309</v>
      </c>
      <c r="C1707" t="s">
        <v>215</v>
      </c>
      <c r="D1707">
        <v>2</v>
      </c>
      <c r="E1707" t="s">
        <v>140</v>
      </c>
      <c r="F1707" t="s">
        <v>373</v>
      </c>
      <c r="G1707">
        <v>6.3253012049999997</v>
      </c>
      <c r="H1707">
        <v>0</v>
      </c>
      <c r="I1707">
        <v>6.3253012049999997</v>
      </c>
      <c r="J1707">
        <v>93.674698800000002</v>
      </c>
      <c r="K1707">
        <v>0.8</v>
      </c>
      <c r="L1707">
        <v>0.2</v>
      </c>
      <c r="M1707">
        <v>0.7</v>
      </c>
      <c r="N1707">
        <v>622</v>
      </c>
      <c r="O1707">
        <v>42</v>
      </c>
      <c r="P1707">
        <v>0</v>
      </c>
      <c r="Q1707">
        <v>6.33</v>
      </c>
      <c r="R1707" t="s">
        <v>216</v>
      </c>
      <c r="S1707">
        <v>0.22</v>
      </c>
      <c r="T1707">
        <v>0.24</v>
      </c>
    </row>
    <row r="1708" spans="1:21" ht="15" customHeight="1" x14ac:dyDescent="0.25">
      <c r="A1708" s="2">
        <v>45254.125694444447</v>
      </c>
      <c r="B1708" t="s">
        <v>309</v>
      </c>
      <c r="C1708" t="s">
        <v>217</v>
      </c>
      <c r="D1708">
        <v>2</v>
      </c>
      <c r="E1708" t="s">
        <v>140</v>
      </c>
      <c r="F1708" t="s">
        <v>373</v>
      </c>
      <c r="G1708">
        <v>8.1896551720000001</v>
      </c>
      <c r="H1708">
        <v>0</v>
      </c>
      <c r="I1708">
        <v>8.1896551720000001</v>
      </c>
      <c r="J1708">
        <v>91.810344830000005</v>
      </c>
      <c r="K1708">
        <v>0.8</v>
      </c>
      <c r="L1708">
        <v>0.2</v>
      </c>
      <c r="M1708">
        <v>0.7</v>
      </c>
      <c r="N1708">
        <v>639</v>
      </c>
      <c r="O1708">
        <v>57</v>
      </c>
      <c r="P1708">
        <v>0</v>
      </c>
      <c r="Q1708">
        <v>8.19</v>
      </c>
      <c r="R1708" t="s">
        <v>225</v>
      </c>
      <c r="S1708">
        <v>0.23</v>
      </c>
      <c r="T1708">
        <v>0.24</v>
      </c>
    </row>
    <row r="1709" spans="1:21" ht="15" customHeight="1" x14ac:dyDescent="0.25">
      <c r="A1709" s="2">
        <v>45316.461805555555</v>
      </c>
      <c r="B1709" t="s">
        <v>309</v>
      </c>
      <c r="C1709" t="s">
        <v>219</v>
      </c>
      <c r="D1709">
        <v>3</v>
      </c>
      <c r="E1709" t="s">
        <v>140</v>
      </c>
      <c r="F1709" t="s">
        <v>373</v>
      </c>
      <c r="G1709">
        <v>10.281923709999999</v>
      </c>
      <c r="H1709">
        <v>1.1608623549999999</v>
      </c>
      <c r="I1709">
        <v>11.44278607</v>
      </c>
      <c r="J1709">
        <v>88.557213930000003</v>
      </c>
      <c r="K1709">
        <v>0.8</v>
      </c>
      <c r="L1709">
        <v>0.2</v>
      </c>
      <c r="M1709">
        <v>0.7</v>
      </c>
      <c r="N1709">
        <v>534</v>
      </c>
      <c r="O1709">
        <v>62</v>
      </c>
      <c r="P1709">
        <v>7</v>
      </c>
      <c r="Q1709">
        <v>11.44</v>
      </c>
      <c r="R1709" t="s">
        <v>220</v>
      </c>
      <c r="S1709">
        <v>3.12</v>
      </c>
      <c r="T1709">
        <v>4.38</v>
      </c>
    </row>
    <row r="1710" spans="1:21" ht="15" customHeight="1" x14ac:dyDescent="0.25">
      <c r="A1710" s="2">
        <v>45320.986111111109</v>
      </c>
      <c r="B1710" t="s">
        <v>309</v>
      </c>
      <c r="C1710" t="s">
        <v>221</v>
      </c>
      <c r="D1710">
        <v>2</v>
      </c>
      <c r="E1710" t="s">
        <v>140</v>
      </c>
      <c r="F1710" t="s">
        <v>373</v>
      </c>
      <c r="G1710">
        <v>23.12599681</v>
      </c>
      <c r="H1710">
        <v>0</v>
      </c>
      <c r="I1710">
        <v>23.12599681</v>
      </c>
      <c r="J1710">
        <v>76.874003189999996</v>
      </c>
      <c r="K1710">
        <v>0.8</v>
      </c>
      <c r="L1710">
        <v>0.3</v>
      </c>
      <c r="M1710">
        <v>0.7</v>
      </c>
      <c r="N1710">
        <v>482</v>
      </c>
      <c r="O1710">
        <v>145</v>
      </c>
      <c r="P1710">
        <v>0</v>
      </c>
      <c r="Q1710">
        <v>23.13</v>
      </c>
      <c r="R1710" t="s">
        <v>237</v>
      </c>
      <c r="S1710">
        <v>0.66</v>
      </c>
      <c r="T1710">
        <v>0.7</v>
      </c>
    </row>
    <row r="1711" spans="1:21" ht="15" customHeight="1" x14ac:dyDescent="0.25">
      <c r="A1711" t="s">
        <v>19</v>
      </c>
      <c r="B1711" t="s">
        <v>20</v>
      </c>
      <c r="C1711" t="s">
        <v>320</v>
      </c>
      <c r="D1711">
        <v>3</v>
      </c>
      <c r="E1711" t="s">
        <v>140</v>
      </c>
      <c r="F1711" t="s">
        <v>373</v>
      </c>
      <c r="G1711">
        <v>0</v>
      </c>
      <c r="H1711">
        <v>0</v>
      </c>
      <c r="I1711">
        <f>100-J1711</f>
        <v>0</v>
      </c>
      <c r="J1711">
        <f>100-G1711-H1711</f>
        <v>100</v>
      </c>
      <c r="K1711" t="s">
        <v>19</v>
      </c>
      <c r="L1711" t="s">
        <v>19</v>
      </c>
      <c r="M1711" t="s">
        <v>19</v>
      </c>
      <c r="N1711" t="s">
        <v>19</v>
      </c>
      <c r="O1711" t="s">
        <v>19</v>
      </c>
      <c r="P1711" t="s">
        <v>19</v>
      </c>
      <c r="Q1711">
        <f>I1711</f>
        <v>0</v>
      </c>
      <c r="R1711" t="s">
        <v>19</v>
      </c>
      <c r="S1711" t="s">
        <v>19</v>
      </c>
      <c r="T1711" t="s">
        <v>19</v>
      </c>
    </row>
    <row r="1712" spans="1:21" ht="15" customHeight="1" x14ac:dyDescent="0.25">
      <c r="A1712" s="2">
        <v>45323.606493055559</v>
      </c>
      <c r="B1712" t="s">
        <v>309</v>
      </c>
      <c r="C1712" t="s">
        <v>322</v>
      </c>
      <c r="D1712">
        <v>3</v>
      </c>
      <c r="E1712" t="s">
        <v>140</v>
      </c>
      <c r="F1712" t="s">
        <v>373</v>
      </c>
      <c r="G1712">
        <f>(O1712/(N1712+O1712+P1712))*100</f>
        <v>19.639934533551553</v>
      </c>
      <c r="H1712">
        <f>(P1712/(O1712+P1712+N1712))*100</f>
        <v>0.16366612111292964</v>
      </c>
      <c r="I1712">
        <f>((O1712+P1712)/(P1712+O1712+N1712))*100</f>
        <v>19.803600654664486</v>
      </c>
      <c r="J1712">
        <f>(N1712/(P1712+O1712+N1712))*100</f>
        <v>80.196399345335507</v>
      </c>
      <c r="K1712">
        <v>0.8</v>
      </c>
      <c r="L1712">
        <v>0.3</v>
      </c>
      <c r="M1712">
        <v>0.7</v>
      </c>
      <c r="N1712">
        <v>490</v>
      </c>
      <c r="O1712">
        <v>120</v>
      </c>
      <c r="P1712">
        <v>1</v>
      </c>
      <c r="Q1712">
        <v>19.8</v>
      </c>
      <c r="R1712" t="s">
        <v>340</v>
      </c>
      <c r="S1712">
        <v>2.59</v>
      </c>
      <c r="T1712">
        <v>2.9</v>
      </c>
      <c r="U1712">
        <v>97</v>
      </c>
    </row>
    <row r="1713" spans="1:21" ht="15" customHeight="1" x14ac:dyDescent="0.25">
      <c r="A1713" s="2">
        <v>45323.610775462963</v>
      </c>
      <c r="B1713" t="s">
        <v>309</v>
      </c>
      <c r="C1713" t="s">
        <v>322</v>
      </c>
      <c r="D1713">
        <v>3</v>
      </c>
      <c r="E1713" t="s">
        <v>140</v>
      </c>
      <c r="F1713" t="s">
        <v>373</v>
      </c>
      <c r="G1713">
        <f>(O1713/(N1713+O1713+P1713))*100</f>
        <v>22.79874213836478</v>
      </c>
      <c r="H1713">
        <f>(P1713/(O1713+P1713+N1713))*100</f>
        <v>0.15723270440251574</v>
      </c>
      <c r="I1713">
        <f>((O1713+P1713)/(P1713+O1713+N1713))*100</f>
        <v>22.955974842767297</v>
      </c>
      <c r="J1713">
        <f>(N1713/(P1713+O1713+N1713))*100</f>
        <v>77.04402515723271</v>
      </c>
      <c r="K1713">
        <v>0.7</v>
      </c>
      <c r="L1713">
        <v>0.3</v>
      </c>
      <c r="M1713">
        <v>0.7</v>
      </c>
      <c r="N1713">
        <v>490</v>
      </c>
      <c r="O1713">
        <v>145</v>
      </c>
      <c r="P1713">
        <v>1</v>
      </c>
      <c r="Q1713">
        <v>22.96</v>
      </c>
      <c r="R1713" t="s">
        <v>366</v>
      </c>
      <c r="S1713">
        <v>2.59</v>
      </c>
      <c r="T1713">
        <v>2.9</v>
      </c>
      <c r="U1713">
        <v>72</v>
      </c>
    </row>
    <row r="1714" spans="1:21" ht="15" customHeight="1" x14ac:dyDescent="0.25">
      <c r="A1714" s="2">
        <v>45325.171990740739</v>
      </c>
      <c r="B1714" t="s">
        <v>309</v>
      </c>
      <c r="C1714" t="s">
        <v>368</v>
      </c>
      <c r="D1714">
        <v>2</v>
      </c>
      <c r="E1714" t="s">
        <v>140</v>
      </c>
      <c r="F1714" t="s">
        <v>373</v>
      </c>
      <c r="G1714">
        <f>(O1714/(N1714+O1714+P1714))*100</f>
        <v>15.141955835962145</v>
      </c>
      <c r="H1714">
        <f>(P1714/(O1714+P1714+N1714))*100</f>
        <v>0</v>
      </c>
      <c r="I1714">
        <v>15.14</v>
      </c>
      <c r="J1714">
        <f>(N1714/(P1714+O1714+N1714))*100</f>
        <v>84.858044164037864</v>
      </c>
      <c r="K1714">
        <v>0.8</v>
      </c>
      <c r="L1714">
        <v>0.3</v>
      </c>
      <c r="M1714">
        <v>0.7</v>
      </c>
      <c r="N1714">
        <v>538</v>
      </c>
      <c r="O1714">
        <v>96</v>
      </c>
      <c r="P1714">
        <v>0</v>
      </c>
      <c r="Q1714">
        <v>15.14</v>
      </c>
      <c r="R1714" t="s">
        <v>256</v>
      </c>
      <c r="S1714">
        <v>0.49</v>
      </c>
      <c r="T1714">
        <v>0.51</v>
      </c>
    </row>
    <row r="1715" spans="1:21" ht="15" customHeight="1" x14ac:dyDescent="0.25">
      <c r="A1715" t="s">
        <v>19</v>
      </c>
      <c r="B1715" t="s">
        <v>20</v>
      </c>
      <c r="C1715" t="s">
        <v>306</v>
      </c>
      <c r="D1715">
        <v>3</v>
      </c>
      <c r="E1715" t="s">
        <v>141</v>
      </c>
      <c r="F1715" t="s">
        <v>373</v>
      </c>
      <c r="G1715" t="s">
        <v>321</v>
      </c>
      <c r="H1715" t="s">
        <v>321</v>
      </c>
      <c r="I1715">
        <v>10</v>
      </c>
      <c r="J1715">
        <v>90</v>
      </c>
      <c r="K1715" t="s">
        <v>19</v>
      </c>
      <c r="L1715" t="s">
        <v>19</v>
      </c>
      <c r="M1715" t="s">
        <v>19</v>
      </c>
      <c r="N1715" t="s">
        <v>19</v>
      </c>
      <c r="O1715" t="s">
        <v>19</v>
      </c>
      <c r="P1715" t="s">
        <v>19</v>
      </c>
      <c r="Q1715">
        <f>I1715</f>
        <v>10</v>
      </c>
      <c r="R1715" t="s">
        <v>19</v>
      </c>
      <c r="S1715" t="s">
        <v>19</v>
      </c>
      <c r="T1715" t="s">
        <v>19</v>
      </c>
    </row>
    <row r="1716" spans="1:21" ht="15" customHeight="1" x14ac:dyDescent="0.25">
      <c r="A1716" t="s">
        <v>19</v>
      </c>
      <c r="B1716" t="s">
        <v>20</v>
      </c>
      <c r="C1716" t="s">
        <v>308</v>
      </c>
      <c r="D1716">
        <v>3</v>
      </c>
      <c r="E1716" t="s">
        <v>141</v>
      </c>
      <c r="F1716" t="s">
        <v>373</v>
      </c>
      <c r="G1716">
        <v>9</v>
      </c>
      <c r="H1716">
        <v>3</v>
      </c>
      <c r="I1716">
        <f>G1716+H1716</f>
        <v>12</v>
      </c>
      <c r="J1716">
        <f>100-G1716-H1716</f>
        <v>88</v>
      </c>
      <c r="K1716" t="s">
        <v>19</v>
      </c>
      <c r="L1716" t="s">
        <v>19</v>
      </c>
      <c r="M1716" t="s">
        <v>19</v>
      </c>
      <c r="N1716" t="s">
        <v>19</v>
      </c>
      <c r="O1716" t="s">
        <v>19</v>
      </c>
      <c r="P1716" t="s">
        <v>19</v>
      </c>
      <c r="Q1716">
        <f>I1716</f>
        <v>12</v>
      </c>
      <c r="R1716" t="s">
        <v>19</v>
      </c>
      <c r="S1716" t="s">
        <v>19</v>
      </c>
      <c r="T1716" t="s">
        <v>19</v>
      </c>
    </row>
    <row r="1717" spans="1:21" ht="15" customHeight="1" x14ac:dyDescent="0.25">
      <c r="A1717" t="s">
        <v>19</v>
      </c>
      <c r="B1717" t="s">
        <v>20</v>
      </c>
      <c r="C1717" t="s">
        <v>22</v>
      </c>
      <c r="D1717">
        <v>3</v>
      </c>
      <c r="E1717" t="s">
        <v>141</v>
      </c>
      <c r="F1717" t="s">
        <v>373</v>
      </c>
      <c r="G1717">
        <v>5</v>
      </c>
      <c r="H1717">
        <v>0</v>
      </c>
      <c r="I1717">
        <f>G1717+H1717</f>
        <v>5</v>
      </c>
      <c r="J1717">
        <f>100-G1717-H1717</f>
        <v>95</v>
      </c>
      <c r="K1717" t="s">
        <v>19</v>
      </c>
      <c r="L1717" t="s">
        <v>19</v>
      </c>
      <c r="M1717" t="s">
        <v>19</v>
      </c>
      <c r="N1717" t="s">
        <v>19</v>
      </c>
      <c r="O1717" t="s">
        <v>19</v>
      </c>
      <c r="P1717" t="s">
        <v>19</v>
      </c>
      <c r="Q1717">
        <f>I1717</f>
        <v>5</v>
      </c>
      <c r="R1717" t="s">
        <v>19</v>
      </c>
      <c r="S1717" t="s">
        <v>19</v>
      </c>
      <c r="T1717" t="s">
        <v>19</v>
      </c>
    </row>
    <row r="1718" spans="1:21" ht="15" customHeight="1" x14ac:dyDescent="0.25">
      <c r="A1718" t="s">
        <v>19</v>
      </c>
      <c r="B1718" t="s">
        <v>20</v>
      </c>
      <c r="C1718" t="s">
        <v>305</v>
      </c>
      <c r="D1718">
        <v>3</v>
      </c>
      <c r="E1718" t="s">
        <v>141</v>
      </c>
      <c r="F1718" t="s">
        <v>373</v>
      </c>
      <c r="G1718">
        <v>4</v>
      </c>
      <c r="H1718">
        <v>1</v>
      </c>
      <c r="I1718">
        <f>G1718+H1718</f>
        <v>5</v>
      </c>
      <c r="J1718">
        <f>100-G1718-H1718</f>
        <v>95</v>
      </c>
      <c r="K1718" t="s">
        <v>19</v>
      </c>
      <c r="L1718" t="s">
        <v>19</v>
      </c>
      <c r="M1718" t="s">
        <v>19</v>
      </c>
      <c r="N1718" t="s">
        <v>19</v>
      </c>
      <c r="O1718" t="s">
        <v>19</v>
      </c>
      <c r="P1718" t="s">
        <v>19</v>
      </c>
      <c r="Q1718">
        <f>I1718</f>
        <v>5</v>
      </c>
      <c r="R1718" t="s">
        <v>19</v>
      </c>
      <c r="S1718" t="s">
        <v>19</v>
      </c>
      <c r="T1718" t="s">
        <v>19</v>
      </c>
    </row>
    <row r="1719" spans="1:21" ht="15" customHeight="1" x14ac:dyDescent="0.25">
      <c r="A1719" t="s">
        <v>19</v>
      </c>
      <c r="B1719" t="s">
        <v>20</v>
      </c>
      <c r="C1719" t="s">
        <v>307</v>
      </c>
      <c r="D1719">
        <v>3</v>
      </c>
      <c r="E1719" t="s">
        <v>141</v>
      </c>
      <c r="F1719" t="s">
        <v>373</v>
      </c>
      <c r="G1719">
        <v>3</v>
      </c>
      <c r="H1719">
        <v>0</v>
      </c>
      <c r="I1719">
        <f>G1719+H1719</f>
        <v>3</v>
      </c>
      <c r="J1719">
        <f>100-G1719-H1719</f>
        <v>97</v>
      </c>
      <c r="K1719" t="s">
        <v>19</v>
      </c>
      <c r="L1719" t="s">
        <v>19</v>
      </c>
      <c r="M1719" t="s">
        <v>19</v>
      </c>
      <c r="N1719" t="s">
        <v>19</v>
      </c>
      <c r="O1719" t="s">
        <v>19</v>
      </c>
      <c r="P1719" t="s">
        <v>19</v>
      </c>
      <c r="Q1719">
        <f>I1719</f>
        <v>3</v>
      </c>
      <c r="R1719" t="s">
        <v>19</v>
      </c>
      <c r="S1719" t="s">
        <v>19</v>
      </c>
      <c r="T1719" t="s">
        <v>19</v>
      </c>
    </row>
    <row r="1720" spans="1:21" ht="15" customHeight="1" x14ac:dyDescent="0.25">
      <c r="A1720" s="2">
        <v>45253.759722222225</v>
      </c>
      <c r="B1720" t="s">
        <v>309</v>
      </c>
      <c r="C1720" t="s">
        <v>213</v>
      </c>
      <c r="D1720">
        <v>3</v>
      </c>
      <c r="E1720" t="s">
        <v>141</v>
      </c>
      <c r="F1720" t="s">
        <v>373</v>
      </c>
      <c r="G1720">
        <v>2.5</v>
      </c>
      <c r="H1720">
        <v>0.5</v>
      </c>
      <c r="I1720">
        <v>3</v>
      </c>
      <c r="J1720">
        <v>97</v>
      </c>
      <c r="K1720">
        <v>0.8</v>
      </c>
      <c r="L1720">
        <v>0.2</v>
      </c>
      <c r="M1720">
        <v>0.7</v>
      </c>
      <c r="N1720">
        <v>582</v>
      </c>
      <c r="O1720">
        <v>15</v>
      </c>
      <c r="P1720">
        <v>3</v>
      </c>
      <c r="Q1720">
        <v>3</v>
      </c>
      <c r="R1720" t="s">
        <v>238</v>
      </c>
      <c r="S1720">
        <v>2.9</v>
      </c>
      <c r="T1720">
        <v>3.21</v>
      </c>
    </row>
    <row r="1721" spans="1:21" ht="15" customHeight="1" x14ac:dyDescent="0.25">
      <c r="A1721" s="2">
        <v>45253.950694444444</v>
      </c>
      <c r="B1721" t="s">
        <v>309</v>
      </c>
      <c r="C1721" t="s">
        <v>215</v>
      </c>
      <c r="D1721">
        <v>2</v>
      </c>
      <c r="E1721" t="s">
        <v>141</v>
      </c>
      <c r="F1721" t="s">
        <v>373</v>
      </c>
      <c r="G1721">
        <v>2.529761905</v>
      </c>
      <c r="H1721">
        <v>0</v>
      </c>
      <c r="I1721">
        <v>2.529761905</v>
      </c>
      <c r="J1721">
        <v>97.470238100000003</v>
      </c>
      <c r="K1721">
        <v>0.8</v>
      </c>
      <c r="L1721">
        <v>0.2</v>
      </c>
      <c r="M1721">
        <v>0.7</v>
      </c>
      <c r="N1721">
        <v>655</v>
      </c>
      <c r="O1721">
        <v>17</v>
      </c>
      <c r="P1721">
        <v>0</v>
      </c>
      <c r="Q1721">
        <v>2.5299999999999998</v>
      </c>
      <c r="R1721" t="s">
        <v>243</v>
      </c>
      <c r="S1721">
        <v>0.11</v>
      </c>
      <c r="T1721">
        <v>0.12</v>
      </c>
    </row>
    <row r="1722" spans="1:21" ht="15" customHeight="1" x14ac:dyDescent="0.25">
      <c r="A1722" s="2">
        <v>45254.126388888886</v>
      </c>
      <c r="B1722" t="s">
        <v>309</v>
      </c>
      <c r="C1722" t="s">
        <v>217</v>
      </c>
      <c r="D1722">
        <v>2</v>
      </c>
      <c r="E1722" t="s">
        <v>141</v>
      </c>
      <c r="F1722" t="s">
        <v>373</v>
      </c>
      <c r="G1722">
        <v>8.895705521</v>
      </c>
      <c r="H1722">
        <v>0</v>
      </c>
      <c r="I1722">
        <v>8.895705521</v>
      </c>
      <c r="J1722">
        <v>91.104294479999993</v>
      </c>
      <c r="K1722">
        <v>0.8</v>
      </c>
      <c r="L1722">
        <v>0.2</v>
      </c>
      <c r="M1722">
        <v>0.7</v>
      </c>
      <c r="N1722">
        <v>594</v>
      </c>
      <c r="O1722">
        <v>58</v>
      </c>
      <c r="P1722">
        <v>0</v>
      </c>
      <c r="Q1722">
        <v>8.9</v>
      </c>
      <c r="R1722" t="s">
        <v>225</v>
      </c>
      <c r="S1722">
        <v>0.28999999999999998</v>
      </c>
      <c r="T1722">
        <v>0.31</v>
      </c>
    </row>
    <row r="1723" spans="1:21" ht="15" customHeight="1" x14ac:dyDescent="0.25">
      <c r="A1723" s="2">
        <v>45316.462500000001</v>
      </c>
      <c r="B1723" t="s">
        <v>309</v>
      </c>
      <c r="C1723" t="s">
        <v>219</v>
      </c>
      <c r="D1723">
        <v>3</v>
      </c>
      <c r="E1723" t="s">
        <v>141</v>
      </c>
      <c r="F1723" t="s">
        <v>373</v>
      </c>
      <c r="G1723">
        <v>2.637889688</v>
      </c>
      <c r="H1723">
        <v>0.95923261400000004</v>
      </c>
      <c r="I1723">
        <v>3.5971223019999998</v>
      </c>
      <c r="J1723">
        <v>96.402877700000005</v>
      </c>
      <c r="K1723">
        <v>0.8</v>
      </c>
      <c r="L1723">
        <v>0.2</v>
      </c>
      <c r="M1723">
        <v>0.7</v>
      </c>
      <c r="N1723">
        <v>402</v>
      </c>
      <c r="O1723">
        <v>11</v>
      </c>
      <c r="P1723">
        <v>4</v>
      </c>
      <c r="Q1723">
        <v>3.6</v>
      </c>
      <c r="R1723" t="s">
        <v>220</v>
      </c>
      <c r="S1723">
        <v>3.08</v>
      </c>
      <c r="T1723">
        <v>4.3099999999999996</v>
      </c>
    </row>
    <row r="1724" spans="1:21" ht="15" customHeight="1" x14ac:dyDescent="0.25">
      <c r="A1724" s="2">
        <v>45320.986805555556</v>
      </c>
      <c r="B1724" t="s">
        <v>309</v>
      </c>
      <c r="C1724" t="s">
        <v>221</v>
      </c>
      <c r="D1724">
        <v>2</v>
      </c>
      <c r="E1724" t="s">
        <v>141</v>
      </c>
      <c r="F1724" t="s">
        <v>373</v>
      </c>
      <c r="G1724">
        <v>5.6782334380000004</v>
      </c>
      <c r="H1724">
        <v>0</v>
      </c>
      <c r="I1724">
        <v>5.6782334380000004</v>
      </c>
      <c r="J1724">
        <v>94.32176656</v>
      </c>
      <c r="K1724">
        <v>0.8</v>
      </c>
      <c r="L1724">
        <v>0.3</v>
      </c>
      <c r="M1724">
        <v>0.7</v>
      </c>
      <c r="N1724">
        <v>598</v>
      </c>
      <c r="O1724">
        <v>36</v>
      </c>
      <c r="P1724">
        <v>0</v>
      </c>
      <c r="Q1724">
        <v>5.68</v>
      </c>
      <c r="R1724" t="s">
        <v>222</v>
      </c>
      <c r="S1724">
        <v>0.22</v>
      </c>
      <c r="T1724">
        <v>0.23</v>
      </c>
    </row>
    <row r="1725" spans="1:21" ht="15" customHeight="1" x14ac:dyDescent="0.25">
      <c r="A1725" t="s">
        <v>19</v>
      </c>
      <c r="B1725" t="s">
        <v>20</v>
      </c>
      <c r="C1725" t="s">
        <v>320</v>
      </c>
      <c r="D1725">
        <v>3</v>
      </c>
      <c r="E1725" t="s">
        <v>141</v>
      </c>
      <c r="F1725" t="s">
        <v>373</v>
      </c>
      <c r="G1725">
        <v>5</v>
      </c>
      <c r="H1725">
        <v>0</v>
      </c>
      <c r="I1725">
        <f>100-J1725</f>
        <v>5</v>
      </c>
      <c r="J1725">
        <f>100-G1725-H1725</f>
        <v>95</v>
      </c>
      <c r="K1725" t="s">
        <v>19</v>
      </c>
      <c r="L1725" t="s">
        <v>19</v>
      </c>
      <c r="M1725" t="s">
        <v>19</v>
      </c>
      <c r="N1725" t="s">
        <v>19</v>
      </c>
      <c r="O1725" t="s">
        <v>19</v>
      </c>
      <c r="P1725" t="s">
        <v>19</v>
      </c>
      <c r="Q1725">
        <f>I1725</f>
        <v>5</v>
      </c>
      <c r="R1725" t="s">
        <v>19</v>
      </c>
      <c r="S1725" t="s">
        <v>19</v>
      </c>
      <c r="T1725" t="s">
        <v>19</v>
      </c>
    </row>
    <row r="1726" spans="1:21" ht="15" customHeight="1" x14ac:dyDescent="0.25">
      <c r="A1726" s="2">
        <v>45323.608229166668</v>
      </c>
      <c r="B1726" t="s">
        <v>309</v>
      </c>
      <c r="C1726" t="s">
        <v>322</v>
      </c>
      <c r="D1726">
        <v>3</v>
      </c>
      <c r="E1726" t="s">
        <v>141</v>
      </c>
      <c r="F1726" t="s">
        <v>373</v>
      </c>
      <c r="G1726">
        <f>(O1726/(N1726+O1726+P1726))*100</f>
        <v>6.2801932367149762</v>
      </c>
      <c r="H1726">
        <f>(P1726/(O1726+P1726+N1726))*100</f>
        <v>0.64412238325281801</v>
      </c>
      <c r="I1726">
        <f>((O1726+P1726)/(P1726+O1726+N1726))*100</f>
        <v>6.9243156199677944</v>
      </c>
      <c r="J1726">
        <f>(N1726/(P1726+O1726+N1726))*100</f>
        <v>93.075684380032214</v>
      </c>
      <c r="K1726">
        <v>0.8</v>
      </c>
      <c r="L1726">
        <v>0.3</v>
      </c>
      <c r="M1726">
        <v>0.7</v>
      </c>
      <c r="N1726">
        <v>578</v>
      </c>
      <c r="O1726">
        <v>39</v>
      </c>
      <c r="P1726">
        <v>4</v>
      </c>
      <c r="Q1726">
        <v>6.92</v>
      </c>
      <c r="R1726" t="s">
        <v>341</v>
      </c>
      <c r="S1726">
        <v>2.66</v>
      </c>
      <c r="T1726">
        <v>3.11</v>
      </c>
      <c r="U1726">
        <v>69</v>
      </c>
    </row>
    <row r="1727" spans="1:21" ht="15" customHeight="1" x14ac:dyDescent="0.25">
      <c r="A1727" s="2">
        <v>45323.612870370373</v>
      </c>
      <c r="B1727" t="s">
        <v>309</v>
      </c>
      <c r="C1727" t="s">
        <v>322</v>
      </c>
      <c r="D1727">
        <v>3</v>
      </c>
      <c r="E1727" t="s">
        <v>141</v>
      </c>
      <c r="F1727" t="s">
        <v>373</v>
      </c>
      <c r="G1727">
        <f>(O1727/(N1727+O1727+P1727))*100</f>
        <v>8.2018927444794958</v>
      </c>
      <c r="H1727">
        <f>(P1727/(O1727+P1727+N1727))*100</f>
        <v>0.94637223974763407</v>
      </c>
      <c r="I1727">
        <f>((O1727+P1727)/(P1727+O1727+N1727))*100</f>
        <v>9.1482649842271293</v>
      </c>
      <c r="J1727">
        <f>(N1727/(P1727+O1727+N1727))*100</f>
        <v>90.851735015772874</v>
      </c>
      <c r="K1727">
        <v>0.7</v>
      </c>
      <c r="L1727">
        <v>0.3</v>
      </c>
      <c r="M1727">
        <v>0.7</v>
      </c>
      <c r="N1727">
        <v>576</v>
      </c>
      <c r="O1727">
        <v>52</v>
      </c>
      <c r="P1727">
        <v>6</v>
      </c>
      <c r="Q1727">
        <v>9.15</v>
      </c>
      <c r="R1727" t="s">
        <v>350</v>
      </c>
      <c r="S1727">
        <v>2.66</v>
      </c>
      <c r="T1727">
        <v>3.11</v>
      </c>
      <c r="U1727">
        <v>56</v>
      </c>
    </row>
    <row r="1728" spans="1:21" ht="15" customHeight="1" x14ac:dyDescent="0.25">
      <c r="A1728" s="2">
        <v>45325.173414351855</v>
      </c>
      <c r="B1728" t="s">
        <v>309</v>
      </c>
      <c r="C1728" t="s">
        <v>368</v>
      </c>
      <c r="D1728">
        <v>2</v>
      </c>
      <c r="E1728" t="s">
        <v>141</v>
      </c>
      <c r="F1728" t="s">
        <v>373</v>
      </c>
      <c r="G1728">
        <f>(O1728/(N1728+O1728+P1728))*100</f>
        <v>10.452961672473867</v>
      </c>
      <c r="H1728">
        <f>(P1728/(O1728+P1728+N1728))*100</f>
        <v>0</v>
      </c>
      <c r="I1728">
        <v>10.45</v>
      </c>
      <c r="J1728">
        <f>(N1728/(P1728+O1728+N1728))*100</f>
        <v>89.547038327526124</v>
      </c>
      <c r="K1728">
        <v>0.8</v>
      </c>
      <c r="L1728">
        <v>0.3</v>
      </c>
      <c r="M1728">
        <v>0.7</v>
      </c>
      <c r="N1728">
        <v>514</v>
      </c>
      <c r="O1728">
        <v>60</v>
      </c>
      <c r="P1728">
        <v>0</v>
      </c>
      <c r="Q1728">
        <v>10.45</v>
      </c>
      <c r="R1728" t="s">
        <v>347</v>
      </c>
      <c r="S1728">
        <v>0.4</v>
      </c>
      <c r="T1728">
        <v>0.42</v>
      </c>
    </row>
    <row r="1729" spans="1:21" ht="15" customHeight="1" x14ac:dyDescent="0.25">
      <c r="A1729" t="s">
        <v>19</v>
      </c>
      <c r="B1729" t="s">
        <v>20</v>
      </c>
      <c r="C1729" t="s">
        <v>308</v>
      </c>
      <c r="D1729">
        <v>3</v>
      </c>
      <c r="E1729" t="s">
        <v>142</v>
      </c>
      <c r="F1729" t="s">
        <v>388</v>
      </c>
      <c r="G1729">
        <v>50</v>
      </c>
      <c r="H1729">
        <v>20</v>
      </c>
      <c r="I1729">
        <f>G1729+H1729</f>
        <v>70</v>
      </c>
      <c r="J1729">
        <f>100-G1729-H1729</f>
        <v>30</v>
      </c>
      <c r="K1729" t="s">
        <v>19</v>
      </c>
      <c r="L1729" t="s">
        <v>19</v>
      </c>
      <c r="M1729" t="s">
        <v>19</v>
      </c>
      <c r="N1729" t="s">
        <v>19</v>
      </c>
      <c r="O1729" t="s">
        <v>19</v>
      </c>
      <c r="P1729" t="s">
        <v>19</v>
      </c>
      <c r="Q1729">
        <f>I1729</f>
        <v>70</v>
      </c>
      <c r="R1729" t="s">
        <v>19</v>
      </c>
      <c r="S1729" t="s">
        <v>19</v>
      </c>
      <c r="T1729" t="s">
        <v>19</v>
      </c>
    </row>
    <row r="1730" spans="1:21" ht="15" customHeight="1" x14ac:dyDescent="0.25">
      <c r="A1730" t="s">
        <v>19</v>
      </c>
      <c r="B1730" t="s">
        <v>20</v>
      </c>
      <c r="C1730" t="s">
        <v>22</v>
      </c>
      <c r="D1730">
        <v>3</v>
      </c>
      <c r="E1730" t="s">
        <v>142</v>
      </c>
      <c r="F1730" t="s">
        <v>388</v>
      </c>
      <c r="G1730">
        <v>70</v>
      </c>
      <c r="H1730">
        <v>5</v>
      </c>
      <c r="I1730">
        <f>G1730+H1730</f>
        <v>75</v>
      </c>
      <c r="J1730">
        <f>100-G1730-H1730</f>
        <v>25</v>
      </c>
      <c r="K1730" t="s">
        <v>19</v>
      </c>
      <c r="L1730" t="s">
        <v>19</v>
      </c>
      <c r="M1730" t="s">
        <v>19</v>
      </c>
      <c r="N1730" t="s">
        <v>19</v>
      </c>
      <c r="O1730" t="s">
        <v>19</v>
      </c>
      <c r="P1730" t="s">
        <v>19</v>
      </c>
      <c r="Q1730">
        <f>I1730</f>
        <v>75</v>
      </c>
      <c r="R1730" t="s">
        <v>19</v>
      </c>
      <c r="S1730" t="s">
        <v>19</v>
      </c>
      <c r="T1730" t="s">
        <v>19</v>
      </c>
    </row>
    <row r="1731" spans="1:21" ht="15" customHeight="1" x14ac:dyDescent="0.25">
      <c r="A1731" t="s">
        <v>19</v>
      </c>
      <c r="B1731" t="s">
        <v>20</v>
      </c>
      <c r="C1731" t="s">
        <v>305</v>
      </c>
      <c r="D1731">
        <v>3</v>
      </c>
      <c r="E1731" t="s">
        <v>142</v>
      </c>
      <c r="F1731" t="s">
        <v>388</v>
      </c>
      <c r="G1731">
        <v>40</v>
      </c>
      <c r="H1731">
        <v>10</v>
      </c>
      <c r="I1731">
        <f>G1731+H1731</f>
        <v>50</v>
      </c>
      <c r="J1731">
        <f>100-G1731-H1731</f>
        <v>50</v>
      </c>
      <c r="K1731" t="s">
        <v>19</v>
      </c>
      <c r="L1731" t="s">
        <v>19</v>
      </c>
      <c r="M1731" t="s">
        <v>19</v>
      </c>
      <c r="N1731" t="s">
        <v>19</v>
      </c>
      <c r="O1731" t="s">
        <v>19</v>
      </c>
      <c r="P1731" t="s">
        <v>19</v>
      </c>
      <c r="Q1731">
        <f>I1731</f>
        <v>50</v>
      </c>
      <c r="R1731" t="s">
        <v>19</v>
      </c>
      <c r="S1731" t="s">
        <v>19</v>
      </c>
      <c r="T1731" t="s">
        <v>19</v>
      </c>
    </row>
    <row r="1732" spans="1:21" ht="15" customHeight="1" x14ac:dyDescent="0.25">
      <c r="A1732" t="s">
        <v>19</v>
      </c>
      <c r="B1732" t="s">
        <v>20</v>
      </c>
      <c r="C1732" t="s">
        <v>307</v>
      </c>
      <c r="D1732">
        <v>3</v>
      </c>
      <c r="E1732" t="s">
        <v>142</v>
      </c>
      <c r="F1732" t="s">
        <v>388</v>
      </c>
      <c r="G1732">
        <v>25</v>
      </c>
      <c r="H1732">
        <v>5</v>
      </c>
      <c r="I1732">
        <f>G1732+H1732</f>
        <v>30</v>
      </c>
      <c r="J1732">
        <f>100-G1732-H1732</f>
        <v>70</v>
      </c>
      <c r="K1732" t="s">
        <v>19</v>
      </c>
      <c r="L1732" t="s">
        <v>19</v>
      </c>
      <c r="M1732" t="s">
        <v>19</v>
      </c>
      <c r="N1732" t="s">
        <v>19</v>
      </c>
      <c r="O1732" t="s">
        <v>19</v>
      </c>
      <c r="P1732" t="s">
        <v>19</v>
      </c>
      <c r="Q1732">
        <f>I1732</f>
        <v>30</v>
      </c>
      <c r="R1732" t="s">
        <v>19</v>
      </c>
      <c r="S1732" t="s">
        <v>19</v>
      </c>
      <c r="T1732" t="s">
        <v>19</v>
      </c>
    </row>
    <row r="1733" spans="1:21" ht="15" customHeight="1" x14ac:dyDescent="0.25">
      <c r="A1733" s="2">
        <v>45253.597916666666</v>
      </c>
      <c r="B1733" t="s">
        <v>309</v>
      </c>
      <c r="C1733" t="s">
        <v>213</v>
      </c>
      <c r="D1733">
        <v>3</v>
      </c>
      <c r="E1733" t="s">
        <v>142</v>
      </c>
      <c r="F1733" t="s">
        <v>388</v>
      </c>
      <c r="G1733">
        <v>40</v>
      </c>
      <c r="H1733">
        <v>23.01075269</v>
      </c>
      <c r="I1733">
        <v>63.010752689999997</v>
      </c>
      <c r="J1733">
        <v>36.989247310000003</v>
      </c>
      <c r="K1733">
        <v>0.8</v>
      </c>
      <c r="L1733">
        <v>0.2</v>
      </c>
      <c r="M1733">
        <v>0.7</v>
      </c>
      <c r="N1733">
        <v>172</v>
      </c>
      <c r="O1733">
        <v>186</v>
      </c>
      <c r="P1733">
        <v>107</v>
      </c>
      <c r="Q1733">
        <v>63.01</v>
      </c>
      <c r="R1733" t="s">
        <v>223</v>
      </c>
      <c r="S1733">
        <v>2.76</v>
      </c>
      <c r="T1733">
        <v>2.89</v>
      </c>
    </row>
    <row r="1734" spans="1:21" ht="15" customHeight="1" x14ac:dyDescent="0.25">
      <c r="A1734" s="2">
        <v>45253.864583333336</v>
      </c>
      <c r="B1734" t="s">
        <v>309</v>
      </c>
      <c r="C1734" t="s">
        <v>215</v>
      </c>
      <c r="D1734">
        <v>2</v>
      </c>
      <c r="E1734" t="s">
        <v>142</v>
      </c>
      <c r="F1734" t="s">
        <v>388</v>
      </c>
      <c r="G1734">
        <v>51.831501830000001</v>
      </c>
      <c r="H1734">
        <v>0</v>
      </c>
      <c r="I1734">
        <v>51.831501830000001</v>
      </c>
      <c r="J1734">
        <v>48.168498169999999</v>
      </c>
      <c r="K1734">
        <v>0.8</v>
      </c>
      <c r="L1734">
        <v>0.2</v>
      </c>
      <c r="M1734">
        <v>0.7</v>
      </c>
      <c r="N1734">
        <v>263</v>
      </c>
      <c r="O1734">
        <v>283</v>
      </c>
      <c r="P1734">
        <v>0</v>
      </c>
      <c r="Q1734">
        <v>51.83</v>
      </c>
      <c r="R1734" t="s">
        <v>220</v>
      </c>
      <c r="S1734">
        <v>1.1499999999999999</v>
      </c>
      <c r="T1734">
        <v>1.25</v>
      </c>
    </row>
    <row r="1735" spans="1:21" ht="15" customHeight="1" x14ac:dyDescent="0.25">
      <c r="A1735" s="2">
        <v>45254.03402777778</v>
      </c>
      <c r="B1735" t="s">
        <v>309</v>
      </c>
      <c r="C1735" t="s">
        <v>217</v>
      </c>
      <c r="D1735">
        <v>2</v>
      </c>
      <c r="E1735" t="s">
        <v>142</v>
      </c>
      <c r="F1735" t="s">
        <v>388</v>
      </c>
      <c r="G1735">
        <v>47.758620690000001</v>
      </c>
      <c r="H1735">
        <v>0</v>
      </c>
      <c r="I1735">
        <v>47.758620690000001</v>
      </c>
      <c r="J1735">
        <v>52.241379309999999</v>
      </c>
      <c r="K1735">
        <v>0.8</v>
      </c>
      <c r="L1735">
        <v>0.2</v>
      </c>
      <c r="M1735">
        <v>0.7</v>
      </c>
      <c r="N1735">
        <v>303</v>
      </c>
      <c r="O1735">
        <v>277</v>
      </c>
      <c r="P1735">
        <v>0</v>
      </c>
      <c r="Q1735">
        <v>47.76</v>
      </c>
      <c r="R1735" t="s">
        <v>228</v>
      </c>
      <c r="S1735">
        <v>1.2</v>
      </c>
      <c r="T1735">
        <v>1.28</v>
      </c>
    </row>
    <row r="1736" spans="1:21" ht="15" customHeight="1" x14ac:dyDescent="0.25">
      <c r="A1736" s="2">
        <v>45316.544444444444</v>
      </c>
      <c r="B1736" t="s">
        <v>309</v>
      </c>
      <c r="C1736" t="s">
        <v>219</v>
      </c>
      <c r="D1736">
        <v>3</v>
      </c>
      <c r="E1736" t="s">
        <v>142</v>
      </c>
      <c r="F1736" t="s">
        <v>388</v>
      </c>
      <c r="G1736">
        <v>41.982507290000001</v>
      </c>
      <c r="H1736">
        <v>18.07580175</v>
      </c>
      <c r="I1736">
        <v>60.058309039999997</v>
      </c>
      <c r="J1736">
        <v>39.941690960000003</v>
      </c>
      <c r="K1736">
        <v>0.8</v>
      </c>
      <c r="L1736">
        <v>0.2</v>
      </c>
      <c r="M1736">
        <v>0.7</v>
      </c>
      <c r="N1736">
        <v>137</v>
      </c>
      <c r="O1736">
        <v>144</v>
      </c>
      <c r="P1736">
        <v>62</v>
      </c>
      <c r="Q1736">
        <v>60.06</v>
      </c>
      <c r="R1736" t="s">
        <v>227</v>
      </c>
      <c r="S1736">
        <v>3.1</v>
      </c>
      <c r="T1736">
        <v>4.28</v>
      </c>
    </row>
    <row r="1737" spans="1:21" ht="15" customHeight="1" x14ac:dyDescent="0.25">
      <c r="A1737" s="2">
        <v>45320.886805555558</v>
      </c>
      <c r="B1737" t="s">
        <v>309</v>
      </c>
      <c r="C1737" t="s">
        <v>221</v>
      </c>
      <c r="D1737">
        <v>2</v>
      </c>
      <c r="E1737" t="s">
        <v>142</v>
      </c>
      <c r="F1737" t="s">
        <v>388</v>
      </c>
      <c r="G1737">
        <v>84.87804878</v>
      </c>
      <c r="H1737">
        <v>0</v>
      </c>
      <c r="I1737">
        <v>84.87804878</v>
      </c>
      <c r="J1737">
        <v>15.12195122</v>
      </c>
      <c r="K1737">
        <v>0.8</v>
      </c>
      <c r="L1737">
        <v>0.3</v>
      </c>
      <c r="M1737">
        <v>0.7</v>
      </c>
      <c r="N1737">
        <v>93</v>
      </c>
      <c r="O1737">
        <v>522</v>
      </c>
      <c r="P1737">
        <v>0</v>
      </c>
      <c r="Q1737">
        <v>84.88</v>
      </c>
      <c r="R1737" t="s">
        <v>293</v>
      </c>
      <c r="S1737">
        <v>2.17</v>
      </c>
      <c r="T1737">
        <v>2.3199999999999998</v>
      </c>
    </row>
    <row r="1738" spans="1:21" ht="15" customHeight="1" x14ac:dyDescent="0.25">
      <c r="A1738" t="s">
        <v>19</v>
      </c>
      <c r="B1738" t="s">
        <v>20</v>
      </c>
      <c r="C1738" t="s">
        <v>306</v>
      </c>
      <c r="D1738">
        <v>3</v>
      </c>
      <c r="E1738" t="s">
        <v>142</v>
      </c>
      <c r="F1738" t="s">
        <v>388</v>
      </c>
      <c r="G1738">
        <v>60</v>
      </c>
      <c r="H1738">
        <v>30</v>
      </c>
      <c r="I1738">
        <f>G1738+H1738</f>
        <v>90</v>
      </c>
      <c r="J1738">
        <f>100-G1738-H1738</f>
        <v>10</v>
      </c>
      <c r="K1738" t="s">
        <v>19</v>
      </c>
      <c r="L1738" t="s">
        <v>19</v>
      </c>
      <c r="M1738" t="s">
        <v>19</v>
      </c>
      <c r="N1738" t="s">
        <v>19</v>
      </c>
      <c r="O1738" t="s">
        <v>19</v>
      </c>
      <c r="P1738" t="s">
        <v>19</v>
      </c>
      <c r="Q1738">
        <f>I1738</f>
        <v>90</v>
      </c>
      <c r="R1738" t="s">
        <v>19</v>
      </c>
      <c r="S1738" t="s">
        <v>19</v>
      </c>
      <c r="T1738" t="s">
        <v>19</v>
      </c>
    </row>
    <row r="1739" spans="1:21" ht="15" customHeight="1" x14ac:dyDescent="0.25">
      <c r="A1739" t="s">
        <v>19</v>
      </c>
      <c r="B1739" t="s">
        <v>20</v>
      </c>
      <c r="C1739" t="s">
        <v>320</v>
      </c>
      <c r="D1739">
        <v>3</v>
      </c>
      <c r="E1739" t="s">
        <v>142</v>
      </c>
      <c r="F1739" t="s">
        <v>388</v>
      </c>
      <c r="G1739">
        <v>0</v>
      </c>
      <c r="H1739">
        <v>0</v>
      </c>
      <c r="I1739">
        <f>100-J1739</f>
        <v>0</v>
      </c>
      <c r="J1739">
        <f>100-G1739-H1739</f>
        <v>100</v>
      </c>
      <c r="K1739" t="s">
        <v>19</v>
      </c>
      <c r="L1739" t="s">
        <v>19</v>
      </c>
      <c r="M1739" t="s">
        <v>19</v>
      </c>
      <c r="N1739" t="s">
        <v>19</v>
      </c>
      <c r="O1739" t="s">
        <v>19</v>
      </c>
      <c r="P1739" t="s">
        <v>19</v>
      </c>
      <c r="Q1739">
        <f>I1739</f>
        <v>0</v>
      </c>
      <c r="R1739" t="s">
        <v>19</v>
      </c>
      <c r="S1739" t="s">
        <v>19</v>
      </c>
      <c r="T1739" t="s">
        <v>19</v>
      </c>
    </row>
    <row r="1740" spans="1:21" ht="15" customHeight="1" x14ac:dyDescent="0.25">
      <c r="A1740" s="2">
        <v>45323.608958333331</v>
      </c>
      <c r="B1740" t="s">
        <v>309</v>
      </c>
      <c r="C1740" t="s">
        <v>322</v>
      </c>
      <c r="D1740">
        <v>3</v>
      </c>
      <c r="E1740" t="s">
        <v>142</v>
      </c>
      <c r="F1740" t="s">
        <v>388</v>
      </c>
      <c r="G1740">
        <f>(O1740/(N1740+O1740+P1740))*100</f>
        <v>70.848708487084863</v>
      </c>
      <c r="H1740">
        <f>(P1740/(O1740+P1740+N1740))*100</f>
        <v>5.3505535055350553</v>
      </c>
      <c r="I1740">
        <v>76.2</v>
      </c>
      <c r="J1740">
        <f>(N1740/(P1740+O1740+N1740))*100</f>
        <v>23.800738007380073</v>
      </c>
      <c r="K1740">
        <v>0.8</v>
      </c>
      <c r="L1740">
        <v>0.3</v>
      </c>
      <c r="M1740">
        <v>0.7</v>
      </c>
      <c r="N1740">
        <v>129</v>
      </c>
      <c r="O1740">
        <v>384</v>
      </c>
      <c r="P1740">
        <v>29</v>
      </c>
      <c r="Q1740">
        <v>76.2</v>
      </c>
      <c r="R1740" t="s">
        <v>356</v>
      </c>
      <c r="S1740">
        <v>2.54</v>
      </c>
      <c r="T1740">
        <v>3.23</v>
      </c>
      <c r="U1740">
        <v>114</v>
      </c>
    </row>
    <row r="1741" spans="1:21" ht="15" customHeight="1" x14ac:dyDescent="0.25">
      <c r="A1741" s="2">
        <v>45323.606076388889</v>
      </c>
      <c r="B1741" t="s">
        <v>309</v>
      </c>
      <c r="C1741" t="s">
        <v>322</v>
      </c>
      <c r="D1741">
        <v>3</v>
      </c>
      <c r="E1741" t="s">
        <v>142</v>
      </c>
      <c r="F1741" t="s">
        <v>388</v>
      </c>
      <c r="G1741">
        <f>(O1741/(N1741+O1741+P1741))*100</f>
        <v>72.084805653710248</v>
      </c>
      <c r="H1741">
        <f>(P1741/(O1741+P1741+N1741))*100</f>
        <v>7.4204946996466434</v>
      </c>
      <c r="I1741">
        <v>79.510000000000005</v>
      </c>
      <c r="J1741">
        <f>(N1741/(P1741+O1741+N1741))*100</f>
        <v>20.49469964664311</v>
      </c>
      <c r="K1741">
        <v>0.7</v>
      </c>
      <c r="L1741">
        <v>0.3</v>
      </c>
      <c r="M1741">
        <v>0.7</v>
      </c>
      <c r="N1741">
        <v>116</v>
      </c>
      <c r="O1741">
        <v>408</v>
      </c>
      <c r="P1741">
        <v>42</v>
      </c>
      <c r="Q1741">
        <v>79.510000000000005</v>
      </c>
      <c r="R1741" t="s">
        <v>253</v>
      </c>
      <c r="S1741">
        <v>2.54</v>
      </c>
      <c r="T1741">
        <v>3.23</v>
      </c>
      <c r="U1741">
        <v>90</v>
      </c>
    </row>
    <row r="1742" spans="1:21" ht="15" customHeight="1" x14ac:dyDescent="0.25">
      <c r="A1742" s="2">
        <v>45325.026226851849</v>
      </c>
      <c r="B1742" t="s">
        <v>309</v>
      </c>
      <c r="C1742" t="s">
        <v>368</v>
      </c>
      <c r="D1742">
        <v>2</v>
      </c>
      <c r="E1742" t="s">
        <v>142</v>
      </c>
      <c r="F1742" t="s">
        <v>388</v>
      </c>
      <c r="G1742">
        <f>(O1742/(N1742+O1742+P1742))*100</f>
        <v>81.072026800670017</v>
      </c>
      <c r="H1742">
        <f>(P1742/(O1742+P1742+N1742))*100</f>
        <v>0</v>
      </c>
      <c r="I1742">
        <v>81.069999999999993</v>
      </c>
      <c r="J1742">
        <f>(N1742/(P1742+O1742+N1742))*100</f>
        <v>18.927973199329983</v>
      </c>
      <c r="K1742">
        <v>0.8</v>
      </c>
      <c r="L1742">
        <v>0.3</v>
      </c>
      <c r="M1742">
        <v>0.7</v>
      </c>
      <c r="N1742">
        <v>113</v>
      </c>
      <c r="O1742">
        <v>484</v>
      </c>
      <c r="P1742">
        <v>0</v>
      </c>
      <c r="Q1742">
        <v>81.069999999999993</v>
      </c>
      <c r="R1742" t="s">
        <v>253</v>
      </c>
      <c r="S1742">
        <v>1.94</v>
      </c>
      <c r="T1742">
        <v>2.11</v>
      </c>
    </row>
    <row r="1743" spans="1:21" ht="15" customHeight="1" x14ac:dyDescent="0.25">
      <c r="A1743" t="s">
        <v>19</v>
      </c>
      <c r="B1743" t="s">
        <v>20</v>
      </c>
      <c r="C1743" t="s">
        <v>308</v>
      </c>
      <c r="D1743">
        <v>3</v>
      </c>
      <c r="E1743" t="s">
        <v>143</v>
      </c>
      <c r="F1743" t="s">
        <v>388</v>
      </c>
      <c r="G1743">
        <v>15</v>
      </c>
      <c r="H1743">
        <v>75</v>
      </c>
      <c r="I1743">
        <f>G1743+H1743</f>
        <v>90</v>
      </c>
      <c r="J1743">
        <f>100-G1743-H1743</f>
        <v>10</v>
      </c>
      <c r="K1743" t="s">
        <v>19</v>
      </c>
      <c r="L1743" t="s">
        <v>19</v>
      </c>
      <c r="M1743" t="s">
        <v>19</v>
      </c>
      <c r="N1743" t="s">
        <v>19</v>
      </c>
      <c r="O1743" t="s">
        <v>19</v>
      </c>
      <c r="P1743" t="s">
        <v>19</v>
      </c>
      <c r="Q1743">
        <f>I1743</f>
        <v>90</v>
      </c>
      <c r="R1743" t="s">
        <v>19</v>
      </c>
      <c r="S1743" t="s">
        <v>19</v>
      </c>
      <c r="T1743" t="s">
        <v>19</v>
      </c>
    </row>
    <row r="1744" spans="1:21" ht="15" customHeight="1" x14ac:dyDescent="0.25">
      <c r="A1744" t="s">
        <v>19</v>
      </c>
      <c r="B1744" t="s">
        <v>20</v>
      </c>
      <c r="C1744" t="s">
        <v>22</v>
      </c>
      <c r="D1744">
        <v>3</v>
      </c>
      <c r="E1744" t="s">
        <v>143</v>
      </c>
      <c r="F1744" t="s">
        <v>388</v>
      </c>
      <c r="G1744">
        <v>10</v>
      </c>
      <c r="H1744">
        <v>85</v>
      </c>
      <c r="I1744">
        <f>G1744+H1744</f>
        <v>95</v>
      </c>
      <c r="J1744">
        <f>100-G1744-H1744</f>
        <v>5</v>
      </c>
      <c r="K1744" t="s">
        <v>19</v>
      </c>
      <c r="L1744" t="s">
        <v>19</v>
      </c>
      <c r="M1744" t="s">
        <v>19</v>
      </c>
      <c r="N1744" t="s">
        <v>19</v>
      </c>
      <c r="O1744" t="s">
        <v>19</v>
      </c>
      <c r="P1744" t="s">
        <v>19</v>
      </c>
      <c r="Q1744">
        <f>I1744</f>
        <v>95</v>
      </c>
      <c r="R1744" t="s">
        <v>19</v>
      </c>
      <c r="S1744" t="s">
        <v>19</v>
      </c>
      <c r="T1744" t="s">
        <v>19</v>
      </c>
    </row>
    <row r="1745" spans="1:21" ht="15" customHeight="1" x14ac:dyDescent="0.25">
      <c r="A1745" t="s">
        <v>19</v>
      </c>
      <c r="B1745" t="s">
        <v>20</v>
      </c>
      <c r="C1745" t="s">
        <v>305</v>
      </c>
      <c r="D1745">
        <v>3</v>
      </c>
      <c r="E1745" t="s">
        <v>143</v>
      </c>
      <c r="F1745" t="s">
        <v>388</v>
      </c>
      <c r="G1745">
        <v>20</v>
      </c>
      <c r="H1745">
        <v>70</v>
      </c>
      <c r="I1745">
        <f>G1745+H1745</f>
        <v>90</v>
      </c>
      <c r="J1745">
        <f>100-G1745-H1745</f>
        <v>10</v>
      </c>
      <c r="K1745" t="s">
        <v>19</v>
      </c>
      <c r="L1745" t="s">
        <v>19</v>
      </c>
      <c r="M1745" t="s">
        <v>19</v>
      </c>
      <c r="N1745" t="s">
        <v>19</v>
      </c>
      <c r="O1745" t="s">
        <v>19</v>
      </c>
      <c r="P1745" t="s">
        <v>19</v>
      </c>
      <c r="Q1745">
        <f>I1745</f>
        <v>90</v>
      </c>
      <c r="R1745" t="s">
        <v>19</v>
      </c>
      <c r="S1745" t="s">
        <v>19</v>
      </c>
      <c r="T1745" t="s">
        <v>19</v>
      </c>
    </row>
    <row r="1746" spans="1:21" ht="15" customHeight="1" x14ac:dyDescent="0.25">
      <c r="A1746" t="s">
        <v>19</v>
      </c>
      <c r="B1746" t="s">
        <v>20</v>
      </c>
      <c r="C1746" t="s">
        <v>307</v>
      </c>
      <c r="D1746">
        <v>3</v>
      </c>
      <c r="E1746" t="s">
        <v>143</v>
      </c>
      <c r="F1746" t="s">
        <v>388</v>
      </c>
      <c r="G1746">
        <v>20</v>
      </c>
      <c r="H1746">
        <v>35</v>
      </c>
      <c r="I1746">
        <f>G1746+H1746</f>
        <v>55</v>
      </c>
      <c r="J1746">
        <f>100-G1746-H1746</f>
        <v>45</v>
      </c>
      <c r="K1746" t="s">
        <v>19</v>
      </c>
      <c r="L1746" t="s">
        <v>19</v>
      </c>
      <c r="M1746" t="s">
        <v>19</v>
      </c>
      <c r="N1746" t="s">
        <v>19</v>
      </c>
      <c r="O1746" t="s">
        <v>19</v>
      </c>
      <c r="P1746" t="s">
        <v>19</v>
      </c>
      <c r="Q1746">
        <f>I1746</f>
        <v>55</v>
      </c>
      <c r="R1746" t="s">
        <v>19</v>
      </c>
      <c r="S1746" t="s">
        <v>19</v>
      </c>
      <c r="T1746" t="s">
        <v>19</v>
      </c>
    </row>
    <row r="1747" spans="1:21" ht="15" customHeight="1" x14ac:dyDescent="0.25">
      <c r="A1747" s="2">
        <v>45253.599305555559</v>
      </c>
      <c r="B1747" t="s">
        <v>309</v>
      </c>
      <c r="C1747" t="s">
        <v>213</v>
      </c>
      <c r="D1747">
        <v>3</v>
      </c>
      <c r="E1747" t="s">
        <v>143</v>
      </c>
      <c r="F1747" t="s">
        <v>388</v>
      </c>
      <c r="G1747">
        <v>4.6793760830000002</v>
      </c>
      <c r="H1747">
        <v>93.760831890000006</v>
      </c>
      <c r="I1747">
        <v>98.440207970000003</v>
      </c>
      <c r="J1747">
        <v>1.5597920279999999</v>
      </c>
      <c r="K1747">
        <v>0.8</v>
      </c>
      <c r="L1747">
        <v>0.2</v>
      </c>
      <c r="M1747">
        <v>0.7</v>
      </c>
      <c r="N1747">
        <v>9</v>
      </c>
      <c r="O1747">
        <v>27</v>
      </c>
      <c r="P1747">
        <v>541</v>
      </c>
      <c r="Q1747">
        <v>98.44</v>
      </c>
      <c r="R1747" t="s">
        <v>284</v>
      </c>
      <c r="S1747">
        <v>3</v>
      </c>
      <c r="T1747">
        <v>4</v>
      </c>
    </row>
    <row r="1748" spans="1:21" ht="15" customHeight="1" x14ac:dyDescent="0.25">
      <c r="A1748" s="2">
        <v>45253.865972222222</v>
      </c>
      <c r="B1748" t="s">
        <v>309</v>
      </c>
      <c r="C1748" t="s">
        <v>215</v>
      </c>
      <c r="D1748">
        <v>2</v>
      </c>
      <c r="E1748" t="s">
        <v>143</v>
      </c>
      <c r="F1748" t="s">
        <v>388</v>
      </c>
      <c r="G1748">
        <v>6.5026362039999999</v>
      </c>
      <c r="H1748">
        <v>0</v>
      </c>
      <c r="I1748">
        <v>6.5026362039999999</v>
      </c>
      <c r="J1748">
        <v>93.497363800000002</v>
      </c>
      <c r="K1748">
        <v>0.8</v>
      </c>
      <c r="L1748">
        <v>0.2</v>
      </c>
      <c r="M1748">
        <v>0.7</v>
      </c>
      <c r="N1748">
        <v>532</v>
      </c>
      <c r="O1748">
        <v>37</v>
      </c>
      <c r="P1748">
        <v>0</v>
      </c>
      <c r="Q1748">
        <v>6.5</v>
      </c>
      <c r="R1748" t="s">
        <v>243</v>
      </c>
      <c r="S1748">
        <v>0.24</v>
      </c>
      <c r="T1748">
        <v>0.27</v>
      </c>
    </row>
    <row r="1749" spans="1:21" ht="15" customHeight="1" x14ac:dyDescent="0.25">
      <c r="A1749" s="2">
        <v>45254.034722222219</v>
      </c>
      <c r="B1749" t="s">
        <v>309</v>
      </c>
      <c r="C1749" t="s">
        <v>217</v>
      </c>
      <c r="D1749">
        <v>2</v>
      </c>
      <c r="E1749" t="s">
        <v>143</v>
      </c>
      <c r="F1749" t="s">
        <v>388</v>
      </c>
      <c r="G1749">
        <v>6.9727891160000004</v>
      </c>
      <c r="H1749">
        <v>0</v>
      </c>
      <c r="I1749">
        <v>6.9727891160000004</v>
      </c>
      <c r="J1749">
        <v>93.027210879999998</v>
      </c>
      <c r="K1749">
        <v>0.8</v>
      </c>
      <c r="L1749">
        <v>0.2</v>
      </c>
      <c r="M1749">
        <v>0.7</v>
      </c>
      <c r="N1749">
        <v>547</v>
      </c>
      <c r="O1749">
        <v>41</v>
      </c>
      <c r="P1749">
        <v>0</v>
      </c>
      <c r="Q1749">
        <v>6.97</v>
      </c>
      <c r="R1749" t="s">
        <v>231</v>
      </c>
      <c r="S1749">
        <v>0.24</v>
      </c>
      <c r="T1749">
        <v>0.27</v>
      </c>
    </row>
    <row r="1750" spans="1:21" ht="15" customHeight="1" x14ac:dyDescent="0.25">
      <c r="A1750" s="2">
        <v>45316.545138888891</v>
      </c>
      <c r="B1750" t="s">
        <v>309</v>
      </c>
      <c r="C1750" t="s">
        <v>219</v>
      </c>
      <c r="D1750">
        <v>3</v>
      </c>
      <c r="E1750" t="s">
        <v>143</v>
      </c>
      <c r="F1750" t="s">
        <v>388</v>
      </c>
      <c r="G1750">
        <v>9.3333333330000006</v>
      </c>
      <c r="H1750">
        <v>88.380952379999997</v>
      </c>
      <c r="I1750">
        <v>97.714285709999999</v>
      </c>
      <c r="J1750">
        <v>2.2857142860000002</v>
      </c>
      <c r="K1750">
        <v>0.8</v>
      </c>
      <c r="L1750">
        <v>0.2</v>
      </c>
      <c r="M1750">
        <v>0.7</v>
      </c>
      <c r="N1750">
        <v>12</v>
      </c>
      <c r="O1750">
        <v>49</v>
      </c>
      <c r="P1750">
        <v>464</v>
      </c>
      <c r="Q1750">
        <v>97.71</v>
      </c>
      <c r="R1750" t="s">
        <v>257</v>
      </c>
      <c r="S1750">
        <v>3.3</v>
      </c>
      <c r="T1750">
        <v>4.79</v>
      </c>
    </row>
    <row r="1751" spans="1:21" ht="15" customHeight="1" x14ac:dyDescent="0.25">
      <c r="A1751" s="2">
        <v>45320.887499999997</v>
      </c>
      <c r="B1751" t="s">
        <v>309</v>
      </c>
      <c r="C1751" t="s">
        <v>221</v>
      </c>
      <c r="D1751">
        <v>2</v>
      </c>
      <c r="E1751" t="s">
        <v>143</v>
      </c>
      <c r="F1751" t="s">
        <v>388</v>
      </c>
      <c r="G1751">
        <v>99.189627229999999</v>
      </c>
      <c r="H1751">
        <v>0</v>
      </c>
      <c r="I1751">
        <v>99.189627229999999</v>
      </c>
      <c r="J1751">
        <v>0.81037277100000005</v>
      </c>
      <c r="K1751">
        <v>0.8</v>
      </c>
      <c r="L1751">
        <v>0.3</v>
      </c>
      <c r="M1751">
        <v>0.7</v>
      </c>
      <c r="N1751">
        <v>5</v>
      </c>
      <c r="O1751">
        <v>612</v>
      </c>
      <c r="P1751">
        <v>0</v>
      </c>
      <c r="Q1751">
        <v>99.19</v>
      </c>
      <c r="R1751" t="s">
        <v>244</v>
      </c>
      <c r="S1751">
        <v>2.7</v>
      </c>
      <c r="T1751">
        <v>2.85</v>
      </c>
    </row>
    <row r="1752" spans="1:21" ht="15" customHeight="1" x14ac:dyDescent="0.25">
      <c r="A1752" t="s">
        <v>19</v>
      </c>
      <c r="B1752" t="s">
        <v>20</v>
      </c>
      <c r="C1752" t="s">
        <v>306</v>
      </c>
      <c r="D1752">
        <v>3</v>
      </c>
      <c r="E1752" t="s">
        <v>143</v>
      </c>
      <c r="F1752" t="s">
        <v>388</v>
      </c>
      <c r="G1752">
        <v>15</v>
      </c>
      <c r="H1752">
        <v>85</v>
      </c>
      <c r="I1752">
        <f>G1752+H1752</f>
        <v>100</v>
      </c>
      <c r="J1752">
        <f>100-G1752-H1752</f>
        <v>0</v>
      </c>
      <c r="K1752" t="s">
        <v>19</v>
      </c>
      <c r="L1752" t="s">
        <v>19</v>
      </c>
      <c r="M1752" t="s">
        <v>19</v>
      </c>
      <c r="N1752" t="s">
        <v>19</v>
      </c>
      <c r="O1752" t="s">
        <v>19</v>
      </c>
      <c r="P1752" t="s">
        <v>19</v>
      </c>
      <c r="Q1752">
        <f>I1752</f>
        <v>100</v>
      </c>
      <c r="R1752" t="s">
        <v>19</v>
      </c>
      <c r="S1752" t="s">
        <v>19</v>
      </c>
      <c r="T1752" t="s">
        <v>19</v>
      </c>
    </row>
    <row r="1753" spans="1:21" ht="15" customHeight="1" x14ac:dyDescent="0.25">
      <c r="A1753" t="s">
        <v>19</v>
      </c>
      <c r="B1753" t="s">
        <v>20</v>
      </c>
      <c r="C1753" t="s">
        <v>320</v>
      </c>
      <c r="D1753">
        <v>3</v>
      </c>
      <c r="E1753" t="s">
        <v>143</v>
      </c>
      <c r="F1753" t="s">
        <v>388</v>
      </c>
      <c r="G1753">
        <v>10</v>
      </c>
      <c r="H1753">
        <v>80</v>
      </c>
      <c r="I1753">
        <f>100-J1753</f>
        <v>90</v>
      </c>
      <c r="J1753">
        <f>100-G1753-H1753</f>
        <v>10</v>
      </c>
      <c r="K1753" t="s">
        <v>19</v>
      </c>
      <c r="L1753" t="s">
        <v>19</v>
      </c>
      <c r="M1753" t="s">
        <v>19</v>
      </c>
      <c r="N1753" t="s">
        <v>19</v>
      </c>
      <c r="O1753" t="s">
        <v>19</v>
      </c>
      <c r="P1753" t="s">
        <v>19</v>
      </c>
      <c r="Q1753">
        <f>I1753</f>
        <v>90</v>
      </c>
      <c r="R1753" t="s">
        <v>19</v>
      </c>
      <c r="S1753" t="s">
        <v>19</v>
      </c>
      <c r="T1753" t="s">
        <v>19</v>
      </c>
    </row>
    <row r="1754" spans="1:21" ht="15" customHeight="1" x14ac:dyDescent="0.25">
      <c r="A1754" s="2">
        <v>45323.610914351855</v>
      </c>
      <c r="B1754" t="s">
        <v>309</v>
      </c>
      <c r="C1754" t="s">
        <v>322</v>
      </c>
      <c r="D1754">
        <v>3</v>
      </c>
      <c r="E1754" t="s">
        <v>143</v>
      </c>
      <c r="F1754" t="s">
        <v>388</v>
      </c>
      <c r="G1754">
        <f>(O1754/(N1754+O1754+P1754))*100</f>
        <v>10.745233968804159</v>
      </c>
      <c r="H1754">
        <f>(P1754/(O1754+P1754+N1754))*100</f>
        <v>80.24263431542461</v>
      </c>
      <c r="I1754">
        <v>90.99</v>
      </c>
      <c r="J1754">
        <f>(N1754/(P1754+O1754+N1754))*100</f>
        <v>9.0121317157712308</v>
      </c>
      <c r="K1754">
        <v>0.8</v>
      </c>
      <c r="L1754">
        <v>0.3</v>
      </c>
      <c r="M1754">
        <v>0.7</v>
      </c>
      <c r="N1754">
        <v>52</v>
      </c>
      <c r="O1754">
        <v>62</v>
      </c>
      <c r="P1754">
        <v>463</v>
      </c>
      <c r="Q1754">
        <v>90.99</v>
      </c>
      <c r="R1754" t="s">
        <v>354</v>
      </c>
      <c r="S1754">
        <v>2.91</v>
      </c>
      <c r="T1754">
        <v>4.2699999999999996</v>
      </c>
      <c r="U1754">
        <v>56</v>
      </c>
    </row>
    <row r="1755" spans="1:21" ht="15" customHeight="1" x14ac:dyDescent="0.25">
      <c r="A1755" s="2">
        <v>45323.607615740744</v>
      </c>
      <c r="B1755" t="s">
        <v>309</v>
      </c>
      <c r="C1755" t="s">
        <v>322</v>
      </c>
      <c r="D1755">
        <v>3</v>
      </c>
      <c r="E1755" t="s">
        <v>143</v>
      </c>
      <c r="F1755" t="s">
        <v>388</v>
      </c>
      <c r="G1755">
        <f>(O1755/(N1755+O1755+P1755))*100</f>
        <v>13.006756756756758</v>
      </c>
      <c r="H1755">
        <f>(P1755/(O1755+P1755+N1755))*100</f>
        <v>83.952702702702695</v>
      </c>
      <c r="I1755">
        <v>96.96</v>
      </c>
      <c r="J1755">
        <f>(N1755/(P1755+O1755+N1755))*100</f>
        <v>3.0405405405405408</v>
      </c>
      <c r="K1755">
        <v>0.7</v>
      </c>
      <c r="L1755">
        <v>0.3</v>
      </c>
      <c r="M1755">
        <v>0.7</v>
      </c>
      <c r="N1755">
        <v>18</v>
      </c>
      <c r="O1755">
        <v>77</v>
      </c>
      <c r="P1755">
        <v>497</v>
      </c>
      <c r="Q1755">
        <v>96.96</v>
      </c>
      <c r="R1755" t="s">
        <v>345</v>
      </c>
      <c r="S1755">
        <v>2.91</v>
      </c>
      <c r="T1755">
        <v>4.2699999999999996</v>
      </c>
      <c r="U1755">
        <v>41</v>
      </c>
    </row>
    <row r="1756" spans="1:21" ht="15" customHeight="1" x14ac:dyDescent="0.25">
      <c r="A1756" s="2">
        <v>45325.027777777781</v>
      </c>
      <c r="B1756" t="s">
        <v>309</v>
      </c>
      <c r="C1756" t="s">
        <v>368</v>
      </c>
      <c r="D1756">
        <v>2</v>
      </c>
      <c r="E1756" t="s">
        <v>143</v>
      </c>
      <c r="F1756" t="s">
        <v>388</v>
      </c>
      <c r="G1756">
        <f>(O1756/(N1756+O1756+P1756))*100</f>
        <v>99.356913183279744</v>
      </c>
      <c r="H1756">
        <f>(P1756/(O1756+P1756+N1756))*100</f>
        <v>0</v>
      </c>
      <c r="I1756">
        <v>99.36</v>
      </c>
      <c r="J1756">
        <f>(N1756/(P1756+O1756+N1756))*100</f>
        <v>0.64308681672025725</v>
      </c>
      <c r="K1756">
        <v>0.8</v>
      </c>
      <c r="L1756">
        <v>0.3</v>
      </c>
      <c r="M1756">
        <v>0.7</v>
      </c>
      <c r="N1756">
        <v>4</v>
      </c>
      <c r="O1756">
        <v>618</v>
      </c>
      <c r="P1756">
        <v>0</v>
      </c>
      <c r="Q1756">
        <v>99.36</v>
      </c>
      <c r="R1756" t="s">
        <v>234</v>
      </c>
      <c r="S1756">
        <v>2.52</v>
      </c>
      <c r="T1756">
        <v>2.69</v>
      </c>
    </row>
    <row r="1757" spans="1:21" ht="15" customHeight="1" x14ac:dyDescent="0.25">
      <c r="A1757" t="s">
        <v>19</v>
      </c>
      <c r="B1757" t="s">
        <v>20</v>
      </c>
      <c r="C1757" t="s">
        <v>308</v>
      </c>
      <c r="D1757">
        <v>3</v>
      </c>
      <c r="E1757" t="s">
        <v>144</v>
      </c>
      <c r="F1757" t="s">
        <v>388</v>
      </c>
      <c r="G1757">
        <v>0</v>
      </c>
      <c r="H1757">
        <v>0</v>
      </c>
      <c r="I1757">
        <f>G1757+H1757</f>
        <v>0</v>
      </c>
      <c r="J1757">
        <f>100-G1757-H1757</f>
        <v>100</v>
      </c>
      <c r="K1757" t="s">
        <v>19</v>
      </c>
      <c r="L1757" t="s">
        <v>19</v>
      </c>
      <c r="M1757" t="s">
        <v>19</v>
      </c>
      <c r="N1757" t="s">
        <v>19</v>
      </c>
      <c r="O1757" t="s">
        <v>19</v>
      </c>
      <c r="P1757" t="s">
        <v>19</v>
      </c>
      <c r="Q1757">
        <f>I1757</f>
        <v>0</v>
      </c>
      <c r="R1757" t="s">
        <v>19</v>
      </c>
      <c r="S1757" t="s">
        <v>19</v>
      </c>
      <c r="T1757" t="s">
        <v>19</v>
      </c>
    </row>
    <row r="1758" spans="1:21" ht="15" customHeight="1" x14ac:dyDescent="0.25">
      <c r="A1758" t="s">
        <v>19</v>
      </c>
      <c r="B1758" t="s">
        <v>20</v>
      </c>
      <c r="C1758" t="s">
        <v>22</v>
      </c>
      <c r="D1758">
        <v>3</v>
      </c>
      <c r="E1758" t="s">
        <v>144</v>
      </c>
      <c r="F1758" t="s">
        <v>388</v>
      </c>
      <c r="G1758">
        <v>0</v>
      </c>
      <c r="H1758">
        <v>0</v>
      </c>
      <c r="I1758">
        <f>G1758+H1758</f>
        <v>0</v>
      </c>
      <c r="J1758">
        <f>100-G1758-H1758</f>
        <v>100</v>
      </c>
      <c r="K1758" t="s">
        <v>19</v>
      </c>
      <c r="L1758" t="s">
        <v>19</v>
      </c>
      <c r="M1758" t="s">
        <v>19</v>
      </c>
      <c r="N1758" t="s">
        <v>19</v>
      </c>
      <c r="O1758" t="s">
        <v>19</v>
      </c>
      <c r="P1758" t="s">
        <v>19</v>
      </c>
      <c r="Q1758">
        <f>I1758</f>
        <v>0</v>
      </c>
      <c r="R1758" t="s">
        <v>19</v>
      </c>
      <c r="S1758" t="s">
        <v>19</v>
      </c>
      <c r="T1758" t="s">
        <v>19</v>
      </c>
    </row>
    <row r="1759" spans="1:21" ht="15" customHeight="1" x14ac:dyDescent="0.25">
      <c r="A1759" t="s">
        <v>19</v>
      </c>
      <c r="B1759" t="s">
        <v>20</v>
      </c>
      <c r="C1759" t="s">
        <v>305</v>
      </c>
      <c r="D1759">
        <v>3</v>
      </c>
      <c r="E1759" t="s">
        <v>144</v>
      </c>
      <c r="F1759" t="s">
        <v>388</v>
      </c>
      <c r="G1759">
        <v>0</v>
      </c>
      <c r="H1759">
        <v>0</v>
      </c>
      <c r="I1759">
        <f>G1759+H1759</f>
        <v>0</v>
      </c>
      <c r="J1759">
        <f>100-G1759-H1759</f>
        <v>100</v>
      </c>
      <c r="K1759" t="s">
        <v>19</v>
      </c>
      <c r="L1759" t="s">
        <v>19</v>
      </c>
      <c r="M1759" t="s">
        <v>19</v>
      </c>
      <c r="N1759" t="s">
        <v>19</v>
      </c>
      <c r="O1759" t="s">
        <v>19</v>
      </c>
      <c r="P1759" t="s">
        <v>19</v>
      </c>
      <c r="Q1759">
        <f>I1759</f>
        <v>0</v>
      </c>
      <c r="R1759" t="s">
        <v>19</v>
      </c>
      <c r="S1759" t="s">
        <v>19</v>
      </c>
      <c r="T1759" t="s">
        <v>19</v>
      </c>
    </row>
    <row r="1760" spans="1:21" ht="15" customHeight="1" x14ac:dyDescent="0.25">
      <c r="A1760" t="s">
        <v>19</v>
      </c>
      <c r="B1760" t="s">
        <v>20</v>
      </c>
      <c r="C1760" t="s">
        <v>307</v>
      </c>
      <c r="D1760">
        <v>3</v>
      </c>
      <c r="E1760" t="s">
        <v>144</v>
      </c>
      <c r="F1760" t="s">
        <v>388</v>
      </c>
      <c r="G1760">
        <v>0</v>
      </c>
      <c r="H1760">
        <v>0</v>
      </c>
      <c r="I1760">
        <f>G1760+H1760</f>
        <v>0</v>
      </c>
      <c r="J1760">
        <f>100-G1760-H1760</f>
        <v>100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>
        <f>I1760</f>
        <v>0</v>
      </c>
      <c r="R1760" t="s">
        <v>19</v>
      </c>
      <c r="S1760" t="s">
        <v>19</v>
      </c>
      <c r="T1760" t="s">
        <v>19</v>
      </c>
    </row>
    <row r="1761" spans="1:21" ht="15" customHeight="1" x14ac:dyDescent="0.25">
      <c r="A1761" s="2">
        <v>45253.600694444445</v>
      </c>
      <c r="B1761" t="s">
        <v>309</v>
      </c>
      <c r="C1761" t="s">
        <v>213</v>
      </c>
      <c r="D1761">
        <v>3</v>
      </c>
      <c r="E1761" t="s">
        <v>144</v>
      </c>
      <c r="F1761" t="s">
        <v>388</v>
      </c>
      <c r="G1761">
        <v>0</v>
      </c>
      <c r="H1761">
        <v>0</v>
      </c>
      <c r="I1761">
        <v>0</v>
      </c>
      <c r="J1761">
        <v>100</v>
      </c>
      <c r="K1761">
        <v>0.8</v>
      </c>
      <c r="L1761">
        <v>0.2</v>
      </c>
      <c r="M1761">
        <v>0.7</v>
      </c>
      <c r="N1761">
        <v>760</v>
      </c>
      <c r="O1761">
        <v>0</v>
      </c>
      <c r="P1761">
        <v>0</v>
      </c>
      <c r="Q1761">
        <v>0</v>
      </c>
      <c r="R1761" t="s">
        <v>255</v>
      </c>
      <c r="S1761">
        <v>2.85</v>
      </c>
      <c r="T1761">
        <v>3.27</v>
      </c>
    </row>
    <row r="1762" spans="1:21" ht="15" customHeight="1" x14ac:dyDescent="0.25">
      <c r="A1762" s="2">
        <v>45253.866666666669</v>
      </c>
      <c r="B1762" t="s">
        <v>309</v>
      </c>
      <c r="C1762" t="s">
        <v>215</v>
      </c>
      <c r="D1762">
        <v>2</v>
      </c>
      <c r="E1762" t="s">
        <v>144</v>
      </c>
      <c r="F1762" t="s">
        <v>388</v>
      </c>
      <c r="G1762">
        <v>0.134048257</v>
      </c>
      <c r="H1762">
        <v>0</v>
      </c>
      <c r="I1762">
        <v>0.134048257</v>
      </c>
      <c r="J1762">
        <v>99.86595174</v>
      </c>
      <c r="K1762">
        <v>0.8</v>
      </c>
      <c r="L1762">
        <v>0.2</v>
      </c>
      <c r="M1762">
        <v>0.7</v>
      </c>
      <c r="N1762">
        <v>745</v>
      </c>
      <c r="O1762">
        <v>1</v>
      </c>
      <c r="P1762">
        <v>0</v>
      </c>
      <c r="Q1762">
        <v>0.13</v>
      </c>
      <c r="R1762" t="s">
        <v>257</v>
      </c>
      <c r="S1762">
        <v>0.03</v>
      </c>
      <c r="T1762">
        <v>0.03</v>
      </c>
    </row>
    <row r="1763" spans="1:21" ht="15" customHeight="1" x14ac:dyDescent="0.25">
      <c r="A1763" s="2">
        <v>45254.036111111112</v>
      </c>
      <c r="B1763" t="s">
        <v>309</v>
      </c>
      <c r="C1763" t="s">
        <v>217</v>
      </c>
      <c r="D1763">
        <v>2</v>
      </c>
      <c r="E1763" t="s">
        <v>144</v>
      </c>
      <c r="F1763" t="s">
        <v>388</v>
      </c>
      <c r="G1763">
        <v>1.358695652</v>
      </c>
      <c r="H1763">
        <v>0</v>
      </c>
      <c r="I1763">
        <v>1.358695652</v>
      </c>
      <c r="J1763">
        <v>98.641304349999999</v>
      </c>
      <c r="K1763">
        <v>0.8</v>
      </c>
      <c r="L1763">
        <v>0.2</v>
      </c>
      <c r="M1763">
        <v>0.7</v>
      </c>
      <c r="N1763">
        <v>726</v>
      </c>
      <c r="O1763">
        <v>10</v>
      </c>
      <c r="P1763">
        <v>0</v>
      </c>
      <c r="Q1763">
        <v>1.36</v>
      </c>
      <c r="R1763" t="s">
        <v>231</v>
      </c>
      <c r="S1763">
        <v>7.0000000000000007E-2</v>
      </c>
      <c r="T1763">
        <v>0.08</v>
      </c>
    </row>
    <row r="1764" spans="1:21" ht="15" customHeight="1" x14ac:dyDescent="0.25">
      <c r="A1764" s="2">
        <v>45316.546527777777</v>
      </c>
      <c r="B1764" t="s">
        <v>309</v>
      </c>
      <c r="C1764" t="s">
        <v>219</v>
      </c>
      <c r="D1764">
        <v>3</v>
      </c>
      <c r="E1764" t="s">
        <v>144</v>
      </c>
      <c r="F1764" t="s">
        <v>388</v>
      </c>
      <c r="G1764">
        <v>0</v>
      </c>
      <c r="H1764">
        <v>0.14265335200000001</v>
      </c>
      <c r="I1764">
        <v>0.14265335200000001</v>
      </c>
      <c r="J1764">
        <v>99.857346649999997</v>
      </c>
      <c r="K1764">
        <v>0.8</v>
      </c>
      <c r="L1764">
        <v>0.2</v>
      </c>
      <c r="M1764">
        <v>0.7</v>
      </c>
      <c r="N1764">
        <v>700</v>
      </c>
      <c r="O1764">
        <v>0</v>
      </c>
      <c r="P1764">
        <v>1</v>
      </c>
      <c r="Q1764">
        <v>0.14000000000000001</v>
      </c>
      <c r="R1764" t="s">
        <v>235</v>
      </c>
      <c r="S1764">
        <v>2.98</v>
      </c>
      <c r="T1764">
        <v>4.22</v>
      </c>
    </row>
    <row r="1765" spans="1:21" ht="15" customHeight="1" x14ac:dyDescent="0.25">
      <c r="A1765" s="2">
        <v>45320.888888888891</v>
      </c>
      <c r="B1765" t="s">
        <v>309</v>
      </c>
      <c r="C1765" t="s">
        <v>221</v>
      </c>
      <c r="D1765">
        <v>2</v>
      </c>
      <c r="E1765" t="s">
        <v>144</v>
      </c>
      <c r="F1765" t="s">
        <v>388</v>
      </c>
      <c r="G1765">
        <v>0.56818181800000001</v>
      </c>
      <c r="H1765">
        <v>0</v>
      </c>
      <c r="I1765">
        <v>0.56818181800000001</v>
      </c>
      <c r="J1765">
        <v>99.431818179999993</v>
      </c>
      <c r="K1765">
        <v>0.8</v>
      </c>
      <c r="L1765">
        <v>0.3</v>
      </c>
      <c r="M1765">
        <v>0.7</v>
      </c>
      <c r="N1765">
        <v>700</v>
      </c>
      <c r="O1765">
        <v>4</v>
      </c>
      <c r="P1765">
        <v>0</v>
      </c>
      <c r="Q1765">
        <v>0.56999999999999995</v>
      </c>
      <c r="R1765" t="s">
        <v>228</v>
      </c>
      <c r="S1765">
        <v>0.06</v>
      </c>
      <c r="T1765">
        <v>0.06</v>
      </c>
    </row>
    <row r="1766" spans="1:21" ht="15" customHeight="1" x14ac:dyDescent="0.25">
      <c r="A1766" t="s">
        <v>19</v>
      </c>
      <c r="B1766" t="s">
        <v>20</v>
      </c>
      <c r="C1766" t="s">
        <v>306</v>
      </c>
      <c r="D1766">
        <v>3</v>
      </c>
      <c r="E1766" t="s">
        <v>144</v>
      </c>
      <c r="F1766" t="s">
        <v>388</v>
      </c>
      <c r="G1766">
        <v>0</v>
      </c>
      <c r="H1766">
        <v>0</v>
      </c>
      <c r="I1766">
        <f>G1766+H1766</f>
        <v>0</v>
      </c>
      <c r="J1766">
        <f>100-G1766-H1766</f>
        <v>100</v>
      </c>
      <c r="K1766" t="s">
        <v>19</v>
      </c>
      <c r="L1766" t="s">
        <v>19</v>
      </c>
      <c r="M1766" t="s">
        <v>19</v>
      </c>
      <c r="N1766" t="s">
        <v>19</v>
      </c>
      <c r="O1766" t="s">
        <v>19</v>
      </c>
      <c r="P1766" t="s">
        <v>19</v>
      </c>
      <c r="Q1766">
        <f>I1766</f>
        <v>0</v>
      </c>
      <c r="R1766" t="s">
        <v>19</v>
      </c>
      <c r="S1766" t="s">
        <v>19</v>
      </c>
      <c r="T1766" t="s">
        <v>19</v>
      </c>
    </row>
    <row r="1767" spans="1:21" ht="15" customHeight="1" x14ac:dyDescent="0.25">
      <c r="A1767" t="s">
        <v>19</v>
      </c>
      <c r="B1767" t="s">
        <v>20</v>
      </c>
      <c r="C1767" t="s">
        <v>320</v>
      </c>
      <c r="D1767">
        <v>3</v>
      </c>
      <c r="E1767" t="s">
        <v>144</v>
      </c>
      <c r="F1767" t="s">
        <v>388</v>
      </c>
      <c r="G1767">
        <v>0</v>
      </c>
      <c r="H1767">
        <v>0</v>
      </c>
      <c r="I1767">
        <f>100-J1767</f>
        <v>0</v>
      </c>
      <c r="J1767">
        <f>100-G1767-H1767</f>
        <v>100</v>
      </c>
      <c r="K1767" t="s">
        <v>19</v>
      </c>
      <c r="L1767" t="s">
        <v>19</v>
      </c>
      <c r="M1767" t="s">
        <v>19</v>
      </c>
      <c r="N1767" t="s">
        <v>19</v>
      </c>
      <c r="O1767" t="s">
        <v>19</v>
      </c>
      <c r="P1767" t="s">
        <v>19</v>
      </c>
      <c r="Q1767">
        <f>I1767</f>
        <v>0</v>
      </c>
      <c r="R1767" t="s">
        <v>19</v>
      </c>
      <c r="S1767" t="s">
        <v>19</v>
      </c>
      <c r="T1767" t="s">
        <v>19</v>
      </c>
    </row>
    <row r="1768" spans="1:21" ht="15" customHeight="1" x14ac:dyDescent="0.25">
      <c r="A1768" s="2">
        <v>45323.612743055557</v>
      </c>
      <c r="B1768" t="s">
        <v>309</v>
      </c>
      <c r="C1768" t="s">
        <v>322</v>
      </c>
      <c r="D1768">
        <v>3</v>
      </c>
      <c r="E1768" t="s">
        <v>144</v>
      </c>
      <c r="F1768" t="s">
        <v>388</v>
      </c>
      <c r="G1768">
        <f>(O1768/(N1768+O1768+P1768))*100</f>
        <v>0</v>
      </c>
      <c r="H1768">
        <f>(P1768/(O1768+P1768+N1768))*100</f>
        <v>0</v>
      </c>
      <c r="I1768">
        <v>0</v>
      </c>
      <c r="J1768">
        <f>(N1768/(P1768+O1768+N1768))*100</f>
        <v>100</v>
      </c>
      <c r="K1768">
        <v>0.8</v>
      </c>
      <c r="L1768">
        <v>0.3</v>
      </c>
      <c r="M1768">
        <v>0.7</v>
      </c>
      <c r="N1768">
        <v>733</v>
      </c>
      <c r="O1768">
        <v>0</v>
      </c>
      <c r="P1768">
        <v>0</v>
      </c>
      <c r="Q1768">
        <v>0</v>
      </c>
      <c r="R1768" t="s">
        <v>357</v>
      </c>
      <c r="S1768">
        <v>2.64</v>
      </c>
      <c r="T1768">
        <v>2.93</v>
      </c>
      <c r="U1768">
        <v>13</v>
      </c>
    </row>
    <row r="1769" spans="1:21" ht="15" customHeight="1" x14ac:dyDescent="0.25">
      <c r="A1769" s="2">
        <v>45323.609247685185</v>
      </c>
      <c r="B1769" t="s">
        <v>309</v>
      </c>
      <c r="C1769" t="s">
        <v>322</v>
      </c>
      <c r="D1769">
        <v>3</v>
      </c>
      <c r="E1769" t="s">
        <v>144</v>
      </c>
      <c r="F1769" t="s">
        <v>388</v>
      </c>
      <c r="G1769">
        <f>(O1769/(N1769+O1769+P1769))*100</f>
        <v>0.13623978201634876</v>
      </c>
      <c r="H1769">
        <f>(P1769/(O1769+P1769+N1769))*100</f>
        <v>0</v>
      </c>
      <c r="I1769">
        <v>0.14000000000000001</v>
      </c>
      <c r="J1769">
        <f>(N1769/(P1769+O1769+N1769))*100</f>
        <v>99.863760217983653</v>
      </c>
      <c r="K1769">
        <v>0.7</v>
      </c>
      <c r="L1769">
        <v>0.3</v>
      </c>
      <c r="M1769">
        <v>0.7</v>
      </c>
      <c r="N1769">
        <v>733</v>
      </c>
      <c r="O1769">
        <v>1</v>
      </c>
      <c r="P1769">
        <v>0</v>
      </c>
      <c r="Q1769">
        <v>0.14000000000000001</v>
      </c>
      <c r="R1769" t="s">
        <v>349</v>
      </c>
      <c r="S1769">
        <v>2.64</v>
      </c>
      <c r="T1769">
        <v>2.93</v>
      </c>
      <c r="U1769">
        <v>12</v>
      </c>
    </row>
    <row r="1770" spans="1:21" ht="15" customHeight="1" x14ac:dyDescent="0.25">
      <c r="A1770" s="2">
        <v>45325.029374999998</v>
      </c>
      <c r="B1770" t="s">
        <v>309</v>
      </c>
      <c r="C1770" t="s">
        <v>368</v>
      </c>
      <c r="D1770">
        <v>2</v>
      </c>
      <c r="E1770" t="s">
        <v>144</v>
      </c>
      <c r="F1770" t="s">
        <v>388</v>
      </c>
      <c r="G1770">
        <f>(O1770/(N1770+O1770+P1770))*100</f>
        <v>0.57636887608069165</v>
      </c>
      <c r="H1770">
        <f>(P1770/(O1770+P1770+N1770))*100</f>
        <v>0</v>
      </c>
      <c r="I1770">
        <v>0.57999999999999996</v>
      </c>
      <c r="J1770">
        <f>(N1770/(P1770+O1770+N1770))*100</f>
        <v>99.423631123919307</v>
      </c>
      <c r="K1770">
        <v>0.8</v>
      </c>
      <c r="L1770">
        <v>0.3</v>
      </c>
      <c r="M1770">
        <v>0.7</v>
      </c>
      <c r="N1770">
        <v>690</v>
      </c>
      <c r="O1770">
        <v>4</v>
      </c>
      <c r="P1770">
        <v>0</v>
      </c>
      <c r="Q1770">
        <v>0.57999999999999996</v>
      </c>
      <c r="R1770" t="s">
        <v>276</v>
      </c>
      <c r="S1770">
        <v>7.0000000000000007E-2</v>
      </c>
      <c r="T1770">
        <v>0.08</v>
      </c>
    </row>
    <row r="1771" spans="1:21" ht="15" customHeight="1" x14ac:dyDescent="0.25">
      <c r="A1771" t="s">
        <v>19</v>
      </c>
      <c r="B1771" t="s">
        <v>20</v>
      </c>
      <c r="C1771" t="s">
        <v>308</v>
      </c>
      <c r="D1771">
        <v>3</v>
      </c>
      <c r="E1771" t="s">
        <v>145</v>
      </c>
      <c r="F1771" t="s">
        <v>388</v>
      </c>
      <c r="G1771">
        <v>15</v>
      </c>
      <c r="H1771">
        <v>25</v>
      </c>
      <c r="I1771">
        <f>G1771+H1771</f>
        <v>40</v>
      </c>
      <c r="J1771">
        <f>100-G1771-H1771</f>
        <v>60</v>
      </c>
      <c r="K1771" t="s">
        <v>19</v>
      </c>
      <c r="L1771" t="s">
        <v>19</v>
      </c>
      <c r="M1771" t="s">
        <v>19</v>
      </c>
      <c r="N1771" t="s">
        <v>19</v>
      </c>
      <c r="O1771" t="s">
        <v>19</v>
      </c>
      <c r="P1771" t="s">
        <v>19</v>
      </c>
      <c r="Q1771">
        <f>I1771</f>
        <v>40</v>
      </c>
      <c r="R1771" t="s">
        <v>19</v>
      </c>
      <c r="S1771" t="s">
        <v>19</v>
      </c>
      <c r="T1771" t="s">
        <v>19</v>
      </c>
    </row>
    <row r="1772" spans="1:21" ht="15" customHeight="1" x14ac:dyDescent="0.25">
      <c r="A1772" t="s">
        <v>19</v>
      </c>
      <c r="B1772" t="s">
        <v>20</v>
      </c>
      <c r="C1772" t="s">
        <v>22</v>
      </c>
      <c r="D1772">
        <v>3</v>
      </c>
      <c r="E1772" t="s">
        <v>145</v>
      </c>
      <c r="F1772" t="s">
        <v>388</v>
      </c>
      <c r="G1772">
        <v>30</v>
      </c>
      <c r="H1772">
        <v>25</v>
      </c>
      <c r="I1772">
        <f>G1772+H1772</f>
        <v>55</v>
      </c>
      <c r="J1772">
        <f>100-G1772-H1772</f>
        <v>45</v>
      </c>
      <c r="K1772" t="s">
        <v>19</v>
      </c>
      <c r="L1772" t="s">
        <v>19</v>
      </c>
      <c r="M1772" t="s">
        <v>19</v>
      </c>
      <c r="N1772" t="s">
        <v>19</v>
      </c>
      <c r="O1772" t="s">
        <v>19</v>
      </c>
      <c r="P1772" t="s">
        <v>19</v>
      </c>
      <c r="Q1772">
        <f>I1772</f>
        <v>55</v>
      </c>
      <c r="R1772" t="s">
        <v>19</v>
      </c>
      <c r="S1772" t="s">
        <v>19</v>
      </c>
      <c r="T1772" t="s">
        <v>19</v>
      </c>
    </row>
    <row r="1773" spans="1:21" ht="15" customHeight="1" x14ac:dyDescent="0.25">
      <c r="A1773" t="s">
        <v>19</v>
      </c>
      <c r="B1773" t="s">
        <v>20</v>
      </c>
      <c r="C1773" t="s">
        <v>305</v>
      </c>
      <c r="D1773">
        <v>3</v>
      </c>
      <c r="E1773" t="s">
        <v>145</v>
      </c>
      <c r="F1773" t="s">
        <v>388</v>
      </c>
      <c r="G1773">
        <v>20</v>
      </c>
      <c r="H1773">
        <v>25</v>
      </c>
      <c r="I1773">
        <f>G1773+H1773</f>
        <v>45</v>
      </c>
      <c r="J1773">
        <f>100-G1773-H1773</f>
        <v>55</v>
      </c>
      <c r="K1773" t="s">
        <v>19</v>
      </c>
      <c r="L1773" t="s">
        <v>19</v>
      </c>
      <c r="M1773" t="s">
        <v>19</v>
      </c>
      <c r="N1773" t="s">
        <v>19</v>
      </c>
      <c r="O1773" t="s">
        <v>19</v>
      </c>
      <c r="P1773" t="s">
        <v>19</v>
      </c>
      <c r="Q1773">
        <f>I1773</f>
        <v>45</v>
      </c>
      <c r="R1773" t="s">
        <v>19</v>
      </c>
      <c r="S1773" t="s">
        <v>19</v>
      </c>
      <c r="T1773" t="s">
        <v>19</v>
      </c>
    </row>
    <row r="1774" spans="1:21" ht="15" customHeight="1" x14ac:dyDescent="0.25">
      <c r="A1774" t="s">
        <v>19</v>
      </c>
      <c r="B1774" t="s">
        <v>20</v>
      </c>
      <c r="C1774" t="s">
        <v>307</v>
      </c>
      <c r="D1774">
        <v>3</v>
      </c>
      <c r="E1774" t="s">
        <v>145</v>
      </c>
      <c r="F1774" t="s">
        <v>388</v>
      </c>
      <c r="G1774">
        <v>20</v>
      </c>
      <c r="H1774">
        <v>10</v>
      </c>
      <c r="I1774">
        <f>G1774+H1774</f>
        <v>30</v>
      </c>
      <c r="J1774">
        <f>100-G1774-H1774</f>
        <v>70</v>
      </c>
      <c r="K1774" t="s">
        <v>19</v>
      </c>
      <c r="L1774" t="s">
        <v>19</v>
      </c>
      <c r="M1774" t="s">
        <v>19</v>
      </c>
      <c r="N1774" t="s">
        <v>19</v>
      </c>
      <c r="O1774" t="s">
        <v>19</v>
      </c>
      <c r="P1774" t="s">
        <v>19</v>
      </c>
      <c r="Q1774">
        <f>I1774</f>
        <v>30</v>
      </c>
      <c r="R1774" t="s">
        <v>19</v>
      </c>
      <c r="S1774" t="s">
        <v>19</v>
      </c>
      <c r="T1774" t="s">
        <v>19</v>
      </c>
    </row>
    <row r="1775" spans="1:21" ht="15" customHeight="1" x14ac:dyDescent="0.25">
      <c r="A1775" s="2">
        <v>45253.602777777778</v>
      </c>
      <c r="B1775" t="s">
        <v>309</v>
      </c>
      <c r="C1775" t="s">
        <v>213</v>
      </c>
      <c r="D1775">
        <v>3</v>
      </c>
      <c r="E1775" t="s">
        <v>145</v>
      </c>
      <c r="F1775" t="s">
        <v>388</v>
      </c>
      <c r="G1775">
        <v>1.8900343639999999</v>
      </c>
      <c r="H1775">
        <v>22.680412369999999</v>
      </c>
      <c r="I1775">
        <v>24.570446740000001</v>
      </c>
      <c r="J1775">
        <v>75.429553260000006</v>
      </c>
      <c r="K1775">
        <v>0.8</v>
      </c>
      <c r="L1775">
        <v>0.2</v>
      </c>
      <c r="M1775">
        <v>0.7</v>
      </c>
      <c r="N1775">
        <v>439</v>
      </c>
      <c r="O1775">
        <v>11</v>
      </c>
      <c r="P1775">
        <v>132</v>
      </c>
      <c r="Q1775">
        <v>24.57</v>
      </c>
      <c r="R1775" t="s">
        <v>248</v>
      </c>
      <c r="S1775">
        <v>2.66</v>
      </c>
      <c r="T1775">
        <v>2.98</v>
      </c>
    </row>
    <row r="1776" spans="1:21" ht="15" customHeight="1" x14ac:dyDescent="0.25">
      <c r="A1776" s="2">
        <v>45253.867361111108</v>
      </c>
      <c r="B1776" t="s">
        <v>309</v>
      </c>
      <c r="C1776" t="s">
        <v>215</v>
      </c>
      <c r="D1776">
        <v>2</v>
      </c>
      <c r="E1776" t="s">
        <v>145</v>
      </c>
      <c r="F1776" t="s">
        <v>388</v>
      </c>
      <c r="G1776">
        <v>25.662251659999999</v>
      </c>
      <c r="H1776">
        <v>0</v>
      </c>
      <c r="I1776">
        <v>25.662251659999999</v>
      </c>
      <c r="J1776">
        <v>74.337748340000005</v>
      </c>
      <c r="K1776">
        <v>0.8</v>
      </c>
      <c r="L1776">
        <v>0.2</v>
      </c>
      <c r="M1776">
        <v>0.7</v>
      </c>
      <c r="N1776">
        <v>449</v>
      </c>
      <c r="O1776">
        <v>155</v>
      </c>
      <c r="P1776">
        <v>0</v>
      </c>
      <c r="Q1776">
        <v>25.66</v>
      </c>
      <c r="R1776" t="s">
        <v>227</v>
      </c>
      <c r="S1776">
        <v>0.65</v>
      </c>
      <c r="T1776">
        <v>0.71</v>
      </c>
    </row>
    <row r="1777" spans="1:21" ht="15" customHeight="1" x14ac:dyDescent="0.25">
      <c r="A1777" s="2">
        <v>45254.036805555559</v>
      </c>
      <c r="B1777" t="s">
        <v>309</v>
      </c>
      <c r="C1777" t="s">
        <v>217</v>
      </c>
      <c r="D1777">
        <v>2</v>
      </c>
      <c r="E1777" t="s">
        <v>145</v>
      </c>
      <c r="F1777" t="s">
        <v>388</v>
      </c>
      <c r="G1777">
        <v>28.833333329999999</v>
      </c>
      <c r="H1777">
        <v>0</v>
      </c>
      <c r="I1777">
        <v>28.833333329999999</v>
      </c>
      <c r="J1777">
        <v>71.166666669999998</v>
      </c>
      <c r="K1777">
        <v>0.8</v>
      </c>
      <c r="L1777">
        <v>0.2</v>
      </c>
      <c r="M1777">
        <v>0.7</v>
      </c>
      <c r="N1777">
        <v>427</v>
      </c>
      <c r="O1777">
        <v>173</v>
      </c>
      <c r="P1777">
        <v>0</v>
      </c>
      <c r="Q1777">
        <v>28.83</v>
      </c>
      <c r="R1777" t="s">
        <v>235</v>
      </c>
      <c r="S1777">
        <v>0.78</v>
      </c>
      <c r="T1777">
        <v>0.82</v>
      </c>
    </row>
    <row r="1778" spans="1:21" ht="15" customHeight="1" x14ac:dyDescent="0.25">
      <c r="A1778" s="2">
        <v>45316.547222222223</v>
      </c>
      <c r="B1778" t="s">
        <v>309</v>
      </c>
      <c r="C1778" t="s">
        <v>219</v>
      </c>
      <c r="D1778">
        <v>3</v>
      </c>
      <c r="E1778" t="s">
        <v>145</v>
      </c>
      <c r="F1778" t="s">
        <v>388</v>
      </c>
      <c r="G1778">
        <v>4.0685224839999998</v>
      </c>
      <c r="H1778">
        <v>20.342612419999998</v>
      </c>
      <c r="I1778">
        <v>24.4111349</v>
      </c>
      <c r="J1778">
        <v>75.588865100000007</v>
      </c>
      <c r="K1778">
        <v>0.8</v>
      </c>
      <c r="L1778">
        <v>0.2</v>
      </c>
      <c r="M1778">
        <v>0.7</v>
      </c>
      <c r="N1778">
        <v>353</v>
      </c>
      <c r="O1778">
        <v>19</v>
      </c>
      <c r="P1778">
        <v>95</v>
      </c>
      <c r="Q1778">
        <v>24.41</v>
      </c>
      <c r="R1778" t="s">
        <v>227</v>
      </c>
      <c r="S1778">
        <v>3.08</v>
      </c>
      <c r="T1778">
        <v>4.25</v>
      </c>
    </row>
    <row r="1779" spans="1:21" ht="15" customHeight="1" x14ac:dyDescent="0.25">
      <c r="A1779" s="2">
        <v>45320.88958333333</v>
      </c>
      <c r="B1779" t="s">
        <v>309</v>
      </c>
      <c r="C1779" t="s">
        <v>221</v>
      </c>
      <c r="D1779">
        <v>2</v>
      </c>
      <c r="E1779" t="s">
        <v>145</v>
      </c>
      <c r="F1779" t="s">
        <v>388</v>
      </c>
      <c r="G1779">
        <v>41.800643090000001</v>
      </c>
      <c r="H1779">
        <v>0</v>
      </c>
      <c r="I1779">
        <v>41.800643090000001</v>
      </c>
      <c r="J1779">
        <v>58.199356909999999</v>
      </c>
      <c r="K1779">
        <v>0.8</v>
      </c>
      <c r="L1779">
        <v>0.3</v>
      </c>
      <c r="M1779">
        <v>0.7</v>
      </c>
      <c r="N1779">
        <v>362</v>
      </c>
      <c r="O1779">
        <v>260</v>
      </c>
      <c r="P1779">
        <v>0</v>
      </c>
      <c r="Q1779">
        <v>41.8</v>
      </c>
      <c r="R1779" t="s">
        <v>241</v>
      </c>
      <c r="S1779">
        <v>1.08</v>
      </c>
      <c r="T1779">
        <v>1.17</v>
      </c>
    </row>
    <row r="1780" spans="1:21" ht="15" customHeight="1" x14ac:dyDescent="0.25">
      <c r="A1780" t="s">
        <v>19</v>
      </c>
      <c r="B1780" t="s">
        <v>20</v>
      </c>
      <c r="C1780" t="s">
        <v>306</v>
      </c>
      <c r="D1780">
        <v>3</v>
      </c>
      <c r="E1780" t="s">
        <v>145</v>
      </c>
      <c r="F1780" t="s">
        <v>388</v>
      </c>
      <c r="G1780">
        <v>30</v>
      </c>
      <c r="H1780">
        <v>25</v>
      </c>
      <c r="I1780">
        <f>G1780+H1780</f>
        <v>55</v>
      </c>
      <c r="J1780">
        <f>100-G1780-H1780</f>
        <v>45</v>
      </c>
      <c r="K1780" t="s">
        <v>19</v>
      </c>
      <c r="L1780" t="s">
        <v>19</v>
      </c>
      <c r="M1780" t="s">
        <v>19</v>
      </c>
      <c r="N1780" t="s">
        <v>19</v>
      </c>
      <c r="O1780" t="s">
        <v>19</v>
      </c>
      <c r="P1780" t="s">
        <v>19</v>
      </c>
      <c r="Q1780">
        <f>I1780</f>
        <v>55</v>
      </c>
      <c r="R1780" t="s">
        <v>19</v>
      </c>
      <c r="S1780" t="s">
        <v>19</v>
      </c>
      <c r="T1780" t="s">
        <v>19</v>
      </c>
    </row>
    <row r="1781" spans="1:21" ht="15" customHeight="1" x14ac:dyDescent="0.25">
      <c r="A1781" t="s">
        <v>19</v>
      </c>
      <c r="B1781" t="s">
        <v>20</v>
      </c>
      <c r="C1781" t="s">
        <v>320</v>
      </c>
      <c r="D1781">
        <v>3</v>
      </c>
      <c r="E1781" t="s">
        <v>145</v>
      </c>
      <c r="F1781" t="s">
        <v>388</v>
      </c>
      <c r="G1781">
        <v>10</v>
      </c>
      <c r="H1781">
        <v>35</v>
      </c>
      <c r="I1781">
        <f>100-J1781</f>
        <v>45</v>
      </c>
      <c r="J1781">
        <f>100-G1781-H1781</f>
        <v>55</v>
      </c>
      <c r="K1781" t="s">
        <v>19</v>
      </c>
      <c r="L1781" t="s">
        <v>19</v>
      </c>
      <c r="M1781" t="s">
        <v>19</v>
      </c>
      <c r="N1781" t="s">
        <v>19</v>
      </c>
      <c r="O1781" t="s">
        <v>19</v>
      </c>
      <c r="P1781" t="s">
        <v>19</v>
      </c>
      <c r="Q1781">
        <f>I1781</f>
        <v>45</v>
      </c>
      <c r="R1781" t="s">
        <v>19</v>
      </c>
      <c r="S1781" t="s">
        <v>19</v>
      </c>
      <c r="T1781" t="s">
        <v>19</v>
      </c>
    </row>
    <row r="1782" spans="1:21" ht="15" customHeight="1" x14ac:dyDescent="0.25">
      <c r="A1782" s="2">
        <v>45323.614803240744</v>
      </c>
      <c r="B1782" t="s">
        <v>309</v>
      </c>
      <c r="C1782" t="s">
        <v>322</v>
      </c>
      <c r="D1782">
        <v>3</v>
      </c>
      <c r="E1782" t="s">
        <v>145</v>
      </c>
      <c r="F1782" t="s">
        <v>388</v>
      </c>
      <c r="G1782">
        <f>(O1782/(N1782+O1782+P1782))*100</f>
        <v>15.593220338983052</v>
      </c>
      <c r="H1782">
        <f>(P1782/(O1782+P1782+N1782))*100</f>
        <v>15.423728813559324</v>
      </c>
      <c r="I1782">
        <v>31.02</v>
      </c>
      <c r="J1782">
        <f>(N1782/(P1782+O1782+N1782))*100</f>
        <v>68.983050847457633</v>
      </c>
      <c r="K1782">
        <v>0.8</v>
      </c>
      <c r="L1782">
        <v>0.3</v>
      </c>
      <c r="M1782">
        <v>0.7</v>
      </c>
      <c r="N1782">
        <v>407</v>
      </c>
      <c r="O1782">
        <v>92</v>
      </c>
      <c r="P1782">
        <v>91</v>
      </c>
      <c r="Q1782">
        <v>31.02</v>
      </c>
      <c r="R1782" t="s">
        <v>340</v>
      </c>
      <c r="S1782">
        <v>2.4900000000000002</v>
      </c>
      <c r="T1782">
        <v>3.33</v>
      </c>
      <c r="U1782">
        <v>74</v>
      </c>
    </row>
    <row r="1783" spans="1:21" ht="15" customHeight="1" x14ac:dyDescent="0.25">
      <c r="A1783" s="2">
        <v>45323.611215277779</v>
      </c>
      <c r="B1783" t="s">
        <v>309</v>
      </c>
      <c r="C1783" t="s">
        <v>322</v>
      </c>
      <c r="D1783">
        <v>3</v>
      </c>
      <c r="E1783" t="s">
        <v>145</v>
      </c>
      <c r="F1783" t="s">
        <v>388</v>
      </c>
      <c r="G1783">
        <f>(O1783/(N1783+O1783+P1783))*100</f>
        <v>18.627450980392158</v>
      </c>
      <c r="H1783">
        <f>(P1783/(O1783+P1783+N1783))*100</f>
        <v>15.686274509803921</v>
      </c>
      <c r="I1783">
        <v>34.31</v>
      </c>
      <c r="J1783">
        <f>(N1783/(P1783+O1783+N1783))*100</f>
        <v>65.686274509803923</v>
      </c>
      <c r="K1783">
        <v>0.7</v>
      </c>
      <c r="L1783">
        <v>0.3</v>
      </c>
      <c r="M1783">
        <v>0.7</v>
      </c>
      <c r="N1783">
        <v>402</v>
      </c>
      <c r="O1783">
        <v>114</v>
      </c>
      <c r="P1783">
        <v>96</v>
      </c>
      <c r="Q1783">
        <v>34.31</v>
      </c>
      <c r="R1783" t="s">
        <v>348</v>
      </c>
      <c r="S1783">
        <v>2.4900000000000002</v>
      </c>
      <c r="T1783">
        <v>3.33</v>
      </c>
      <c r="U1783">
        <v>52</v>
      </c>
    </row>
    <row r="1784" spans="1:21" ht="15" customHeight="1" x14ac:dyDescent="0.25">
      <c r="A1784" s="2">
        <v>45325.030671296299</v>
      </c>
      <c r="B1784" t="s">
        <v>309</v>
      </c>
      <c r="C1784" t="s">
        <v>368</v>
      </c>
      <c r="D1784">
        <v>2</v>
      </c>
      <c r="E1784" t="s">
        <v>145</v>
      </c>
      <c r="F1784" t="s">
        <v>388</v>
      </c>
      <c r="G1784">
        <f>(O1784/(N1784+O1784+P1784))*100</f>
        <v>39.935064935064936</v>
      </c>
      <c r="H1784">
        <f>(P1784/(O1784+P1784+N1784))*100</f>
        <v>0</v>
      </c>
      <c r="I1784">
        <v>39.94</v>
      </c>
      <c r="J1784">
        <f>(N1784/(P1784+O1784+N1784))*100</f>
        <v>60.064935064935064</v>
      </c>
      <c r="K1784">
        <v>0.8</v>
      </c>
      <c r="L1784">
        <v>0.3</v>
      </c>
      <c r="M1784">
        <v>0.7</v>
      </c>
      <c r="N1784">
        <v>370</v>
      </c>
      <c r="O1784">
        <v>246</v>
      </c>
      <c r="P1784">
        <v>0</v>
      </c>
      <c r="Q1784">
        <v>39.94</v>
      </c>
      <c r="R1784" t="s">
        <v>258</v>
      </c>
      <c r="S1784">
        <v>1.02</v>
      </c>
      <c r="T1784">
        <v>1.1100000000000001</v>
      </c>
    </row>
    <row r="1785" spans="1:21" ht="15" customHeight="1" x14ac:dyDescent="0.25">
      <c r="A1785" t="s">
        <v>19</v>
      </c>
      <c r="B1785" t="s">
        <v>20</v>
      </c>
      <c r="C1785" t="s">
        <v>306</v>
      </c>
      <c r="D1785">
        <v>3</v>
      </c>
      <c r="E1785" t="s">
        <v>146</v>
      </c>
      <c r="F1785" t="s">
        <v>373</v>
      </c>
      <c r="G1785">
        <v>0</v>
      </c>
      <c r="H1785">
        <v>0</v>
      </c>
      <c r="I1785">
        <f>G1785+H1785</f>
        <v>0</v>
      </c>
      <c r="J1785">
        <f>100-G1785-H1785</f>
        <v>100</v>
      </c>
      <c r="K1785" t="s">
        <v>19</v>
      </c>
      <c r="L1785" t="s">
        <v>19</v>
      </c>
      <c r="M1785" t="s">
        <v>19</v>
      </c>
      <c r="N1785" t="s">
        <v>19</v>
      </c>
      <c r="O1785" t="s">
        <v>19</v>
      </c>
      <c r="P1785" t="s">
        <v>19</v>
      </c>
      <c r="Q1785">
        <f>I1785</f>
        <v>0</v>
      </c>
      <c r="R1785" t="s">
        <v>19</v>
      </c>
      <c r="S1785" t="s">
        <v>19</v>
      </c>
      <c r="T1785" t="s">
        <v>19</v>
      </c>
    </row>
    <row r="1786" spans="1:21" ht="15" customHeight="1" x14ac:dyDescent="0.25">
      <c r="A1786" t="s">
        <v>19</v>
      </c>
      <c r="B1786" t="s">
        <v>20</v>
      </c>
      <c r="C1786" t="s">
        <v>308</v>
      </c>
      <c r="D1786">
        <v>3</v>
      </c>
      <c r="E1786" t="s">
        <v>146</v>
      </c>
      <c r="F1786" t="s">
        <v>373</v>
      </c>
      <c r="G1786">
        <v>0</v>
      </c>
      <c r="H1786">
        <v>0</v>
      </c>
      <c r="I1786">
        <f>G1786+H1786</f>
        <v>0</v>
      </c>
      <c r="J1786">
        <f>100-G1786-H1786</f>
        <v>100</v>
      </c>
      <c r="K1786" t="s">
        <v>19</v>
      </c>
      <c r="L1786" t="s">
        <v>19</v>
      </c>
      <c r="M1786" t="s">
        <v>19</v>
      </c>
      <c r="N1786" t="s">
        <v>19</v>
      </c>
      <c r="O1786" t="s">
        <v>19</v>
      </c>
      <c r="P1786" t="s">
        <v>19</v>
      </c>
      <c r="Q1786">
        <f>I1786</f>
        <v>0</v>
      </c>
      <c r="R1786" t="s">
        <v>19</v>
      </c>
      <c r="S1786" t="s">
        <v>19</v>
      </c>
      <c r="T1786" t="s">
        <v>19</v>
      </c>
    </row>
    <row r="1787" spans="1:21" ht="15" customHeight="1" x14ac:dyDescent="0.25">
      <c r="A1787" t="s">
        <v>19</v>
      </c>
      <c r="B1787" t="s">
        <v>20</v>
      </c>
      <c r="C1787" t="s">
        <v>22</v>
      </c>
      <c r="D1787">
        <v>3</v>
      </c>
      <c r="E1787" t="s">
        <v>146</v>
      </c>
      <c r="F1787" t="s">
        <v>373</v>
      </c>
      <c r="G1787">
        <v>0</v>
      </c>
      <c r="H1787">
        <v>0</v>
      </c>
      <c r="I1787">
        <f>G1787+H1787</f>
        <v>0</v>
      </c>
      <c r="J1787">
        <f>100-G1787-H1787</f>
        <v>100</v>
      </c>
      <c r="K1787" t="s">
        <v>19</v>
      </c>
      <c r="L1787" t="s">
        <v>19</v>
      </c>
      <c r="M1787" t="s">
        <v>19</v>
      </c>
      <c r="N1787" t="s">
        <v>19</v>
      </c>
      <c r="O1787" t="s">
        <v>19</v>
      </c>
      <c r="P1787" t="s">
        <v>19</v>
      </c>
      <c r="Q1787">
        <f>I1787</f>
        <v>0</v>
      </c>
      <c r="R1787" t="s">
        <v>19</v>
      </c>
      <c r="S1787" t="s">
        <v>19</v>
      </c>
      <c r="T1787" t="s">
        <v>19</v>
      </c>
    </row>
    <row r="1788" spans="1:21" ht="15" customHeight="1" x14ac:dyDescent="0.25">
      <c r="A1788" t="s">
        <v>19</v>
      </c>
      <c r="B1788" t="s">
        <v>20</v>
      </c>
      <c r="C1788" t="s">
        <v>305</v>
      </c>
      <c r="D1788">
        <v>3</v>
      </c>
      <c r="E1788" t="s">
        <v>146</v>
      </c>
      <c r="F1788" t="s">
        <v>373</v>
      </c>
      <c r="G1788">
        <v>0</v>
      </c>
      <c r="H1788">
        <v>0</v>
      </c>
      <c r="I1788">
        <f>G1788+H1788</f>
        <v>0</v>
      </c>
      <c r="J1788">
        <f>100-G1788-H1788</f>
        <v>100</v>
      </c>
      <c r="K1788" t="s">
        <v>19</v>
      </c>
      <c r="L1788" t="s">
        <v>19</v>
      </c>
      <c r="M1788" t="s">
        <v>19</v>
      </c>
      <c r="N1788" t="s">
        <v>19</v>
      </c>
      <c r="O1788" t="s">
        <v>19</v>
      </c>
      <c r="P1788" t="s">
        <v>19</v>
      </c>
      <c r="Q1788">
        <f>I1788</f>
        <v>0</v>
      </c>
      <c r="R1788" t="s">
        <v>19</v>
      </c>
      <c r="S1788" t="s">
        <v>19</v>
      </c>
      <c r="T1788" t="s">
        <v>19</v>
      </c>
    </row>
    <row r="1789" spans="1:21" ht="15" customHeight="1" x14ac:dyDescent="0.25">
      <c r="A1789" t="s">
        <v>19</v>
      </c>
      <c r="B1789" t="s">
        <v>20</v>
      </c>
      <c r="C1789" t="s">
        <v>307</v>
      </c>
      <c r="D1789">
        <v>3</v>
      </c>
      <c r="E1789" t="s">
        <v>146</v>
      </c>
      <c r="F1789" t="s">
        <v>373</v>
      </c>
      <c r="G1789">
        <v>0</v>
      </c>
      <c r="H1789">
        <v>0</v>
      </c>
      <c r="I1789">
        <f>G1789+H1789</f>
        <v>0</v>
      </c>
      <c r="J1789">
        <f>100-G1789-H1789</f>
        <v>100</v>
      </c>
      <c r="K1789" t="s">
        <v>19</v>
      </c>
      <c r="L1789" t="s">
        <v>19</v>
      </c>
      <c r="M1789" t="s">
        <v>19</v>
      </c>
      <c r="N1789" t="s">
        <v>19</v>
      </c>
      <c r="O1789" t="s">
        <v>19</v>
      </c>
      <c r="P1789" t="s">
        <v>19</v>
      </c>
      <c r="Q1789">
        <f>I1789</f>
        <v>0</v>
      </c>
      <c r="R1789" t="s">
        <v>19</v>
      </c>
      <c r="S1789" t="s">
        <v>19</v>
      </c>
      <c r="T1789" t="s">
        <v>19</v>
      </c>
    </row>
    <row r="1790" spans="1:21" ht="15" customHeight="1" x14ac:dyDescent="0.25">
      <c r="A1790" s="2">
        <v>45253.761111111111</v>
      </c>
      <c r="B1790" t="s">
        <v>309</v>
      </c>
      <c r="C1790" t="s">
        <v>213</v>
      </c>
      <c r="D1790">
        <v>3</v>
      </c>
      <c r="E1790" t="s">
        <v>146</v>
      </c>
      <c r="F1790" t="s">
        <v>373</v>
      </c>
      <c r="G1790">
        <v>0.517241379</v>
      </c>
      <c r="H1790">
        <v>0.517241379</v>
      </c>
      <c r="I1790">
        <v>1.0344827590000001</v>
      </c>
      <c r="J1790">
        <v>98.965517239999997</v>
      </c>
      <c r="K1790">
        <v>0.8</v>
      </c>
      <c r="L1790">
        <v>0.2</v>
      </c>
      <c r="M1790">
        <v>0.7</v>
      </c>
      <c r="N1790">
        <v>574</v>
      </c>
      <c r="O1790">
        <v>3</v>
      </c>
      <c r="P1790">
        <v>3</v>
      </c>
      <c r="Q1790">
        <v>1.03</v>
      </c>
      <c r="R1790" t="s">
        <v>238</v>
      </c>
      <c r="S1790">
        <v>2.85</v>
      </c>
      <c r="T1790">
        <v>3.07</v>
      </c>
    </row>
    <row r="1791" spans="1:21" ht="15" customHeight="1" x14ac:dyDescent="0.25">
      <c r="A1791" s="2">
        <v>45253.951388888891</v>
      </c>
      <c r="B1791" t="s">
        <v>309</v>
      </c>
      <c r="C1791" t="s">
        <v>215</v>
      </c>
      <c r="D1791">
        <v>2</v>
      </c>
      <c r="E1791" t="s">
        <v>146</v>
      </c>
      <c r="F1791" t="s">
        <v>373</v>
      </c>
      <c r="G1791">
        <v>2.456647399</v>
      </c>
      <c r="H1791">
        <v>0</v>
      </c>
      <c r="I1791">
        <v>2.456647399</v>
      </c>
      <c r="J1791">
        <v>97.543352600000006</v>
      </c>
      <c r="K1791">
        <v>0.8</v>
      </c>
      <c r="L1791">
        <v>0.2</v>
      </c>
      <c r="M1791">
        <v>0.7</v>
      </c>
      <c r="N1791">
        <v>675</v>
      </c>
      <c r="O1791">
        <v>17</v>
      </c>
      <c r="P1791">
        <v>0</v>
      </c>
      <c r="Q1791">
        <v>2.46</v>
      </c>
      <c r="R1791" t="s">
        <v>243</v>
      </c>
      <c r="S1791">
        <v>0.08</v>
      </c>
      <c r="T1791">
        <v>0.08</v>
      </c>
    </row>
    <row r="1792" spans="1:21" ht="15" customHeight="1" x14ac:dyDescent="0.25">
      <c r="A1792" s="2">
        <v>45254.127083333333</v>
      </c>
      <c r="B1792" t="s">
        <v>309</v>
      </c>
      <c r="C1792" t="s">
        <v>217</v>
      </c>
      <c r="D1792">
        <v>2</v>
      </c>
      <c r="E1792" t="s">
        <v>146</v>
      </c>
      <c r="F1792" t="s">
        <v>373</v>
      </c>
      <c r="G1792">
        <v>4.0540540539999999</v>
      </c>
      <c r="H1792">
        <v>0</v>
      </c>
      <c r="I1792">
        <v>4.0540540539999999</v>
      </c>
      <c r="J1792">
        <v>95.945945949999995</v>
      </c>
      <c r="K1792">
        <v>0.8</v>
      </c>
      <c r="L1792">
        <v>0.2</v>
      </c>
      <c r="M1792">
        <v>0.7</v>
      </c>
      <c r="N1792">
        <v>568</v>
      </c>
      <c r="O1792">
        <v>24</v>
      </c>
      <c r="P1792">
        <v>0</v>
      </c>
      <c r="Q1792">
        <v>4.05</v>
      </c>
      <c r="R1792" t="s">
        <v>226</v>
      </c>
      <c r="S1792">
        <v>0.21</v>
      </c>
      <c r="T1792">
        <v>0.22</v>
      </c>
    </row>
    <row r="1793" spans="1:21" ht="15" customHeight="1" x14ac:dyDescent="0.25">
      <c r="A1793" s="2">
        <v>45316.463194444441</v>
      </c>
      <c r="B1793" t="s">
        <v>309</v>
      </c>
      <c r="C1793" t="s">
        <v>219</v>
      </c>
      <c r="D1793">
        <v>3</v>
      </c>
      <c r="E1793" t="s">
        <v>146</v>
      </c>
      <c r="F1793" t="s">
        <v>373</v>
      </c>
      <c r="G1793">
        <v>0.27247956400000001</v>
      </c>
      <c r="H1793">
        <v>1.089918256</v>
      </c>
      <c r="I1793">
        <v>1.36239782</v>
      </c>
      <c r="J1793">
        <v>98.637602180000002</v>
      </c>
      <c r="K1793">
        <v>0.8</v>
      </c>
      <c r="L1793">
        <v>0.2</v>
      </c>
      <c r="M1793">
        <v>0.7</v>
      </c>
      <c r="N1793">
        <v>362</v>
      </c>
      <c r="O1793">
        <v>1</v>
      </c>
      <c r="P1793">
        <v>4</v>
      </c>
      <c r="Q1793">
        <v>1.36</v>
      </c>
      <c r="R1793" t="s">
        <v>225</v>
      </c>
      <c r="S1793">
        <v>3.27</v>
      </c>
      <c r="T1793">
        <v>4.3099999999999996</v>
      </c>
    </row>
    <row r="1794" spans="1:21" ht="15" customHeight="1" x14ac:dyDescent="0.25">
      <c r="A1794" s="2">
        <v>45320.988194444442</v>
      </c>
      <c r="B1794" t="s">
        <v>309</v>
      </c>
      <c r="C1794" t="s">
        <v>221</v>
      </c>
      <c r="D1794">
        <v>2</v>
      </c>
      <c r="E1794" t="s">
        <v>146</v>
      </c>
      <c r="F1794" t="s">
        <v>373</v>
      </c>
      <c r="G1794">
        <v>0.43290043299999997</v>
      </c>
      <c r="H1794">
        <v>0</v>
      </c>
      <c r="I1794">
        <v>0.43290043299999997</v>
      </c>
      <c r="J1794">
        <v>99.567099569999996</v>
      </c>
      <c r="K1794">
        <v>0.8</v>
      </c>
      <c r="L1794">
        <v>0.3</v>
      </c>
      <c r="M1794">
        <v>0.7</v>
      </c>
      <c r="N1794">
        <v>690</v>
      </c>
      <c r="O1794">
        <v>3</v>
      </c>
      <c r="P1794">
        <v>0</v>
      </c>
      <c r="Q1794">
        <v>0.43</v>
      </c>
      <c r="R1794" t="s">
        <v>225</v>
      </c>
      <c r="S1794">
        <v>0.02</v>
      </c>
      <c r="T1794">
        <v>0.02</v>
      </c>
    </row>
    <row r="1795" spans="1:21" ht="15" customHeight="1" x14ac:dyDescent="0.25">
      <c r="A1795" t="s">
        <v>19</v>
      </c>
      <c r="B1795" t="s">
        <v>20</v>
      </c>
      <c r="C1795" t="s">
        <v>320</v>
      </c>
      <c r="D1795">
        <v>3</v>
      </c>
      <c r="E1795" t="s">
        <v>146</v>
      </c>
      <c r="F1795" t="s">
        <v>373</v>
      </c>
      <c r="G1795">
        <v>0</v>
      </c>
      <c r="H1795">
        <v>0</v>
      </c>
      <c r="I1795">
        <f>100-J1795</f>
        <v>0</v>
      </c>
      <c r="J1795">
        <f>100-G1795-H1795</f>
        <v>100</v>
      </c>
      <c r="K1795" t="s">
        <v>19</v>
      </c>
      <c r="L1795" t="s">
        <v>19</v>
      </c>
      <c r="M1795" t="s">
        <v>19</v>
      </c>
      <c r="N1795" t="s">
        <v>19</v>
      </c>
      <c r="O1795" t="s">
        <v>19</v>
      </c>
      <c r="P1795" t="s">
        <v>19</v>
      </c>
      <c r="Q1795">
        <f>I1795</f>
        <v>0</v>
      </c>
      <c r="R1795" t="s">
        <v>19</v>
      </c>
      <c r="S1795" t="s">
        <v>19</v>
      </c>
      <c r="T1795" t="s">
        <v>19</v>
      </c>
    </row>
    <row r="1796" spans="1:21" ht="15" customHeight="1" x14ac:dyDescent="0.25">
      <c r="A1796" s="2">
        <v>45323.609895833331</v>
      </c>
      <c r="B1796" t="s">
        <v>309</v>
      </c>
      <c r="C1796" t="s">
        <v>322</v>
      </c>
      <c r="D1796">
        <v>3</v>
      </c>
      <c r="E1796" t="s">
        <v>146</v>
      </c>
      <c r="F1796" t="s">
        <v>373</v>
      </c>
      <c r="G1796">
        <f>(O1796/(N1796+O1796+P1796))*100</f>
        <v>0.14792899408284024</v>
      </c>
      <c r="H1796">
        <f>(P1796/(O1796+P1796+N1796))*100</f>
        <v>0</v>
      </c>
      <c r="I1796">
        <f>((O1796+P1796)/(P1796+O1796+N1796))*100</f>
        <v>0.14792899408284024</v>
      </c>
      <c r="J1796">
        <f>(N1796/(P1796+O1796+N1796))*100</f>
        <v>99.852071005917168</v>
      </c>
      <c r="K1796">
        <v>0.8</v>
      </c>
      <c r="L1796">
        <v>0.3</v>
      </c>
      <c r="M1796">
        <v>0.7</v>
      </c>
      <c r="N1796">
        <v>675</v>
      </c>
      <c r="O1796">
        <v>1</v>
      </c>
      <c r="P1796">
        <v>0</v>
      </c>
      <c r="Q1796">
        <v>0.15</v>
      </c>
      <c r="R1796" t="s">
        <v>336</v>
      </c>
      <c r="S1796">
        <v>2.66</v>
      </c>
      <c r="T1796">
        <v>3.28</v>
      </c>
      <c r="U1796">
        <v>27</v>
      </c>
    </row>
    <row r="1797" spans="1:21" ht="15" customHeight="1" x14ac:dyDescent="0.25">
      <c r="A1797" s="2">
        <v>45323.614791666667</v>
      </c>
      <c r="B1797" t="s">
        <v>309</v>
      </c>
      <c r="C1797" t="s">
        <v>322</v>
      </c>
      <c r="D1797">
        <v>3</v>
      </c>
      <c r="E1797" t="s">
        <v>146</v>
      </c>
      <c r="F1797" t="s">
        <v>373</v>
      </c>
      <c r="G1797">
        <f>(O1797/(N1797+O1797+P1797))*100</f>
        <v>0.14792899408284024</v>
      </c>
      <c r="H1797">
        <f>(P1797/(O1797+P1797+N1797))*100</f>
        <v>0.14792899408284024</v>
      </c>
      <c r="I1797">
        <f>((O1797+P1797)/(P1797+O1797+N1797))*100</f>
        <v>0.29585798816568049</v>
      </c>
      <c r="J1797">
        <f>(N1797/(P1797+O1797+N1797))*100</f>
        <v>99.704142011834321</v>
      </c>
      <c r="K1797">
        <v>0.7</v>
      </c>
      <c r="L1797">
        <v>0.3</v>
      </c>
      <c r="M1797">
        <v>0.7</v>
      </c>
      <c r="N1797">
        <v>674</v>
      </c>
      <c r="O1797">
        <v>1</v>
      </c>
      <c r="P1797">
        <v>1</v>
      </c>
      <c r="Q1797">
        <v>0.3</v>
      </c>
      <c r="R1797" t="s">
        <v>353</v>
      </c>
      <c r="S1797">
        <v>2.66</v>
      </c>
      <c r="T1797">
        <v>3.28</v>
      </c>
      <c r="U1797">
        <v>27</v>
      </c>
    </row>
    <row r="1798" spans="1:21" ht="15" customHeight="1" x14ac:dyDescent="0.25">
      <c r="A1798" s="2">
        <v>45325.174791666665</v>
      </c>
      <c r="B1798" t="s">
        <v>309</v>
      </c>
      <c r="C1798" t="s">
        <v>368</v>
      </c>
      <c r="D1798">
        <v>2</v>
      </c>
      <c r="E1798" t="s">
        <v>146</v>
      </c>
      <c r="F1798" t="s">
        <v>373</v>
      </c>
      <c r="G1798">
        <f>(O1798/(N1798+O1798+P1798))*100</f>
        <v>0.29673590504451042</v>
      </c>
      <c r="H1798">
        <f>(P1798/(O1798+P1798+N1798))*100</f>
        <v>0</v>
      </c>
      <c r="I1798">
        <v>0.3</v>
      </c>
      <c r="J1798">
        <f>(N1798/(P1798+O1798+N1798))*100</f>
        <v>99.703264094955486</v>
      </c>
      <c r="K1798">
        <v>0.8</v>
      </c>
      <c r="L1798">
        <v>0.3</v>
      </c>
      <c r="M1798">
        <v>0.7</v>
      </c>
      <c r="N1798">
        <v>672</v>
      </c>
      <c r="O1798">
        <v>2</v>
      </c>
      <c r="P1798">
        <v>0</v>
      </c>
      <c r="Q1798">
        <v>0.3</v>
      </c>
      <c r="R1798" t="s">
        <v>261</v>
      </c>
      <c r="S1798">
        <v>0.02</v>
      </c>
      <c r="T1798">
        <v>0.02</v>
      </c>
    </row>
    <row r="1799" spans="1:21" ht="15" customHeight="1" x14ac:dyDescent="0.25">
      <c r="A1799" t="s">
        <v>19</v>
      </c>
      <c r="B1799" t="s">
        <v>20</v>
      </c>
      <c r="C1799" t="s">
        <v>308</v>
      </c>
      <c r="D1799">
        <v>3</v>
      </c>
      <c r="E1799" t="s">
        <v>147</v>
      </c>
      <c r="F1799" t="s">
        <v>388</v>
      </c>
      <c r="G1799">
        <v>0</v>
      </c>
      <c r="H1799">
        <v>0</v>
      </c>
      <c r="I1799">
        <f>G1799+H1799</f>
        <v>0</v>
      </c>
      <c r="J1799">
        <f>100-G1799-H1799</f>
        <v>100</v>
      </c>
      <c r="K1799" t="s">
        <v>19</v>
      </c>
      <c r="L1799" t="s">
        <v>19</v>
      </c>
      <c r="M1799" t="s">
        <v>19</v>
      </c>
      <c r="N1799" t="s">
        <v>19</v>
      </c>
      <c r="O1799" t="s">
        <v>19</v>
      </c>
      <c r="P1799" t="s">
        <v>19</v>
      </c>
      <c r="Q1799">
        <f>I1799</f>
        <v>0</v>
      </c>
      <c r="R1799" t="s">
        <v>19</v>
      </c>
      <c r="S1799" t="s">
        <v>19</v>
      </c>
      <c r="T1799" t="s">
        <v>19</v>
      </c>
    </row>
    <row r="1800" spans="1:21" ht="15" customHeight="1" x14ac:dyDescent="0.25">
      <c r="A1800" t="s">
        <v>19</v>
      </c>
      <c r="B1800" t="s">
        <v>20</v>
      </c>
      <c r="C1800" t="s">
        <v>22</v>
      </c>
      <c r="D1800">
        <v>3</v>
      </c>
      <c r="E1800" t="s">
        <v>147</v>
      </c>
      <c r="F1800" t="s">
        <v>388</v>
      </c>
      <c r="G1800">
        <v>0</v>
      </c>
      <c r="H1800">
        <v>0</v>
      </c>
      <c r="I1800">
        <f>G1800+H1800</f>
        <v>0</v>
      </c>
      <c r="J1800">
        <f>100-G1800-H1800</f>
        <v>100</v>
      </c>
      <c r="K1800" t="s">
        <v>19</v>
      </c>
      <c r="L1800" t="s">
        <v>19</v>
      </c>
      <c r="M1800" t="s">
        <v>19</v>
      </c>
      <c r="N1800" t="s">
        <v>19</v>
      </c>
      <c r="O1800" t="s">
        <v>19</v>
      </c>
      <c r="P1800" t="s">
        <v>19</v>
      </c>
      <c r="Q1800">
        <f>I1800</f>
        <v>0</v>
      </c>
      <c r="R1800" t="s">
        <v>19</v>
      </c>
      <c r="S1800" t="s">
        <v>19</v>
      </c>
      <c r="T1800" t="s">
        <v>19</v>
      </c>
    </row>
    <row r="1801" spans="1:21" ht="15" customHeight="1" x14ac:dyDescent="0.25">
      <c r="A1801" t="s">
        <v>19</v>
      </c>
      <c r="B1801" t="s">
        <v>20</v>
      </c>
      <c r="C1801" t="s">
        <v>305</v>
      </c>
      <c r="D1801">
        <v>3</v>
      </c>
      <c r="E1801" t="s">
        <v>147</v>
      </c>
      <c r="F1801" t="s">
        <v>388</v>
      </c>
      <c r="G1801">
        <v>0</v>
      </c>
      <c r="H1801">
        <v>0</v>
      </c>
      <c r="I1801">
        <f>G1801+H1801</f>
        <v>0</v>
      </c>
      <c r="J1801">
        <f>100-G1801-H1801</f>
        <v>100</v>
      </c>
      <c r="K1801" t="s">
        <v>19</v>
      </c>
      <c r="L1801" t="s">
        <v>19</v>
      </c>
      <c r="M1801" t="s">
        <v>19</v>
      </c>
      <c r="N1801" t="s">
        <v>19</v>
      </c>
      <c r="O1801" t="s">
        <v>19</v>
      </c>
      <c r="P1801" t="s">
        <v>19</v>
      </c>
      <c r="Q1801">
        <f>I1801</f>
        <v>0</v>
      </c>
      <c r="R1801" t="s">
        <v>19</v>
      </c>
      <c r="S1801" t="s">
        <v>19</v>
      </c>
      <c r="T1801" t="s">
        <v>19</v>
      </c>
    </row>
    <row r="1802" spans="1:21" ht="15" customHeight="1" x14ac:dyDescent="0.25">
      <c r="A1802" t="s">
        <v>19</v>
      </c>
      <c r="B1802" t="s">
        <v>20</v>
      </c>
      <c r="C1802" t="s">
        <v>307</v>
      </c>
      <c r="D1802">
        <v>3</v>
      </c>
      <c r="E1802" t="s">
        <v>147</v>
      </c>
      <c r="F1802" t="s">
        <v>388</v>
      </c>
      <c r="G1802">
        <v>0</v>
      </c>
      <c r="H1802">
        <v>0</v>
      </c>
      <c r="I1802">
        <f>G1802+H1802</f>
        <v>0</v>
      </c>
      <c r="J1802">
        <f>100-G1802-H1802</f>
        <v>100</v>
      </c>
      <c r="K1802" t="s">
        <v>19</v>
      </c>
      <c r="L1802" t="s">
        <v>19</v>
      </c>
      <c r="M1802" t="s">
        <v>19</v>
      </c>
      <c r="N1802" t="s">
        <v>19</v>
      </c>
      <c r="O1802" t="s">
        <v>19</v>
      </c>
      <c r="P1802" t="s">
        <v>19</v>
      </c>
      <c r="Q1802">
        <f>I1802</f>
        <v>0</v>
      </c>
      <c r="R1802" t="s">
        <v>19</v>
      </c>
      <c r="S1802" t="s">
        <v>19</v>
      </c>
      <c r="T1802" t="s">
        <v>19</v>
      </c>
    </row>
    <row r="1803" spans="1:21" ht="15" customHeight="1" x14ac:dyDescent="0.25">
      <c r="A1803" s="2">
        <v>45253.604166666664</v>
      </c>
      <c r="B1803" t="s">
        <v>309</v>
      </c>
      <c r="C1803" t="s">
        <v>213</v>
      </c>
      <c r="D1803">
        <v>3</v>
      </c>
      <c r="E1803" t="s">
        <v>147</v>
      </c>
      <c r="F1803" t="s">
        <v>388</v>
      </c>
      <c r="G1803">
        <v>0.134952767</v>
      </c>
      <c r="H1803">
        <v>2.5641025640000001</v>
      </c>
      <c r="I1803">
        <v>2.6990553309999998</v>
      </c>
      <c r="J1803">
        <v>97.300944670000007</v>
      </c>
      <c r="K1803">
        <v>0.8</v>
      </c>
      <c r="L1803">
        <v>0.2</v>
      </c>
      <c r="M1803">
        <v>0.7</v>
      </c>
      <c r="N1803">
        <v>721</v>
      </c>
      <c r="O1803">
        <v>1</v>
      </c>
      <c r="P1803">
        <v>19</v>
      </c>
      <c r="Q1803">
        <v>2.7</v>
      </c>
      <c r="R1803" t="s">
        <v>253</v>
      </c>
      <c r="S1803">
        <v>2.67</v>
      </c>
      <c r="T1803">
        <v>3.63</v>
      </c>
    </row>
    <row r="1804" spans="1:21" ht="15" customHeight="1" x14ac:dyDescent="0.25">
      <c r="A1804" s="2">
        <v>45253.868055555555</v>
      </c>
      <c r="B1804" t="s">
        <v>309</v>
      </c>
      <c r="C1804" t="s">
        <v>215</v>
      </c>
      <c r="D1804">
        <v>2</v>
      </c>
      <c r="E1804" t="s">
        <v>147</v>
      </c>
      <c r="F1804" t="s">
        <v>388</v>
      </c>
      <c r="G1804">
        <v>2.6098901099999998</v>
      </c>
      <c r="H1804">
        <v>0</v>
      </c>
      <c r="I1804">
        <v>2.6098901099999998</v>
      </c>
      <c r="J1804">
        <v>97.390109890000005</v>
      </c>
      <c r="K1804">
        <v>0.8</v>
      </c>
      <c r="L1804">
        <v>0.2</v>
      </c>
      <c r="M1804">
        <v>0.7</v>
      </c>
      <c r="N1804">
        <v>709</v>
      </c>
      <c r="O1804">
        <v>19</v>
      </c>
      <c r="P1804">
        <v>0</v>
      </c>
      <c r="Q1804">
        <v>2.61</v>
      </c>
      <c r="R1804" t="s">
        <v>216</v>
      </c>
      <c r="S1804">
        <v>0.09</v>
      </c>
      <c r="T1804">
        <v>0.1</v>
      </c>
    </row>
    <row r="1805" spans="1:21" ht="15" customHeight="1" x14ac:dyDescent="0.25">
      <c r="A1805" s="2">
        <v>45254.037499999999</v>
      </c>
      <c r="B1805" t="s">
        <v>309</v>
      </c>
      <c r="C1805" t="s">
        <v>217</v>
      </c>
      <c r="D1805">
        <v>2</v>
      </c>
      <c r="E1805" t="s">
        <v>147</v>
      </c>
      <c r="F1805" t="s">
        <v>388</v>
      </c>
      <c r="G1805">
        <v>5.0151975679999996</v>
      </c>
      <c r="H1805">
        <v>0</v>
      </c>
      <c r="I1805">
        <v>5.0151975679999996</v>
      </c>
      <c r="J1805">
        <v>94.984802430000002</v>
      </c>
      <c r="K1805">
        <v>0.8</v>
      </c>
      <c r="L1805">
        <v>0.2</v>
      </c>
      <c r="M1805">
        <v>0.7</v>
      </c>
      <c r="N1805">
        <v>625</v>
      </c>
      <c r="O1805">
        <v>33</v>
      </c>
      <c r="P1805">
        <v>0</v>
      </c>
      <c r="Q1805">
        <v>5.0199999999999996</v>
      </c>
      <c r="R1805" t="s">
        <v>225</v>
      </c>
      <c r="S1805">
        <v>0.22</v>
      </c>
      <c r="T1805">
        <v>0.23</v>
      </c>
    </row>
    <row r="1806" spans="1:21" ht="15" customHeight="1" x14ac:dyDescent="0.25">
      <c r="A1806" s="2">
        <v>45316.54791666667</v>
      </c>
      <c r="B1806" t="s">
        <v>309</v>
      </c>
      <c r="C1806" t="s">
        <v>219</v>
      </c>
      <c r="D1806">
        <v>3</v>
      </c>
      <c r="E1806" t="s">
        <v>147</v>
      </c>
      <c r="F1806" t="s">
        <v>388</v>
      </c>
      <c r="G1806">
        <v>0</v>
      </c>
      <c r="H1806">
        <v>3.8681948419999999</v>
      </c>
      <c r="I1806">
        <v>3.8681948419999999</v>
      </c>
      <c r="J1806">
        <v>96.131805159999999</v>
      </c>
      <c r="K1806">
        <v>0.8</v>
      </c>
      <c r="L1806">
        <v>0.2</v>
      </c>
      <c r="M1806">
        <v>0.7</v>
      </c>
      <c r="N1806">
        <v>671</v>
      </c>
      <c r="O1806">
        <v>0</v>
      </c>
      <c r="P1806">
        <v>27</v>
      </c>
      <c r="Q1806">
        <v>3.87</v>
      </c>
      <c r="R1806" t="s">
        <v>229</v>
      </c>
      <c r="S1806">
        <v>3.17</v>
      </c>
      <c r="T1806">
        <v>4.47</v>
      </c>
    </row>
    <row r="1807" spans="1:21" ht="15" customHeight="1" x14ac:dyDescent="0.25">
      <c r="A1807" s="2">
        <v>45320.890972222223</v>
      </c>
      <c r="B1807" t="s">
        <v>309</v>
      </c>
      <c r="C1807" t="s">
        <v>221</v>
      </c>
      <c r="D1807">
        <v>2</v>
      </c>
      <c r="E1807" t="s">
        <v>147</v>
      </c>
      <c r="F1807" t="s">
        <v>388</v>
      </c>
      <c r="G1807">
        <v>0.159744409</v>
      </c>
      <c r="H1807">
        <v>0</v>
      </c>
      <c r="I1807">
        <v>0.159744409</v>
      </c>
      <c r="J1807">
        <v>99.840255589999998</v>
      </c>
      <c r="K1807">
        <v>0.8</v>
      </c>
      <c r="L1807">
        <v>0.3</v>
      </c>
      <c r="M1807">
        <v>0.7</v>
      </c>
      <c r="N1807">
        <v>625</v>
      </c>
      <c r="O1807">
        <v>1</v>
      </c>
      <c r="P1807">
        <v>0</v>
      </c>
      <c r="Q1807">
        <v>0.16</v>
      </c>
      <c r="R1807" t="s">
        <v>229</v>
      </c>
      <c r="S1807">
        <v>0.02</v>
      </c>
      <c r="T1807">
        <v>0.02</v>
      </c>
    </row>
    <row r="1808" spans="1:21" ht="15" customHeight="1" x14ac:dyDescent="0.25">
      <c r="A1808" t="s">
        <v>19</v>
      </c>
      <c r="B1808" t="s">
        <v>20</v>
      </c>
      <c r="C1808" t="s">
        <v>306</v>
      </c>
      <c r="D1808">
        <v>3</v>
      </c>
      <c r="E1808" t="s">
        <v>147</v>
      </c>
      <c r="F1808" t="s">
        <v>388</v>
      </c>
      <c r="G1808">
        <v>0</v>
      </c>
      <c r="H1808">
        <v>0</v>
      </c>
      <c r="I1808">
        <f>G1808+H1808</f>
        <v>0</v>
      </c>
      <c r="J1808">
        <f>100-G1808-H1808</f>
        <v>100</v>
      </c>
      <c r="K1808" t="s">
        <v>19</v>
      </c>
      <c r="L1808" t="s">
        <v>19</v>
      </c>
      <c r="M1808" t="s">
        <v>19</v>
      </c>
      <c r="N1808" t="s">
        <v>19</v>
      </c>
      <c r="O1808" t="s">
        <v>19</v>
      </c>
      <c r="P1808" t="s">
        <v>19</v>
      </c>
      <c r="Q1808">
        <f>I1808</f>
        <v>0</v>
      </c>
      <c r="R1808" t="s">
        <v>19</v>
      </c>
      <c r="S1808" t="s">
        <v>19</v>
      </c>
      <c r="T1808" t="s">
        <v>19</v>
      </c>
    </row>
    <row r="1809" spans="1:21" ht="15" customHeight="1" x14ac:dyDescent="0.25">
      <c r="A1809" t="s">
        <v>19</v>
      </c>
      <c r="B1809" t="s">
        <v>20</v>
      </c>
      <c r="C1809" t="s">
        <v>320</v>
      </c>
      <c r="D1809">
        <v>3</v>
      </c>
      <c r="E1809" t="s">
        <v>147</v>
      </c>
      <c r="F1809" t="s">
        <v>388</v>
      </c>
      <c r="G1809">
        <v>0</v>
      </c>
      <c r="H1809">
        <v>0</v>
      </c>
      <c r="I1809">
        <f>100-J1809</f>
        <v>0</v>
      </c>
      <c r="J1809">
        <f>100-G1809-H1809</f>
        <v>100</v>
      </c>
      <c r="K1809" t="s">
        <v>19</v>
      </c>
      <c r="L1809" t="s">
        <v>19</v>
      </c>
      <c r="M1809" t="s">
        <v>19</v>
      </c>
      <c r="N1809" t="s">
        <v>19</v>
      </c>
      <c r="O1809" t="s">
        <v>19</v>
      </c>
      <c r="P1809" t="s">
        <v>19</v>
      </c>
      <c r="Q1809">
        <f>I1809</f>
        <v>0</v>
      </c>
      <c r="R1809" t="s">
        <v>19</v>
      </c>
      <c r="S1809" t="s">
        <v>19</v>
      </c>
      <c r="T1809" t="s">
        <v>19</v>
      </c>
    </row>
    <row r="1810" spans="1:21" ht="15" customHeight="1" x14ac:dyDescent="0.25">
      <c r="A1810" s="2">
        <v>45323.616539351853</v>
      </c>
      <c r="B1810" t="s">
        <v>309</v>
      </c>
      <c r="C1810" t="s">
        <v>322</v>
      </c>
      <c r="D1810">
        <v>3</v>
      </c>
      <c r="E1810" t="s">
        <v>147</v>
      </c>
      <c r="F1810" t="s">
        <v>388</v>
      </c>
      <c r="G1810">
        <f>(O1810/(N1810+O1810+P1810))*100</f>
        <v>0.15698587127158556</v>
      </c>
      <c r="H1810">
        <f>(P1810/(O1810+P1810+N1810))*100</f>
        <v>0</v>
      </c>
      <c r="I1810">
        <v>0.16</v>
      </c>
      <c r="J1810">
        <f>(N1810/(P1810+O1810+N1810))*100</f>
        <v>99.843014128728413</v>
      </c>
      <c r="K1810">
        <v>0.8</v>
      </c>
      <c r="L1810">
        <v>0.3</v>
      </c>
      <c r="M1810">
        <v>0.7</v>
      </c>
      <c r="N1810">
        <v>636</v>
      </c>
      <c r="O1810">
        <v>1</v>
      </c>
      <c r="P1810">
        <v>0</v>
      </c>
      <c r="Q1810">
        <v>0.16</v>
      </c>
      <c r="R1810" t="s">
        <v>245</v>
      </c>
      <c r="S1810">
        <v>2.5299999999999998</v>
      </c>
      <c r="T1810">
        <v>3.83</v>
      </c>
      <c r="U1810">
        <v>4</v>
      </c>
    </row>
    <row r="1811" spans="1:21" ht="15" customHeight="1" x14ac:dyDescent="0.25">
      <c r="A1811" s="2">
        <v>45323.613067129627</v>
      </c>
      <c r="B1811" t="s">
        <v>309</v>
      </c>
      <c r="C1811" t="s">
        <v>322</v>
      </c>
      <c r="D1811">
        <v>3</v>
      </c>
      <c r="E1811" t="s">
        <v>147</v>
      </c>
      <c r="F1811" t="s">
        <v>388</v>
      </c>
      <c r="G1811">
        <f>(O1811/(N1811+O1811+P1811))*100</f>
        <v>0.15698587127158556</v>
      </c>
      <c r="H1811">
        <f>(P1811/(O1811+P1811+N1811))*100</f>
        <v>0</v>
      </c>
      <c r="I1811">
        <v>0.16</v>
      </c>
      <c r="J1811">
        <f>(N1811/(P1811+O1811+N1811))*100</f>
        <v>99.843014128728413</v>
      </c>
      <c r="K1811">
        <v>0.7</v>
      </c>
      <c r="L1811">
        <v>0.3</v>
      </c>
      <c r="M1811">
        <v>0.7</v>
      </c>
      <c r="N1811">
        <v>636</v>
      </c>
      <c r="O1811">
        <v>1</v>
      </c>
      <c r="P1811">
        <v>0</v>
      </c>
      <c r="Q1811">
        <v>0.16</v>
      </c>
      <c r="R1811" t="s">
        <v>338</v>
      </c>
      <c r="S1811">
        <v>2.5299999999999998</v>
      </c>
      <c r="T1811">
        <v>3.83</v>
      </c>
      <c r="U1811">
        <v>4</v>
      </c>
    </row>
    <row r="1812" spans="1:21" ht="15" customHeight="1" x14ac:dyDescent="0.25">
      <c r="A1812" s="2">
        <v>45325.032037037039</v>
      </c>
      <c r="B1812" t="s">
        <v>309</v>
      </c>
      <c r="C1812" t="s">
        <v>368</v>
      </c>
      <c r="D1812">
        <v>2</v>
      </c>
      <c r="E1812" t="s">
        <v>147</v>
      </c>
      <c r="F1812" t="s">
        <v>388</v>
      </c>
      <c r="G1812">
        <f>(O1812/(N1812+O1812+P1812))*100</f>
        <v>0.49180327868852464</v>
      </c>
      <c r="H1812">
        <f>(P1812/(O1812+P1812+N1812))*100</f>
        <v>0</v>
      </c>
      <c r="I1812">
        <v>0.49</v>
      </c>
      <c r="J1812">
        <f>(N1812/(P1812+O1812+N1812))*100</f>
        <v>99.508196721311464</v>
      </c>
      <c r="K1812">
        <v>0.8</v>
      </c>
      <c r="L1812">
        <v>0.3</v>
      </c>
      <c r="M1812">
        <v>0.7</v>
      </c>
      <c r="N1812">
        <v>607</v>
      </c>
      <c r="O1812">
        <v>3</v>
      </c>
      <c r="P1812">
        <v>0</v>
      </c>
      <c r="Q1812">
        <v>0.49</v>
      </c>
      <c r="R1812" t="s">
        <v>252</v>
      </c>
      <c r="S1812">
        <v>0.04</v>
      </c>
      <c r="T1812">
        <v>0.05</v>
      </c>
    </row>
    <row r="1813" spans="1:21" ht="15" customHeight="1" x14ac:dyDescent="0.25">
      <c r="A1813" s="2">
        <v>45253.605555555558</v>
      </c>
      <c r="B1813" t="s">
        <v>309</v>
      </c>
      <c r="C1813" t="s">
        <v>213</v>
      </c>
      <c r="D1813">
        <v>3</v>
      </c>
      <c r="E1813" t="s">
        <v>294</v>
      </c>
      <c r="F1813" t="s">
        <v>388</v>
      </c>
      <c r="G1813">
        <v>0</v>
      </c>
      <c r="H1813">
        <v>1.25</v>
      </c>
      <c r="I1813">
        <v>1.25</v>
      </c>
      <c r="J1813">
        <v>98.75</v>
      </c>
      <c r="K1813">
        <v>0.8</v>
      </c>
      <c r="L1813">
        <v>0.2</v>
      </c>
      <c r="M1813">
        <v>0.7</v>
      </c>
      <c r="N1813">
        <v>237</v>
      </c>
      <c r="O1813">
        <v>0</v>
      </c>
      <c r="P1813">
        <v>3</v>
      </c>
      <c r="Q1813">
        <v>1.25</v>
      </c>
      <c r="R1813" t="s">
        <v>270</v>
      </c>
      <c r="S1813">
        <v>3.2</v>
      </c>
      <c r="T1813">
        <v>5.73</v>
      </c>
    </row>
    <row r="1814" spans="1:21" ht="15" customHeight="1" x14ac:dyDescent="0.25">
      <c r="A1814" s="2">
        <v>45253.868750000001</v>
      </c>
      <c r="B1814" t="s">
        <v>309</v>
      </c>
      <c r="C1814" t="s">
        <v>215</v>
      </c>
      <c r="D1814">
        <v>2</v>
      </c>
      <c r="E1814" t="s">
        <v>294</v>
      </c>
      <c r="F1814" t="s">
        <v>388</v>
      </c>
      <c r="G1814">
        <v>0</v>
      </c>
      <c r="H1814">
        <v>0</v>
      </c>
      <c r="I1814">
        <v>0</v>
      </c>
      <c r="J1814">
        <v>100</v>
      </c>
      <c r="K1814">
        <v>0.8</v>
      </c>
      <c r="L1814">
        <v>0.2</v>
      </c>
      <c r="M1814">
        <v>0.7</v>
      </c>
      <c r="N1814">
        <v>240</v>
      </c>
      <c r="O1814">
        <v>0</v>
      </c>
      <c r="P1814">
        <v>0</v>
      </c>
      <c r="Q1814">
        <v>0</v>
      </c>
      <c r="R1814" t="s">
        <v>280</v>
      </c>
      <c r="S1814">
        <v>0</v>
      </c>
      <c r="T1814">
        <v>0</v>
      </c>
    </row>
    <row r="1815" spans="1:21" ht="15" customHeight="1" x14ac:dyDescent="0.25">
      <c r="A1815" s="2">
        <v>45254.038194444445</v>
      </c>
      <c r="B1815" t="s">
        <v>309</v>
      </c>
      <c r="C1815" t="s">
        <v>217</v>
      </c>
      <c r="D1815">
        <v>2</v>
      </c>
      <c r="E1815" t="s">
        <v>294</v>
      </c>
      <c r="F1815" t="s">
        <v>388</v>
      </c>
      <c r="G1815">
        <v>0</v>
      </c>
      <c r="H1815">
        <v>0</v>
      </c>
      <c r="I1815">
        <v>0</v>
      </c>
      <c r="J1815">
        <v>100</v>
      </c>
      <c r="K1815">
        <v>0.8</v>
      </c>
      <c r="L1815">
        <v>0.2</v>
      </c>
      <c r="M1815">
        <v>0.7</v>
      </c>
      <c r="N1815">
        <v>240</v>
      </c>
      <c r="O1815">
        <v>0</v>
      </c>
      <c r="P1815">
        <v>0</v>
      </c>
      <c r="Q1815">
        <v>0</v>
      </c>
      <c r="R1815" t="s">
        <v>290</v>
      </c>
      <c r="S1815">
        <v>0</v>
      </c>
      <c r="T1815">
        <v>0</v>
      </c>
    </row>
    <row r="1816" spans="1:21" ht="15" customHeight="1" x14ac:dyDescent="0.25">
      <c r="A1816" s="2">
        <v>45316.548611111109</v>
      </c>
      <c r="B1816" t="s">
        <v>309</v>
      </c>
      <c r="C1816" t="s">
        <v>219</v>
      </c>
      <c r="D1816">
        <v>3</v>
      </c>
      <c r="E1816" t="s">
        <v>294</v>
      </c>
      <c r="F1816" t="s">
        <v>388</v>
      </c>
      <c r="G1816">
        <v>0</v>
      </c>
      <c r="H1816">
        <v>0</v>
      </c>
      <c r="I1816">
        <v>0</v>
      </c>
      <c r="J1816">
        <v>100</v>
      </c>
      <c r="K1816">
        <v>0.8</v>
      </c>
      <c r="L1816">
        <v>0.2</v>
      </c>
      <c r="M1816">
        <v>0.7</v>
      </c>
      <c r="N1816">
        <v>240</v>
      </c>
      <c r="O1816">
        <v>0</v>
      </c>
      <c r="P1816">
        <v>0</v>
      </c>
      <c r="Q1816">
        <v>0</v>
      </c>
      <c r="R1816" t="s">
        <v>295</v>
      </c>
      <c r="S1816">
        <v>3.08</v>
      </c>
      <c r="T1816">
        <v>5.56</v>
      </c>
    </row>
    <row r="1817" spans="1:21" ht="15" customHeight="1" x14ac:dyDescent="0.25">
      <c r="A1817" t="s">
        <v>19</v>
      </c>
      <c r="B1817" t="s">
        <v>20</v>
      </c>
      <c r="C1817" t="s">
        <v>306</v>
      </c>
      <c r="D1817">
        <v>3</v>
      </c>
      <c r="E1817" t="s">
        <v>148</v>
      </c>
      <c r="F1817" t="s">
        <v>373</v>
      </c>
      <c r="G1817">
        <v>5</v>
      </c>
      <c r="H1817">
        <v>0</v>
      </c>
      <c r="I1817">
        <f>G1817+H1817</f>
        <v>5</v>
      </c>
      <c r="J1817">
        <f>100-G1817-H1817</f>
        <v>95</v>
      </c>
      <c r="K1817" t="s">
        <v>19</v>
      </c>
      <c r="L1817" t="s">
        <v>19</v>
      </c>
      <c r="M1817" t="s">
        <v>19</v>
      </c>
      <c r="N1817" t="s">
        <v>19</v>
      </c>
      <c r="O1817" t="s">
        <v>19</v>
      </c>
      <c r="P1817" t="s">
        <v>19</v>
      </c>
      <c r="Q1817">
        <f>I1817</f>
        <v>5</v>
      </c>
      <c r="R1817" t="s">
        <v>19</v>
      </c>
      <c r="S1817" t="s">
        <v>19</v>
      </c>
      <c r="T1817" t="s">
        <v>19</v>
      </c>
    </row>
    <row r="1818" spans="1:21" ht="15" customHeight="1" x14ac:dyDescent="0.25">
      <c r="A1818" t="s">
        <v>19</v>
      </c>
      <c r="B1818" t="s">
        <v>20</v>
      </c>
      <c r="C1818" t="s">
        <v>308</v>
      </c>
      <c r="D1818">
        <v>3</v>
      </c>
      <c r="E1818" t="s">
        <v>148</v>
      </c>
      <c r="F1818" t="s">
        <v>373</v>
      </c>
      <c r="G1818">
        <v>3</v>
      </c>
      <c r="H1818">
        <v>0</v>
      </c>
      <c r="I1818">
        <f>G1818+H1818</f>
        <v>3</v>
      </c>
      <c r="J1818">
        <f>100-G1818-H1818</f>
        <v>97</v>
      </c>
      <c r="K1818" t="s">
        <v>19</v>
      </c>
      <c r="L1818" t="s">
        <v>19</v>
      </c>
      <c r="M1818" t="s">
        <v>19</v>
      </c>
      <c r="N1818" t="s">
        <v>19</v>
      </c>
      <c r="O1818" t="s">
        <v>19</v>
      </c>
      <c r="P1818" t="s">
        <v>19</v>
      </c>
      <c r="Q1818">
        <f>I1818</f>
        <v>3</v>
      </c>
      <c r="R1818" t="s">
        <v>19</v>
      </c>
      <c r="S1818" t="s">
        <v>19</v>
      </c>
      <c r="T1818" t="s">
        <v>19</v>
      </c>
    </row>
    <row r="1819" spans="1:21" ht="15" customHeight="1" x14ac:dyDescent="0.25">
      <c r="A1819" t="s">
        <v>19</v>
      </c>
      <c r="B1819" t="s">
        <v>20</v>
      </c>
      <c r="C1819" t="s">
        <v>22</v>
      </c>
      <c r="D1819">
        <v>3</v>
      </c>
      <c r="E1819" t="s">
        <v>148</v>
      </c>
      <c r="F1819" t="s">
        <v>373</v>
      </c>
      <c r="G1819">
        <v>2</v>
      </c>
      <c r="H1819">
        <v>0</v>
      </c>
      <c r="I1819">
        <f>G1819+H1819</f>
        <v>2</v>
      </c>
      <c r="J1819">
        <f>100-G1819-H1819</f>
        <v>98</v>
      </c>
      <c r="K1819" t="s">
        <v>19</v>
      </c>
      <c r="L1819" t="s">
        <v>19</v>
      </c>
      <c r="M1819" t="s">
        <v>19</v>
      </c>
      <c r="N1819" t="s">
        <v>19</v>
      </c>
      <c r="O1819" t="s">
        <v>19</v>
      </c>
      <c r="P1819" t="s">
        <v>19</v>
      </c>
      <c r="Q1819">
        <f>I1819</f>
        <v>2</v>
      </c>
      <c r="R1819" t="s">
        <v>19</v>
      </c>
      <c r="S1819" t="s">
        <v>19</v>
      </c>
      <c r="T1819" t="s">
        <v>19</v>
      </c>
    </row>
    <row r="1820" spans="1:21" ht="15" customHeight="1" x14ac:dyDescent="0.25">
      <c r="A1820" t="s">
        <v>19</v>
      </c>
      <c r="B1820" t="s">
        <v>20</v>
      </c>
      <c r="C1820" t="s">
        <v>305</v>
      </c>
      <c r="D1820">
        <v>3</v>
      </c>
      <c r="E1820" t="s">
        <v>148</v>
      </c>
      <c r="F1820" t="s">
        <v>373</v>
      </c>
      <c r="G1820">
        <v>2</v>
      </c>
      <c r="H1820">
        <v>0</v>
      </c>
      <c r="I1820">
        <f>G1820+H1820</f>
        <v>2</v>
      </c>
      <c r="J1820">
        <f>100-G1820-H1820</f>
        <v>98</v>
      </c>
      <c r="K1820" t="s">
        <v>19</v>
      </c>
      <c r="L1820" t="s">
        <v>19</v>
      </c>
      <c r="M1820" t="s">
        <v>19</v>
      </c>
      <c r="N1820" t="s">
        <v>19</v>
      </c>
      <c r="O1820" t="s">
        <v>19</v>
      </c>
      <c r="P1820" t="s">
        <v>19</v>
      </c>
      <c r="Q1820">
        <f>I1820</f>
        <v>2</v>
      </c>
      <c r="R1820" t="s">
        <v>19</v>
      </c>
      <c r="S1820" t="s">
        <v>19</v>
      </c>
      <c r="T1820" t="s">
        <v>19</v>
      </c>
    </row>
    <row r="1821" spans="1:21" ht="15" customHeight="1" x14ac:dyDescent="0.25">
      <c r="A1821" t="s">
        <v>19</v>
      </c>
      <c r="B1821" t="s">
        <v>20</v>
      </c>
      <c r="C1821" t="s">
        <v>307</v>
      </c>
      <c r="D1821">
        <v>3</v>
      </c>
      <c r="E1821" t="s">
        <v>148</v>
      </c>
      <c r="F1821" t="s">
        <v>373</v>
      </c>
      <c r="G1821">
        <v>1</v>
      </c>
      <c r="H1821">
        <v>0</v>
      </c>
      <c r="I1821">
        <f>G1821+H1821</f>
        <v>1</v>
      </c>
      <c r="J1821">
        <f>100-G1821-H1821</f>
        <v>99</v>
      </c>
      <c r="K1821" t="s">
        <v>19</v>
      </c>
      <c r="L1821" t="s">
        <v>19</v>
      </c>
      <c r="M1821" t="s">
        <v>19</v>
      </c>
      <c r="N1821" t="s">
        <v>19</v>
      </c>
      <c r="O1821" t="s">
        <v>19</v>
      </c>
      <c r="P1821" t="s">
        <v>19</v>
      </c>
      <c r="Q1821">
        <f>I1821</f>
        <v>1</v>
      </c>
      <c r="R1821" t="s">
        <v>19</v>
      </c>
      <c r="S1821" t="s">
        <v>19</v>
      </c>
      <c r="T1821" t="s">
        <v>19</v>
      </c>
    </row>
    <row r="1822" spans="1:21" ht="15" customHeight="1" x14ac:dyDescent="0.25">
      <c r="A1822" s="2">
        <v>45253.762499999997</v>
      </c>
      <c r="B1822" t="s">
        <v>309</v>
      </c>
      <c r="C1822" t="s">
        <v>213</v>
      </c>
      <c r="D1822">
        <v>3</v>
      </c>
      <c r="E1822" t="s">
        <v>148</v>
      </c>
      <c r="F1822" t="s">
        <v>373</v>
      </c>
      <c r="G1822">
        <v>2.023608769</v>
      </c>
      <c r="H1822">
        <v>0</v>
      </c>
      <c r="I1822">
        <v>2.023608769</v>
      </c>
      <c r="J1822">
        <v>97.976391230000004</v>
      </c>
      <c r="K1822">
        <v>0.8</v>
      </c>
      <c r="L1822">
        <v>0.2</v>
      </c>
      <c r="M1822">
        <v>0.7</v>
      </c>
      <c r="N1822">
        <v>581</v>
      </c>
      <c r="O1822">
        <v>12</v>
      </c>
      <c r="P1822">
        <v>0</v>
      </c>
      <c r="Q1822">
        <v>2.02</v>
      </c>
      <c r="R1822" t="s">
        <v>246</v>
      </c>
      <c r="S1822">
        <v>3</v>
      </c>
      <c r="T1822">
        <v>3.29</v>
      </c>
    </row>
    <row r="1823" spans="1:21" ht="15" customHeight="1" x14ac:dyDescent="0.25">
      <c r="A1823" s="2">
        <v>45253.95208333333</v>
      </c>
      <c r="B1823" t="s">
        <v>309</v>
      </c>
      <c r="C1823" t="s">
        <v>215</v>
      </c>
      <c r="D1823">
        <v>2</v>
      </c>
      <c r="E1823" t="s">
        <v>148</v>
      </c>
      <c r="F1823" t="s">
        <v>373</v>
      </c>
      <c r="G1823">
        <v>0.46875</v>
      </c>
      <c r="H1823">
        <v>0</v>
      </c>
      <c r="I1823">
        <v>0.46875</v>
      </c>
      <c r="J1823">
        <v>99.53125</v>
      </c>
      <c r="K1823">
        <v>0.8</v>
      </c>
      <c r="L1823">
        <v>0.2</v>
      </c>
      <c r="M1823">
        <v>0.7</v>
      </c>
      <c r="N1823">
        <v>637</v>
      </c>
      <c r="O1823">
        <v>3</v>
      </c>
      <c r="P1823">
        <v>0</v>
      </c>
      <c r="Q1823">
        <v>0.47</v>
      </c>
      <c r="R1823" t="s">
        <v>257</v>
      </c>
      <c r="S1823">
        <v>0.03</v>
      </c>
      <c r="T1823">
        <v>0.03</v>
      </c>
    </row>
    <row r="1824" spans="1:21" ht="15" customHeight="1" x14ac:dyDescent="0.25">
      <c r="A1824" s="2">
        <v>45254.128472222219</v>
      </c>
      <c r="B1824" t="s">
        <v>309</v>
      </c>
      <c r="C1824" t="s">
        <v>217</v>
      </c>
      <c r="D1824">
        <v>2</v>
      </c>
      <c r="E1824" t="s">
        <v>148</v>
      </c>
      <c r="F1824" t="s">
        <v>373</v>
      </c>
      <c r="G1824">
        <v>2.236421725</v>
      </c>
      <c r="H1824">
        <v>0</v>
      </c>
      <c r="I1824">
        <v>2.236421725</v>
      </c>
      <c r="J1824">
        <v>97.763578269999996</v>
      </c>
      <c r="K1824">
        <v>0.8</v>
      </c>
      <c r="L1824">
        <v>0.2</v>
      </c>
      <c r="M1824">
        <v>0.7</v>
      </c>
      <c r="N1824">
        <v>612</v>
      </c>
      <c r="O1824">
        <v>14</v>
      </c>
      <c r="P1824">
        <v>0</v>
      </c>
      <c r="Q1824">
        <v>2.2400000000000002</v>
      </c>
      <c r="R1824" t="s">
        <v>227</v>
      </c>
      <c r="S1824">
        <v>0.1</v>
      </c>
      <c r="T1824">
        <v>0.1</v>
      </c>
    </row>
    <row r="1825" spans="1:21" ht="15" customHeight="1" x14ac:dyDescent="0.25">
      <c r="A1825" s="2">
        <v>45316.464583333334</v>
      </c>
      <c r="B1825" t="s">
        <v>309</v>
      </c>
      <c r="C1825" t="s">
        <v>219</v>
      </c>
      <c r="D1825">
        <v>3</v>
      </c>
      <c r="E1825" t="s">
        <v>148</v>
      </c>
      <c r="F1825" t="s">
        <v>373</v>
      </c>
      <c r="G1825">
        <v>0.76190476200000001</v>
      </c>
      <c r="H1825">
        <v>0</v>
      </c>
      <c r="I1825">
        <v>0.76190476200000001</v>
      </c>
      <c r="J1825">
        <v>99.238095240000007</v>
      </c>
      <c r="K1825">
        <v>0.8</v>
      </c>
      <c r="L1825">
        <v>0.2</v>
      </c>
      <c r="M1825">
        <v>0.7</v>
      </c>
      <c r="N1825">
        <v>521</v>
      </c>
      <c r="O1825">
        <v>4</v>
      </c>
      <c r="P1825">
        <v>0</v>
      </c>
      <c r="Q1825">
        <v>0.76</v>
      </c>
      <c r="R1825" t="s">
        <v>257</v>
      </c>
      <c r="S1825">
        <v>3.11</v>
      </c>
      <c r="T1825">
        <v>4.57</v>
      </c>
    </row>
    <row r="1826" spans="1:21" ht="15" customHeight="1" x14ac:dyDescent="0.25">
      <c r="A1826" s="2">
        <v>45320.988888888889</v>
      </c>
      <c r="B1826" t="s">
        <v>309</v>
      </c>
      <c r="C1826" t="s">
        <v>221</v>
      </c>
      <c r="D1826">
        <v>2</v>
      </c>
      <c r="E1826" t="s">
        <v>148</v>
      </c>
      <c r="F1826" t="s">
        <v>373</v>
      </c>
      <c r="G1826">
        <v>5.3819444440000002</v>
      </c>
      <c r="H1826">
        <v>0</v>
      </c>
      <c r="I1826">
        <v>5.3819444440000002</v>
      </c>
      <c r="J1826">
        <v>94.618055560000002</v>
      </c>
      <c r="K1826">
        <v>0.8</v>
      </c>
      <c r="L1826">
        <v>0.3</v>
      </c>
      <c r="M1826">
        <v>0.7</v>
      </c>
      <c r="N1826">
        <v>545</v>
      </c>
      <c r="O1826">
        <v>31</v>
      </c>
      <c r="P1826">
        <v>0</v>
      </c>
      <c r="Q1826">
        <v>5.38</v>
      </c>
      <c r="R1826" t="s">
        <v>220</v>
      </c>
      <c r="S1826">
        <v>0.24</v>
      </c>
      <c r="T1826">
        <v>0.26</v>
      </c>
    </row>
    <row r="1827" spans="1:21" ht="15" customHeight="1" x14ac:dyDescent="0.25">
      <c r="A1827" t="s">
        <v>19</v>
      </c>
      <c r="B1827" t="s">
        <v>20</v>
      </c>
      <c r="C1827" t="s">
        <v>320</v>
      </c>
      <c r="D1827">
        <v>3</v>
      </c>
      <c r="E1827" t="s">
        <v>148</v>
      </c>
      <c r="F1827" t="s">
        <v>373</v>
      </c>
      <c r="G1827">
        <v>0</v>
      </c>
      <c r="H1827">
        <v>0</v>
      </c>
      <c r="I1827">
        <f>100-J1827</f>
        <v>0</v>
      </c>
      <c r="J1827">
        <f>100-G1827-H1827</f>
        <v>100</v>
      </c>
      <c r="K1827" t="s">
        <v>19</v>
      </c>
      <c r="L1827" t="s">
        <v>19</v>
      </c>
      <c r="M1827" t="s">
        <v>19</v>
      </c>
      <c r="N1827" t="s">
        <v>19</v>
      </c>
      <c r="O1827" t="s">
        <v>19</v>
      </c>
      <c r="P1827" t="s">
        <v>19</v>
      </c>
      <c r="Q1827">
        <f>I1827</f>
        <v>0</v>
      </c>
      <c r="R1827" t="s">
        <v>19</v>
      </c>
      <c r="S1827" t="s">
        <v>19</v>
      </c>
      <c r="T1827" t="s">
        <v>19</v>
      </c>
    </row>
    <row r="1828" spans="1:21" ht="15" customHeight="1" x14ac:dyDescent="0.25">
      <c r="A1828" s="2">
        <v>45323.611759259256</v>
      </c>
      <c r="B1828" t="s">
        <v>309</v>
      </c>
      <c r="C1828" t="s">
        <v>322</v>
      </c>
      <c r="D1828">
        <v>3</v>
      </c>
      <c r="E1828" t="s">
        <v>148</v>
      </c>
      <c r="F1828" t="s">
        <v>373</v>
      </c>
      <c r="G1828">
        <f>(O1828/(N1828+O1828+P1828))*100</f>
        <v>2.5295109612141653</v>
      </c>
      <c r="H1828">
        <f>(P1828/(O1828+P1828+N1828))*100</f>
        <v>0</v>
      </c>
      <c r="I1828">
        <f>((O1828+P1828)/(P1828+O1828+N1828))*100</f>
        <v>2.5295109612141653</v>
      </c>
      <c r="J1828">
        <f>(N1828/(P1828+O1828+N1828))*100</f>
        <v>97.470489038785828</v>
      </c>
      <c r="K1828">
        <v>0.8</v>
      </c>
      <c r="L1828">
        <v>0.3</v>
      </c>
      <c r="M1828">
        <v>0.7</v>
      </c>
      <c r="N1828">
        <v>578</v>
      </c>
      <c r="O1828">
        <v>15</v>
      </c>
      <c r="P1828">
        <v>0</v>
      </c>
      <c r="Q1828">
        <v>2.5299999999999998</v>
      </c>
      <c r="R1828" t="s">
        <v>333</v>
      </c>
      <c r="S1828">
        <v>2.76</v>
      </c>
      <c r="T1828">
        <v>3.04</v>
      </c>
      <c r="U1828">
        <v>67</v>
      </c>
    </row>
    <row r="1829" spans="1:21" ht="15" customHeight="1" x14ac:dyDescent="0.25">
      <c r="A1829" s="2">
        <v>45323.616562499999</v>
      </c>
      <c r="B1829" t="s">
        <v>309</v>
      </c>
      <c r="C1829" t="s">
        <v>322</v>
      </c>
      <c r="D1829">
        <v>3</v>
      </c>
      <c r="E1829" t="s">
        <v>148</v>
      </c>
      <c r="F1829" t="s">
        <v>373</v>
      </c>
      <c r="G1829">
        <f>(O1829/(N1829+O1829+P1829))*100</f>
        <v>4.4628099173553721</v>
      </c>
      <c r="H1829">
        <f>(P1829/(O1829+P1829+N1829))*100</f>
        <v>0</v>
      </c>
      <c r="I1829">
        <f>((O1829+P1829)/(P1829+O1829+N1829))*100</f>
        <v>4.4628099173553721</v>
      </c>
      <c r="J1829">
        <f>(N1829/(P1829+O1829+N1829))*100</f>
        <v>95.537190082644628</v>
      </c>
      <c r="K1829">
        <v>0.7</v>
      </c>
      <c r="L1829">
        <v>0.3</v>
      </c>
      <c r="M1829">
        <v>0.7</v>
      </c>
      <c r="N1829">
        <v>578</v>
      </c>
      <c r="O1829">
        <v>27</v>
      </c>
      <c r="P1829">
        <v>0</v>
      </c>
      <c r="Q1829">
        <v>4.46</v>
      </c>
      <c r="R1829" t="s">
        <v>288</v>
      </c>
      <c r="S1829">
        <v>2.76</v>
      </c>
      <c r="T1829">
        <v>3.04</v>
      </c>
      <c r="U1829">
        <v>55</v>
      </c>
    </row>
    <row r="1830" spans="1:21" ht="15" customHeight="1" x14ac:dyDescent="0.25">
      <c r="A1830" s="2">
        <v>45325.176180555558</v>
      </c>
      <c r="B1830" t="s">
        <v>309</v>
      </c>
      <c r="C1830" t="s">
        <v>368</v>
      </c>
      <c r="D1830">
        <v>2</v>
      </c>
      <c r="E1830" t="s">
        <v>148</v>
      </c>
      <c r="F1830" t="s">
        <v>373</v>
      </c>
      <c r="G1830">
        <f>(O1830/(N1830+O1830+P1830))*100</f>
        <v>4.3993231810490698</v>
      </c>
      <c r="H1830">
        <f>(P1830/(O1830+P1830+N1830))*100</f>
        <v>0</v>
      </c>
      <c r="I1830">
        <v>4.4000000000000004</v>
      </c>
      <c r="J1830">
        <f>(N1830/(P1830+O1830+N1830))*100</f>
        <v>95.60067681895093</v>
      </c>
      <c r="K1830">
        <v>0.8</v>
      </c>
      <c r="L1830">
        <v>0.3</v>
      </c>
      <c r="M1830">
        <v>0.7</v>
      </c>
      <c r="N1830">
        <v>565</v>
      </c>
      <c r="O1830">
        <v>26</v>
      </c>
      <c r="P1830">
        <v>0</v>
      </c>
      <c r="Q1830">
        <v>4.4000000000000004</v>
      </c>
      <c r="R1830" t="s">
        <v>268</v>
      </c>
      <c r="S1830">
        <v>0.22</v>
      </c>
      <c r="T1830">
        <v>0.22</v>
      </c>
    </row>
    <row r="1831" spans="1:21" ht="15" customHeight="1" x14ac:dyDescent="0.25">
      <c r="A1831" t="s">
        <v>19</v>
      </c>
      <c r="B1831" t="s">
        <v>20</v>
      </c>
      <c r="C1831" t="s">
        <v>306</v>
      </c>
      <c r="D1831">
        <v>3</v>
      </c>
      <c r="E1831" t="s">
        <v>149</v>
      </c>
      <c r="F1831" t="s">
        <v>373</v>
      </c>
      <c r="G1831">
        <v>6</v>
      </c>
      <c r="H1831">
        <v>0</v>
      </c>
      <c r="I1831">
        <f>G1831+H1831</f>
        <v>6</v>
      </c>
      <c r="J1831">
        <f>100-G1831-H1831</f>
        <v>94</v>
      </c>
      <c r="K1831" t="s">
        <v>19</v>
      </c>
      <c r="L1831" t="s">
        <v>19</v>
      </c>
      <c r="M1831" t="s">
        <v>19</v>
      </c>
      <c r="N1831" t="s">
        <v>19</v>
      </c>
      <c r="O1831" t="s">
        <v>19</v>
      </c>
      <c r="P1831" t="s">
        <v>19</v>
      </c>
      <c r="Q1831">
        <f>I1831</f>
        <v>6</v>
      </c>
      <c r="R1831" t="s">
        <v>19</v>
      </c>
      <c r="S1831" t="s">
        <v>19</v>
      </c>
      <c r="T1831" t="s">
        <v>19</v>
      </c>
    </row>
    <row r="1832" spans="1:21" ht="15" customHeight="1" x14ac:dyDescent="0.25">
      <c r="A1832" t="s">
        <v>19</v>
      </c>
      <c r="B1832" t="s">
        <v>20</v>
      </c>
      <c r="C1832" t="s">
        <v>308</v>
      </c>
      <c r="D1832">
        <v>3</v>
      </c>
      <c r="E1832" t="s">
        <v>149</v>
      </c>
      <c r="F1832" t="s">
        <v>373</v>
      </c>
      <c r="G1832">
        <v>7</v>
      </c>
      <c r="H1832">
        <v>0</v>
      </c>
      <c r="I1832">
        <f>G1832+H1832</f>
        <v>7</v>
      </c>
      <c r="J1832">
        <f>100-G1832-H1832</f>
        <v>93</v>
      </c>
      <c r="K1832" t="s">
        <v>19</v>
      </c>
      <c r="L1832" t="s">
        <v>19</v>
      </c>
      <c r="M1832" t="s">
        <v>19</v>
      </c>
      <c r="N1832" t="s">
        <v>19</v>
      </c>
      <c r="O1832" t="s">
        <v>19</v>
      </c>
      <c r="P1832" t="s">
        <v>19</v>
      </c>
      <c r="Q1832">
        <f>I1832</f>
        <v>7</v>
      </c>
      <c r="R1832" t="s">
        <v>19</v>
      </c>
      <c r="S1832" t="s">
        <v>19</v>
      </c>
      <c r="T1832" t="s">
        <v>19</v>
      </c>
    </row>
    <row r="1833" spans="1:21" ht="15" customHeight="1" x14ac:dyDescent="0.25">
      <c r="A1833" t="s">
        <v>19</v>
      </c>
      <c r="B1833" t="s">
        <v>20</v>
      </c>
      <c r="C1833" t="s">
        <v>22</v>
      </c>
      <c r="D1833">
        <v>3</v>
      </c>
      <c r="E1833" t="s">
        <v>149</v>
      </c>
      <c r="F1833" t="s">
        <v>373</v>
      </c>
      <c r="G1833">
        <v>10</v>
      </c>
      <c r="H1833">
        <v>0</v>
      </c>
      <c r="I1833">
        <f>G1833+H1833</f>
        <v>10</v>
      </c>
      <c r="J1833">
        <f>100-G1833-H1833</f>
        <v>90</v>
      </c>
      <c r="K1833" t="s">
        <v>19</v>
      </c>
      <c r="L1833" t="s">
        <v>19</v>
      </c>
      <c r="M1833" t="s">
        <v>19</v>
      </c>
      <c r="N1833" t="s">
        <v>19</v>
      </c>
      <c r="O1833" t="s">
        <v>19</v>
      </c>
      <c r="P1833" t="s">
        <v>19</v>
      </c>
      <c r="Q1833">
        <f>I1833</f>
        <v>10</v>
      </c>
      <c r="R1833" t="s">
        <v>19</v>
      </c>
      <c r="S1833" t="s">
        <v>19</v>
      </c>
      <c r="T1833" t="s">
        <v>19</v>
      </c>
    </row>
    <row r="1834" spans="1:21" ht="15" customHeight="1" x14ac:dyDescent="0.25">
      <c r="A1834" t="s">
        <v>19</v>
      </c>
      <c r="B1834" t="s">
        <v>20</v>
      </c>
      <c r="C1834" t="s">
        <v>305</v>
      </c>
      <c r="D1834">
        <v>3</v>
      </c>
      <c r="E1834" t="s">
        <v>149</v>
      </c>
      <c r="F1834" t="s">
        <v>373</v>
      </c>
      <c r="G1834">
        <v>4</v>
      </c>
      <c r="H1834">
        <v>0</v>
      </c>
      <c r="I1834">
        <f>G1834+H1834</f>
        <v>4</v>
      </c>
      <c r="J1834">
        <f>100-G1834-H1834</f>
        <v>96</v>
      </c>
      <c r="K1834" t="s">
        <v>19</v>
      </c>
      <c r="L1834" t="s">
        <v>19</v>
      </c>
      <c r="M1834" t="s">
        <v>19</v>
      </c>
      <c r="N1834" t="s">
        <v>19</v>
      </c>
      <c r="O1834" t="s">
        <v>19</v>
      </c>
      <c r="P1834" t="s">
        <v>19</v>
      </c>
      <c r="Q1834">
        <f>I1834</f>
        <v>4</v>
      </c>
      <c r="R1834" t="s">
        <v>19</v>
      </c>
      <c r="S1834" t="s">
        <v>19</v>
      </c>
      <c r="T1834" t="s">
        <v>19</v>
      </c>
    </row>
    <row r="1835" spans="1:21" ht="15" customHeight="1" x14ac:dyDescent="0.25">
      <c r="A1835" t="s">
        <v>19</v>
      </c>
      <c r="B1835" t="s">
        <v>20</v>
      </c>
      <c r="C1835" t="s">
        <v>307</v>
      </c>
      <c r="D1835">
        <v>3</v>
      </c>
      <c r="E1835" t="s">
        <v>149</v>
      </c>
      <c r="F1835" t="s">
        <v>373</v>
      </c>
      <c r="G1835">
        <v>1</v>
      </c>
      <c r="H1835">
        <v>0</v>
      </c>
      <c r="I1835">
        <f>G1835+H1835</f>
        <v>1</v>
      </c>
      <c r="J1835">
        <f>100-G1835-H1835</f>
        <v>99</v>
      </c>
      <c r="K1835" t="s">
        <v>19</v>
      </c>
      <c r="L1835" t="s">
        <v>19</v>
      </c>
      <c r="M1835" t="s">
        <v>19</v>
      </c>
      <c r="N1835" t="s">
        <v>19</v>
      </c>
      <c r="O1835" t="s">
        <v>19</v>
      </c>
      <c r="P1835" t="s">
        <v>19</v>
      </c>
      <c r="Q1835">
        <f>I1835</f>
        <v>1</v>
      </c>
      <c r="R1835" t="s">
        <v>19</v>
      </c>
      <c r="S1835" t="s">
        <v>19</v>
      </c>
      <c r="T1835" t="s">
        <v>19</v>
      </c>
    </row>
    <row r="1836" spans="1:21" ht="15" customHeight="1" x14ac:dyDescent="0.25">
      <c r="A1836" s="2">
        <v>45253.763888888891</v>
      </c>
      <c r="B1836" t="s">
        <v>309</v>
      </c>
      <c r="C1836" t="s">
        <v>213</v>
      </c>
      <c r="D1836">
        <v>3</v>
      </c>
      <c r="E1836" t="s">
        <v>149</v>
      </c>
      <c r="F1836" t="s">
        <v>373</v>
      </c>
      <c r="G1836">
        <v>6.1594202899999999</v>
      </c>
      <c r="H1836">
        <v>0</v>
      </c>
      <c r="I1836">
        <v>6.1594202899999999</v>
      </c>
      <c r="J1836">
        <v>93.84057971</v>
      </c>
      <c r="K1836">
        <v>0.8</v>
      </c>
      <c r="L1836">
        <v>0.2</v>
      </c>
      <c r="M1836">
        <v>0.7</v>
      </c>
      <c r="N1836">
        <v>518</v>
      </c>
      <c r="O1836">
        <v>34</v>
      </c>
      <c r="P1836">
        <v>0</v>
      </c>
      <c r="Q1836">
        <v>6.16</v>
      </c>
      <c r="R1836" t="s">
        <v>240</v>
      </c>
      <c r="S1836">
        <v>2.77</v>
      </c>
      <c r="T1836">
        <v>3.07</v>
      </c>
    </row>
    <row r="1837" spans="1:21" ht="15" customHeight="1" x14ac:dyDescent="0.25">
      <c r="A1837" s="2">
        <v>45253.952777777777</v>
      </c>
      <c r="B1837" t="s">
        <v>309</v>
      </c>
      <c r="C1837" t="s">
        <v>215</v>
      </c>
      <c r="D1837">
        <v>2</v>
      </c>
      <c r="E1837" t="s">
        <v>149</v>
      </c>
      <c r="F1837" t="s">
        <v>373</v>
      </c>
      <c r="G1837">
        <v>2.370990237</v>
      </c>
      <c r="H1837">
        <v>0</v>
      </c>
      <c r="I1837">
        <v>2.370990237</v>
      </c>
      <c r="J1837">
        <v>97.629009760000002</v>
      </c>
      <c r="K1837">
        <v>0.8</v>
      </c>
      <c r="L1837">
        <v>0.2</v>
      </c>
      <c r="M1837">
        <v>0.7</v>
      </c>
      <c r="N1837">
        <v>700</v>
      </c>
      <c r="O1837">
        <v>17</v>
      </c>
      <c r="P1837">
        <v>0</v>
      </c>
      <c r="Q1837">
        <v>2.37</v>
      </c>
      <c r="R1837" t="s">
        <v>243</v>
      </c>
      <c r="S1837">
        <v>7.0000000000000007E-2</v>
      </c>
      <c r="T1837">
        <v>0.08</v>
      </c>
    </row>
    <row r="1838" spans="1:21" ht="15" customHeight="1" x14ac:dyDescent="0.25">
      <c r="A1838" s="2">
        <v>45254.129166666666</v>
      </c>
      <c r="B1838" t="s">
        <v>309</v>
      </c>
      <c r="C1838" t="s">
        <v>217</v>
      </c>
      <c r="D1838">
        <v>2</v>
      </c>
      <c r="E1838" t="s">
        <v>149</v>
      </c>
      <c r="F1838" t="s">
        <v>373</v>
      </c>
      <c r="G1838">
        <v>4.2028985509999996</v>
      </c>
      <c r="H1838">
        <v>0</v>
      </c>
      <c r="I1838">
        <v>4.2028985509999996</v>
      </c>
      <c r="J1838">
        <v>95.79710145</v>
      </c>
      <c r="K1838">
        <v>0.8</v>
      </c>
      <c r="L1838">
        <v>0.2</v>
      </c>
      <c r="M1838">
        <v>0.7</v>
      </c>
      <c r="N1838">
        <v>661</v>
      </c>
      <c r="O1838">
        <v>29</v>
      </c>
      <c r="P1838">
        <v>0</v>
      </c>
      <c r="Q1838">
        <v>4.2</v>
      </c>
      <c r="R1838" t="s">
        <v>226</v>
      </c>
      <c r="S1838">
        <v>0.16</v>
      </c>
      <c r="T1838">
        <v>0.17</v>
      </c>
    </row>
    <row r="1839" spans="1:21" ht="15" customHeight="1" x14ac:dyDescent="0.25">
      <c r="A1839" s="2">
        <v>45316.465277777781</v>
      </c>
      <c r="B1839" t="s">
        <v>309</v>
      </c>
      <c r="C1839" t="s">
        <v>219</v>
      </c>
      <c r="D1839">
        <v>3</v>
      </c>
      <c r="E1839" t="s">
        <v>149</v>
      </c>
      <c r="F1839" t="s">
        <v>373</v>
      </c>
      <c r="G1839">
        <v>2.8061224490000001</v>
      </c>
      <c r="H1839">
        <v>0</v>
      </c>
      <c r="I1839">
        <v>2.8061224490000001</v>
      </c>
      <c r="J1839">
        <v>97.193877549999996</v>
      </c>
      <c r="K1839">
        <v>0.8</v>
      </c>
      <c r="L1839">
        <v>0.2</v>
      </c>
      <c r="M1839">
        <v>0.7</v>
      </c>
      <c r="N1839">
        <v>381</v>
      </c>
      <c r="O1839">
        <v>11</v>
      </c>
      <c r="P1839">
        <v>0</v>
      </c>
      <c r="Q1839">
        <v>2.81</v>
      </c>
      <c r="R1839" t="s">
        <v>231</v>
      </c>
      <c r="S1839">
        <v>3.08</v>
      </c>
      <c r="T1839">
        <v>3.92</v>
      </c>
    </row>
    <row r="1840" spans="1:21" ht="15" customHeight="1" x14ac:dyDescent="0.25">
      <c r="A1840" s="2">
        <v>45320.989583333336</v>
      </c>
      <c r="B1840" t="s">
        <v>309</v>
      </c>
      <c r="C1840" t="s">
        <v>221</v>
      </c>
      <c r="D1840">
        <v>2</v>
      </c>
      <c r="E1840" t="s">
        <v>149</v>
      </c>
      <c r="F1840" t="s">
        <v>373</v>
      </c>
      <c r="G1840">
        <v>2.4251069900000002</v>
      </c>
      <c r="H1840">
        <v>0</v>
      </c>
      <c r="I1840">
        <v>2.4251069900000002</v>
      </c>
      <c r="J1840">
        <v>97.574893009999997</v>
      </c>
      <c r="K1840">
        <v>0.8</v>
      </c>
      <c r="L1840">
        <v>0.3</v>
      </c>
      <c r="M1840">
        <v>0.7</v>
      </c>
      <c r="N1840">
        <v>684</v>
      </c>
      <c r="O1840">
        <v>17</v>
      </c>
      <c r="P1840">
        <v>0</v>
      </c>
      <c r="Q1840">
        <v>2.4300000000000002</v>
      </c>
      <c r="R1840" t="s">
        <v>235</v>
      </c>
      <c r="S1840">
        <v>0.12</v>
      </c>
      <c r="T1840">
        <v>0.13</v>
      </c>
    </row>
    <row r="1841" spans="1:21" ht="15" customHeight="1" x14ac:dyDescent="0.25">
      <c r="A1841" t="s">
        <v>19</v>
      </c>
      <c r="B1841" t="s">
        <v>20</v>
      </c>
      <c r="C1841" t="s">
        <v>320</v>
      </c>
      <c r="D1841">
        <v>3</v>
      </c>
      <c r="E1841" t="s">
        <v>149</v>
      </c>
      <c r="F1841" t="s">
        <v>373</v>
      </c>
      <c r="G1841">
        <v>0</v>
      </c>
      <c r="H1841">
        <v>0</v>
      </c>
      <c r="I1841">
        <f>100-J1841</f>
        <v>0</v>
      </c>
      <c r="J1841">
        <f>100-G1841-H1841</f>
        <v>100</v>
      </c>
      <c r="K1841" t="s">
        <v>19</v>
      </c>
      <c r="L1841" t="s">
        <v>19</v>
      </c>
      <c r="M1841" t="s">
        <v>19</v>
      </c>
      <c r="N1841" t="s">
        <v>19</v>
      </c>
      <c r="O1841" t="s">
        <v>19</v>
      </c>
      <c r="P1841" t="s">
        <v>19</v>
      </c>
      <c r="Q1841">
        <f>I1841</f>
        <v>0</v>
      </c>
      <c r="R1841" t="s">
        <v>19</v>
      </c>
      <c r="S1841" t="s">
        <v>19</v>
      </c>
      <c r="T1841" t="s">
        <v>19</v>
      </c>
    </row>
    <row r="1842" spans="1:21" ht="15" customHeight="1" x14ac:dyDescent="0.25">
      <c r="A1842" s="2">
        <v>45323.613483796296</v>
      </c>
      <c r="B1842" t="s">
        <v>309</v>
      </c>
      <c r="C1842" t="s">
        <v>322</v>
      </c>
      <c r="D1842">
        <v>3</v>
      </c>
      <c r="E1842" t="s">
        <v>149</v>
      </c>
      <c r="F1842" t="s">
        <v>373</v>
      </c>
      <c r="G1842">
        <f>(O1842/(N1842+O1842+P1842))*100</f>
        <v>3.7900874635568513</v>
      </c>
      <c r="H1842">
        <f>(P1842/(O1842+P1842+N1842))*100</f>
        <v>0</v>
      </c>
      <c r="I1842">
        <f>((O1842+P1842)/(P1842+O1842+N1842))*100</f>
        <v>3.7900874635568513</v>
      </c>
      <c r="J1842">
        <f>(N1842/(P1842+O1842+N1842))*100</f>
        <v>96.209912536443156</v>
      </c>
      <c r="K1842">
        <v>0.8</v>
      </c>
      <c r="L1842">
        <v>0.3</v>
      </c>
      <c r="M1842">
        <v>0.7</v>
      </c>
      <c r="N1842">
        <v>660</v>
      </c>
      <c r="O1842">
        <v>26</v>
      </c>
      <c r="P1842">
        <v>0</v>
      </c>
      <c r="Q1842">
        <v>3.79</v>
      </c>
      <c r="R1842" t="s">
        <v>333</v>
      </c>
      <c r="S1842">
        <v>2.66</v>
      </c>
      <c r="T1842">
        <v>3.26</v>
      </c>
      <c r="U1842">
        <v>56</v>
      </c>
    </row>
    <row r="1843" spans="1:21" ht="15" customHeight="1" x14ac:dyDescent="0.25">
      <c r="A1843" s="2">
        <v>45323.618171296293</v>
      </c>
      <c r="B1843" t="s">
        <v>309</v>
      </c>
      <c r="C1843" t="s">
        <v>322</v>
      </c>
      <c r="D1843">
        <v>3</v>
      </c>
      <c r="E1843" t="s">
        <v>149</v>
      </c>
      <c r="F1843" t="s">
        <v>373</v>
      </c>
      <c r="G1843">
        <f>(O1843/(N1843+O1843+P1843))*100</f>
        <v>5.1724137931034484</v>
      </c>
      <c r="H1843">
        <f>(P1843/(O1843+P1843+N1843))*100</f>
        <v>0</v>
      </c>
      <c r="I1843">
        <f>((O1843+P1843)/(P1843+O1843+N1843))*100</f>
        <v>5.1724137931034484</v>
      </c>
      <c r="J1843">
        <f>(N1843/(P1843+O1843+N1843))*100</f>
        <v>94.827586206896555</v>
      </c>
      <c r="K1843">
        <v>0.7</v>
      </c>
      <c r="L1843">
        <v>0.3</v>
      </c>
      <c r="M1843">
        <v>0.7</v>
      </c>
      <c r="N1843">
        <v>660</v>
      </c>
      <c r="O1843">
        <v>36</v>
      </c>
      <c r="P1843">
        <v>0</v>
      </c>
      <c r="Q1843">
        <v>5.17</v>
      </c>
      <c r="R1843" t="s">
        <v>337</v>
      </c>
      <c r="S1843">
        <v>2.66</v>
      </c>
      <c r="T1843">
        <v>3.26</v>
      </c>
      <c r="U1843">
        <v>46</v>
      </c>
    </row>
    <row r="1844" spans="1:21" ht="15" customHeight="1" x14ac:dyDescent="0.25">
      <c r="A1844" s="2">
        <v>45325.177511574075</v>
      </c>
      <c r="B1844" t="s">
        <v>309</v>
      </c>
      <c r="C1844" t="s">
        <v>368</v>
      </c>
      <c r="D1844">
        <v>2</v>
      </c>
      <c r="E1844" t="s">
        <v>149</v>
      </c>
      <c r="F1844" t="s">
        <v>373</v>
      </c>
      <c r="G1844">
        <f>(O1844/(N1844+O1844+P1844))*100</f>
        <v>6.7381316998468606</v>
      </c>
      <c r="H1844">
        <f>(P1844/(O1844+P1844+N1844))*100</f>
        <v>0</v>
      </c>
      <c r="I1844">
        <v>6.74</v>
      </c>
      <c r="J1844">
        <f>(N1844/(P1844+O1844+N1844))*100</f>
        <v>93.261868300153139</v>
      </c>
      <c r="K1844">
        <v>0.8</v>
      </c>
      <c r="L1844">
        <v>0.3</v>
      </c>
      <c r="M1844">
        <v>0.7</v>
      </c>
      <c r="N1844">
        <v>609</v>
      </c>
      <c r="O1844">
        <v>44</v>
      </c>
      <c r="P1844">
        <v>0</v>
      </c>
      <c r="Q1844">
        <v>6.74</v>
      </c>
      <c r="R1844" t="s">
        <v>367</v>
      </c>
      <c r="S1844">
        <v>0.28000000000000003</v>
      </c>
      <c r="T1844">
        <v>0.3</v>
      </c>
    </row>
    <row r="1845" spans="1:21" ht="15" customHeight="1" x14ac:dyDescent="0.25">
      <c r="A1845" t="s">
        <v>19</v>
      </c>
      <c r="B1845" t="s">
        <v>20</v>
      </c>
      <c r="C1845" t="s">
        <v>306</v>
      </c>
      <c r="D1845">
        <v>3</v>
      </c>
      <c r="E1845" t="s">
        <v>150</v>
      </c>
      <c r="F1845" t="s">
        <v>373</v>
      </c>
      <c r="G1845" t="s">
        <v>321</v>
      </c>
      <c r="H1845" t="s">
        <v>321</v>
      </c>
      <c r="I1845">
        <v>80</v>
      </c>
      <c r="J1845">
        <v>20</v>
      </c>
      <c r="K1845" t="s">
        <v>19</v>
      </c>
      <c r="L1845" t="s">
        <v>19</v>
      </c>
      <c r="M1845" t="s">
        <v>19</v>
      </c>
      <c r="N1845" t="s">
        <v>19</v>
      </c>
      <c r="O1845" t="s">
        <v>19</v>
      </c>
      <c r="P1845" t="s">
        <v>19</v>
      </c>
      <c r="Q1845">
        <f>I1845</f>
        <v>80</v>
      </c>
      <c r="R1845" t="s">
        <v>19</v>
      </c>
      <c r="S1845" t="s">
        <v>19</v>
      </c>
      <c r="T1845" t="s">
        <v>19</v>
      </c>
    </row>
    <row r="1846" spans="1:21" ht="15" customHeight="1" x14ac:dyDescent="0.25">
      <c r="A1846" t="s">
        <v>19</v>
      </c>
      <c r="B1846" t="s">
        <v>20</v>
      </c>
      <c r="C1846" t="s">
        <v>308</v>
      </c>
      <c r="D1846">
        <v>3</v>
      </c>
      <c r="E1846" t="s">
        <v>150</v>
      </c>
      <c r="F1846" t="s">
        <v>373</v>
      </c>
      <c r="G1846">
        <v>15</v>
      </c>
      <c r="H1846">
        <v>70</v>
      </c>
      <c r="I1846">
        <f>G1846+H1846</f>
        <v>85</v>
      </c>
      <c r="J1846">
        <f>100-G1846-H1846</f>
        <v>15</v>
      </c>
      <c r="K1846" t="s">
        <v>19</v>
      </c>
      <c r="L1846" t="s">
        <v>19</v>
      </c>
      <c r="M1846" t="s">
        <v>19</v>
      </c>
      <c r="N1846" t="s">
        <v>19</v>
      </c>
      <c r="O1846" t="s">
        <v>19</v>
      </c>
      <c r="P1846" t="s">
        <v>19</v>
      </c>
      <c r="Q1846">
        <f>I1846</f>
        <v>85</v>
      </c>
      <c r="R1846" t="s">
        <v>19</v>
      </c>
      <c r="S1846" t="s">
        <v>19</v>
      </c>
      <c r="T1846" t="s">
        <v>19</v>
      </c>
    </row>
    <row r="1847" spans="1:21" ht="15" customHeight="1" x14ac:dyDescent="0.25">
      <c r="A1847" t="s">
        <v>19</v>
      </c>
      <c r="B1847" t="s">
        <v>20</v>
      </c>
      <c r="C1847" t="s">
        <v>22</v>
      </c>
      <c r="D1847">
        <v>3</v>
      </c>
      <c r="E1847" t="s">
        <v>150</v>
      </c>
      <c r="F1847" t="s">
        <v>373</v>
      </c>
      <c r="G1847">
        <v>80</v>
      </c>
      <c r="H1847">
        <v>2</v>
      </c>
      <c r="I1847">
        <f>G1847+H1847</f>
        <v>82</v>
      </c>
      <c r="J1847">
        <f>100-G1847-H1847</f>
        <v>18</v>
      </c>
      <c r="K1847" t="s">
        <v>19</v>
      </c>
      <c r="L1847" t="s">
        <v>19</v>
      </c>
      <c r="M1847" t="s">
        <v>19</v>
      </c>
      <c r="N1847" t="s">
        <v>19</v>
      </c>
      <c r="O1847" t="s">
        <v>19</v>
      </c>
      <c r="P1847" t="s">
        <v>19</v>
      </c>
      <c r="Q1847">
        <f>I1847</f>
        <v>82</v>
      </c>
      <c r="R1847" t="s">
        <v>19</v>
      </c>
      <c r="S1847" t="s">
        <v>19</v>
      </c>
      <c r="T1847" t="s">
        <v>19</v>
      </c>
    </row>
    <row r="1848" spans="1:21" ht="15" customHeight="1" x14ac:dyDescent="0.25">
      <c r="A1848" t="s">
        <v>19</v>
      </c>
      <c r="B1848" t="s">
        <v>20</v>
      </c>
      <c r="C1848" t="s">
        <v>305</v>
      </c>
      <c r="D1848">
        <v>3</v>
      </c>
      <c r="E1848" t="s">
        <v>150</v>
      </c>
      <c r="F1848" t="s">
        <v>373</v>
      </c>
      <c r="G1848">
        <v>37</v>
      </c>
      <c r="H1848">
        <v>3</v>
      </c>
      <c r="I1848">
        <f>G1848+H1848</f>
        <v>40</v>
      </c>
      <c r="J1848">
        <f>100-G1848-H1848</f>
        <v>60</v>
      </c>
      <c r="K1848" t="s">
        <v>19</v>
      </c>
      <c r="L1848" t="s">
        <v>19</v>
      </c>
      <c r="M1848" t="s">
        <v>19</v>
      </c>
      <c r="N1848" t="s">
        <v>19</v>
      </c>
      <c r="O1848" t="s">
        <v>19</v>
      </c>
      <c r="P1848" t="s">
        <v>19</v>
      </c>
      <c r="Q1848">
        <f>I1848</f>
        <v>40</v>
      </c>
      <c r="R1848" t="s">
        <v>19</v>
      </c>
      <c r="S1848" t="s">
        <v>19</v>
      </c>
      <c r="T1848" t="s">
        <v>19</v>
      </c>
    </row>
    <row r="1849" spans="1:21" ht="15" customHeight="1" x14ac:dyDescent="0.25">
      <c r="A1849" t="s">
        <v>19</v>
      </c>
      <c r="B1849" t="s">
        <v>20</v>
      </c>
      <c r="C1849" t="s">
        <v>307</v>
      </c>
      <c r="D1849">
        <v>3</v>
      </c>
      <c r="E1849" t="s">
        <v>150</v>
      </c>
      <c r="F1849" t="s">
        <v>373</v>
      </c>
      <c r="G1849">
        <v>19</v>
      </c>
      <c r="H1849">
        <v>5</v>
      </c>
      <c r="I1849">
        <f>G1849+H1849</f>
        <v>24</v>
      </c>
      <c r="J1849">
        <f>100-G1849-H1849</f>
        <v>76</v>
      </c>
      <c r="K1849" t="s">
        <v>19</v>
      </c>
      <c r="L1849" t="s">
        <v>19</v>
      </c>
      <c r="M1849" t="s">
        <v>19</v>
      </c>
      <c r="N1849" t="s">
        <v>19</v>
      </c>
      <c r="O1849" t="s">
        <v>19</v>
      </c>
      <c r="P1849" t="s">
        <v>19</v>
      </c>
      <c r="Q1849">
        <f>I1849</f>
        <v>24</v>
      </c>
      <c r="R1849" t="s">
        <v>19</v>
      </c>
      <c r="S1849" t="s">
        <v>19</v>
      </c>
      <c r="T1849" t="s">
        <v>19</v>
      </c>
    </row>
    <row r="1850" spans="1:21" ht="15" customHeight="1" x14ac:dyDescent="0.25">
      <c r="A1850" s="2">
        <v>45253.765277777777</v>
      </c>
      <c r="B1850" t="s">
        <v>309</v>
      </c>
      <c r="C1850" t="s">
        <v>213</v>
      </c>
      <c r="D1850">
        <v>3</v>
      </c>
      <c r="E1850" t="s">
        <v>150</v>
      </c>
      <c r="F1850" t="s">
        <v>373</v>
      </c>
      <c r="G1850">
        <v>44.09448819</v>
      </c>
      <c r="H1850">
        <v>0.19685039400000001</v>
      </c>
      <c r="I1850">
        <v>44.291338580000001</v>
      </c>
      <c r="J1850">
        <v>55.708661419999999</v>
      </c>
      <c r="K1850">
        <v>0.8</v>
      </c>
      <c r="L1850">
        <v>0.2</v>
      </c>
      <c r="M1850">
        <v>0.7</v>
      </c>
      <c r="N1850">
        <v>283</v>
      </c>
      <c r="O1850">
        <v>224</v>
      </c>
      <c r="P1850">
        <v>1</v>
      </c>
      <c r="Q1850">
        <v>44.29</v>
      </c>
      <c r="R1850" t="s">
        <v>284</v>
      </c>
      <c r="S1850">
        <v>2.83</v>
      </c>
      <c r="T1850">
        <v>3.24</v>
      </c>
    </row>
    <row r="1851" spans="1:21" ht="15" customHeight="1" x14ac:dyDescent="0.25">
      <c r="A1851" s="2">
        <v>45253.953472222223</v>
      </c>
      <c r="B1851" t="s">
        <v>309</v>
      </c>
      <c r="C1851" t="s">
        <v>215</v>
      </c>
      <c r="D1851">
        <v>2</v>
      </c>
      <c r="E1851" t="s">
        <v>150</v>
      </c>
      <c r="F1851" t="s">
        <v>373</v>
      </c>
      <c r="G1851">
        <v>4.0201005030000001</v>
      </c>
      <c r="H1851">
        <v>0</v>
      </c>
      <c r="I1851">
        <v>4.0201005030000001</v>
      </c>
      <c r="J1851">
        <v>95.979899500000002</v>
      </c>
      <c r="K1851">
        <v>0.8</v>
      </c>
      <c r="L1851">
        <v>0.2</v>
      </c>
      <c r="M1851">
        <v>0.7</v>
      </c>
      <c r="N1851">
        <v>573</v>
      </c>
      <c r="O1851">
        <v>24</v>
      </c>
      <c r="P1851">
        <v>0</v>
      </c>
      <c r="Q1851">
        <v>4.0199999999999996</v>
      </c>
      <c r="R1851" t="s">
        <v>243</v>
      </c>
      <c r="S1851">
        <v>0.16</v>
      </c>
      <c r="T1851">
        <v>0.17</v>
      </c>
    </row>
    <row r="1852" spans="1:21" ht="15" customHeight="1" x14ac:dyDescent="0.25">
      <c r="A1852" s="2">
        <v>45254.129861111112</v>
      </c>
      <c r="B1852" t="s">
        <v>309</v>
      </c>
      <c r="C1852" t="s">
        <v>217</v>
      </c>
      <c r="D1852">
        <v>2</v>
      </c>
      <c r="E1852" t="s">
        <v>150</v>
      </c>
      <c r="F1852" t="s">
        <v>373</v>
      </c>
      <c r="G1852">
        <v>15.0779896</v>
      </c>
      <c r="H1852">
        <v>0</v>
      </c>
      <c r="I1852">
        <v>15.0779896</v>
      </c>
      <c r="J1852">
        <v>84.922010400000005</v>
      </c>
      <c r="K1852">
        <v>0.8</v>
      </c>
      <c r="L1852">
        <v>0.2</v>
      </c>
      <c r="M1852">
        <v>0.7</v>
      </c>
      <c r="N1852">
        <v>490</v>
      </c>
      <c r="O1852">
        <v>87</v>
      </c>
      <c r="P1852">
        <v>0</v>
      </c>
      <c r="Q1852">
        <v>15.08</v>
      </c>
      <c r="R1852" t="s">
        <v>225</v>
      </c>
      <c r="S1852">
        <v>0.47</v>
      </c>
      <c r="T1852">
        <v>0.5</v>
      </c>
    </row>
    <row r="1853" spans="1:21" ht="15" customHeight="1" x14ac:dyDescent="0.25">
      <c r="A1853" s="2">
        <v>45316.46597222222</v>
      </c>
      <c r="B1853" t="s">
        <v>309</v>
      </c>
      <c r="C1853" t="s">
        <v>219</v>
      </c>
      <c r="D1853">
        <v>3</v>
      </c>
      <c r="E1853" t="s">
        <v>150</v>
      </c>
      <c r="F1853" t="s">
        <v>373</v>
      </c>
      <c r="G1853">
        <v>38.717339670000001</v>
      </c>
      <c r="H1853">
        <v>1.187648456</v>
      </c>
      <c r="I1853">
        <v>39.904988119999999</v>
      </c>
      <c r="J1853">
        <v>60.095011880000001</v>
      </c>
      <c r="K1853">
        <v>0.8</v>
      </c>
      <c r="L1853">
        <v>0.2</v>
      </c>
      <c r="M1853">
        <v>0.7</v>
      </c>
      <c r="N1853">
        <v>253</v>
      </c>
      <c r="O1853">
        <v>163</v>
      </c>
      <c r="P1853">
        <v>5</v>
      </c>
      <c r="Q1853">
        <v>39.9</v>
      </c>
      <c r="R1853" t="s">
        <v>257</v>
      </c>
      <c r="S1853">
        <v>3.05</v>
      </c>
      <c r="T1853">
        <v>4.5</v>
      </c>
    </row>
    <row r="1854" spans="1:21" ht="15" customHeight="1" x14ac:dyDescent="0.25">
      <c r="A1854" s="2">
        <v>45320.990972222222</v>
      </c>
      <c r="B1854" t="s">
        <v>309</v>
      </c>
      <c r="C1854" t="s">
        <v>221</v>
      </c>
      <c r="D1854">
        <v>2</v>
      </c>
      <c r="E1854" t="s">
        <v>150</v>
      </c>
      <c r="F1854" t="s">
        <v>373</v>
      </c>
      <c r="G1854">
        <v>42.664418210000001</v>
      </c>
      <c r="H1854">
        <v>0</v>
      </c>
      <c r="I1854">
        <v>42.664418210000001</v>
      </c>
      <c r="J1854">
        <v>57.335581789999999</v>
      </c>
      <c r="K1854">
        <v>0.8</v>
      </c>
      <c r="L1854">
        <v>0.3</v>
      </c>
      <c r="M1854">
        <v>0.7</v>
      </c>
      <c r="N1854">
        <v>340</v>
      </c>
      <c r="O1854">
        <v>253</v>
      </c>
      <c r="P1854">
        <v>0</v>
      </c>
      <c r="Q1854">
        <v>42.66</v>
      </c>
      <c r="R1854" t="s">
        <v>239</v>
      </c>
      <c r="S1854">
        <v>1.24</v>
      </c>
      <c r="T1854">
        <v>1.3</v>
      </c>
    </row>
    <row r="1855" spans="1:21" ht="15" customHeight="1" x14ac:dyDescent="0.25">
      <c r="A1855" t="s">
        <v>19</v>
      </c>
      <c r="B1855" t="s">
        <v>20</v>
      </c>
      <c r="C1855" t="s">
        <v>320</v>
      </c>
      <c r="D1855">
        <v>3</v>
      </c>
      <c r="E1855" t="s">
        <v>150</v>
      </c>
      <c r="F1855" t="s">
        <v>373</v>
      </c>
      <c r="G1855">
        <v>90</v>
      </c>
      <c r="H1855">
        <v>0</v>
      </c>
      <c r="I1855">
        <f>100-J1855</f>
        <v>90</v>
      </c>
      <c r="J1855">
        <f>100-G1855-H1855</f>
        <v>10</v>
      </c>
      <c r="K1855" t="s">
        <v>19</v>
      </c>
      <c r="L1855" t="s">
        <v>19</v>
      </c>
      <c r="M1855" t="s">
        <v>19</v>
      </c>
      <c r="N1855" t="s">
        <v>19</v>
      </c>
      <c r="O1855" t="s">
        <v>19</v>
      </c>
      <c r="P1855" t="s">
        <v>19</v>
      </c>
      <c r="Q1855">
        <f>I1855</f>
        <v>90</v>
      </c>
      <c r="R1855" t="s">
        <v>19</v>
      </c>
      <c r="S1855" t="s">
        <v>19</v>
      </c>
      <c r="T1855" t="s">
        <v>19</v>
      </c>
    </row>
    <row r="1856" spans="1:21" ht="15" customHeight="1" x14ac:dyDescent="0.25">
      <c r="A1856" s="2">
        <v>45323.61519675926</v>
      </c>
      <c r="B1856" t="s">
        <v>309</v>
      </c>
      <c r="C1856" t="s">
        <v>322</v>
      </c>
      <c r="D1856">
        <v>3</v>
      </c>
      <c r="E1856" t="s">
        <v>150</v>
      </c>
      <c r="F1856" t="s">
        <v>373</v>
      </c>
      <c r="G1856">
        <f>(O1856/(N1856+O1856+P1856))*100</f>
        <v>47.027027027027032</v>
      </c>
      <c r="H1856">
        <f>(P1856/(O1856+P1856+N1856))*100</f>
        <v>0.72072072072072069</v>
      </c>
      <c r="I1856">
        <f>((O1856+P1856)/(P1856+O1856+N1856))*100</f>
        <v>47.747747747747752</v>
      </c>
      <c r="J1856">
        <f>(N1856/(P1856+O1856+N1856))*100</f>
        <v>52.252252252252248</v>
      </c>
      <c r="K1856">
        <v>0.8</v>
      </c>
      <c r="L1856">
        <v>0.3</v>
      </c>
      <c r="M1856">
        <v>0.7</v>
      </c>
      <c r="N1856">
        <v>290</v>
      </c>
      <c r="O1856">
        <v>261</v>
      </c>
      <c r="P1856">
        <v>4</v>
      </c>
      <c r="Q1856">
        <v>47.75</v>
      </c>
      <c r="R1856" t="s">
        <v>296</v>
      </c>
      <c r="S1856">
        <v>2.68</v>
      </c>
      <c r="T1856">
        <v>3.04</v>
      </c>
      <c r="U1856">
        <v>115</v>
      </c>
    </row>
    <row r="1857" spans="1:21" ht="15" customHeight="1" x14ac:dyDescent="0.25">
      <c r="A1857" s="2">
        <v>45323.61991898148</v>
      </c>
      <c r="B1857" t="s">
        <v>309</v>
      </c>
      <c r="C1857" t="s">
        <v>322</v>
      </c>
      <c r="D1857">
        <v>3</v>
      </c>
      <c r="E1857" t="s">
        <v>150</v>
      </c>
      <c r="F1857" t="s">
        <v>373</v>
      </c>
      <c r="G1857">
        <f>(O1857/(N1857+O1857+P1857))*100</f>
        <v>49.046793760831889</v>
      </c>
      <c r="H1857">
        <f>(P1857/(O1857+P1857+N1857))*100</f>
        <v>0.86655112651646449</v>
      </c>
      <c r="I1857">
        <f>((O1857+P1857)/(P1857+O1857+N1857))*100</f>
        <v>49.913344887348352</v>
      </c>
      <c r="J1857">
        <f>(N1857/(P1857+O1857+N1857))*100</f>
        <v>50.086655112651648</v>
      </c>
      <c r="K1857">
        <v>0.7</v>
      </c>
      <c r="L1857">
        <v>0.3</v>
      </c>
      <c r="M1857">
        <v>0.7</v>
      </c>
      <c r="N1857">
        <v>289</v>
      </c>
      <c r="O1857">
        <v>283</v>
      </c>
      <c r="P1857">
        <v>5</v>
      </c>
      <c r="Q1857">
        <v>49.91</v>
      </c>
      <c r="R1857" t="s">
        <v>245</v>
      </c>
      <c r="S1857">
        <v>2.68</v>
      </c>
      <c r="T1857">
        <v>3.04</v>
      </c>
      <c r="U1857">
        <v>93</v>
      </c>
    </row>
    <row r="1858" spans="1:21" ht="15" customHeight="1" x14ac:dyDescent="0.25">
      <c r="A1858" s="2">
        <v>45325.178865740738</v>
      </c>
      <c r="B1858" t="s">
        <v>309</v>
      </c>
      <c r="C1858" t="s">
        <v>368</v>
      </c>
      <c r="D1858">
        <v>2</v>
      </c>
      <c r="E1858" t="s">
        <v>150</v>
      </c>
      <c r="F1858" t="s">
        <v>373</v>
      </c>
      <c r="G1858">
        <f>(O1858/(N1858+O1858+P1858))*100</f>
        <v>56.71641791044776</v>
      </c>
      <c r="H1858">
        <f>(P1858/(O1858+P1858+N1858))*100</f>
        <v>0</v>
      </c>
      <c r="I1858">
        <v>56.72</v>
      </c>
      <c r="J1858">
        <f>(N1858/(P1858+O1858+N1858))*100</f>
        <v>43.283582089552233</v>
      </c>
      <c r="K1858">
        <v>0.8</v>
      </c>
      <c r="L1858">
        <v>0.3</v>
      </c>
      <c r="M1858">
        <v>0.7</v>
      </c>
      <c r="N1858">
        <v>232</v>
      </c>
      <c r="O1858">
        <v>304</v>
      </c>
      <c r="P1858">
        <v>0</v>
      </c>
      <c r="Q1858">
        <v>56.72</v>
      </c>
      <c r="R1858" t="s">
        <v>265</v>
      </c>
      <c r="S1858">
        <v>1.5</v>
      </c>
      <c r="T1858">
        <v>1.59</v>
      </c>
    </row>
    <row r="1859" spans="1:21" ht="15" customHeight="1" x14ac:dyDescent="0.25">
      <c r="A1859" t="s">
        <v>19</v>
      </c>
      <c r="B1859" t="s">
        <v>20</v>
      </c>
      <c r="C1859" t="s">
        <v>308</v>
      </c>
      <c r="D1859">
        <v>3</v>
      </c>
      <c r="E1859" t="s">
        <v>151</v>
      </c>
      <c r="F1859" t="s">
        <v>388</v>
      </c>
      <c r="G1859">
        <v>15</v>
      </c>
      <c r="H1859">
        <v>60</v>
      </c>
      <c r="I1859">
        <f>G1859+H1859</f>
        <v>75</v>
      </c>
      <c r="J1859">
        <f>100-G1859-H1859</f>
        <v>25</v>
      </c>
      <c r="K1859" t="s">
        <v>19</v>
      </c>
      <c r="L1859" t="s">
        <v>19</v>
      </c>
      <c r="M1859" t="s">
        <v>19</v>
      </c>
      <c r="N1859" t="s">
        <v>19</v>
      </c>
      <c r="O1859" t="s">
        <v>19</v>
      </c>
      <c r="P1859" t="s">
        <v>19</v>
      </c>
      <c r="Q1859">
        <f>I1859</f>
        <v>75</v>
      </c>
      <c r="R1859" t="s">
        <v>19</v>
      </c>
      <c r="S1859" t="s">
        <v>19</v>
      </c>
      <c r="T1859" t="s">
        <v>19</v>
      </c>
    </row>
    <row r="1860" spans="1:21" ht="15" customHeight="1" x14ac:dyDescent="0.25">
      <c r="A1860" t="s">
        <v>19</v>
      </c>
      <c r="B1860" t="s">
        <v>20</v>
      </c>
      <c r="C1860" t="s">
        <v>22</v>
      </c>
      <c r="D1860">
        <v>3</v>
      </c>
      <c r="E1860" t="s">
        <v>151</v>
      </c>
      <c r="F1860" t="s">
        <v>388</v>
      </c>
      <c r="G1860">
        <v>30</v>
      </c>
      <c r="H1860">
        <v>45</v>
      </c>
      <c r="I1860">
        <f>G1860+H1860</f>
        <v>75</v>
      </c>
      <c r="J1860">
        <f>100-G1860-H1860</f>
        <v>25</v>
      </c>
      <c r="K1860" t="s">
        <v>19</v>
      </c>
      <c r="L1860" t="s">
        <v>19</v>
      </c>
      <c r="M1860" t="s">
        <v>19</v>
      </c>
      <c r="N1860" t="s">
        <v>19</v>
      </c>
      <c r="O1860" t="s">
        <v>19</v>
      </c>
      <c r="P1860" t="s">
        <v>19</v>
      </c>
      <c r="Q1860">
        <f>I1860</f>
        <v>75</v>
      </c>
      <c r="R1860" t="s">
        <v>19</v>
      </c>
      <c r="S1860" t="s">
        <v>19</v>
      </c>
      <c r="T1860" t="s">
        <v>19</v>
      </c>
    </row>
    <row r="1861" spans="1:21" ht="15" customHeight="1" x14ac:dyDescent="0.25">
      <c r="A1861" t="s">
        <v>19</v>
      </c>
      <c r="B1861" t="s">
        <v>20</v>
      </c>
      <c r="C1861" t="s">
        <v>305</v>
      </c>
      <c r="D1861">
        <v>3</v>
      </c>
      <c r="E1861" t="s">
        <v>151</v>
      </c>
      <c r="F1861" t="s">
        <v>388</v>
      </c>
      <c r="G1861">
        <v>25</v>
      </c>
      <c r="H1861">
        <v>45</v>
      </c>
      <c r="I1861">
        <f>G1861+H1861</f>
        <v>70</v>
      </c>
      <c r="J1861">
        <f>100-G1861-H1861</f>
        <v>30</v>
      </c>
      <c r="K1861" t="s">
        <v>19</v>
      </c>
      <c r="L1861" t="s">
        <v>19</v>
      </c>
      <c r="M1861" t="s">
        <v>19</v>
      </c>
      <c r="N1861" t="s">
        <v>19</v>
      </c>
      <c r="O1861" t="s">
        <v>19</v>
      </c>
      <c r="P1861" t="s">
        <v>19</v>
      </c>
      <c r="Q1861">
        <f>I1861</f>
        <v>70</v>
      </c>
      <c r="R1861" t="s">
        <v>19</v>
      </c>
      <c r="S1861" t="s">
        <v>19</v>
      </c>
      <c r="T1861" t="s">
        <v>19</v>
      </c>
    </row>
    <row r="1862" spans="1:21" ht="15" customHeight="1" x14ac:dyDescent="0.25">
      <c r="A1862" t="s">
        <v>19</v>
      </c>
      <c r="B1862" t="s">
        <v>20</v>
      </c>
      <c r="C1862" t="s">
        <v>307</v>
      </c>
      <c r="D1862">
        <v>3</v>
      </c>
      <c r="E1862" t="s">
        <v>151</v>
      </c>
      <c r="F1862" t="s">
        <v>388</v>
      </c>
      <c r="G1862">
        <v>25</v>
      </c>
      <c r="H1862">
        <v>25</v>
      </c>
      <c r="I1862">
        <f>G1862+H1862</f>
        <v>50</v>
      </c>
      <c r="J1862">
        <f>100-G1862-H1862</f>
        <v>50</v>
      </c>
      <c r="K1862" t="s">
        <v>19</v>
      </c>
      <c r="L1862" t="s">
        <v>19</v>
      </c>
      <c r="M1862" t="s">
        <v>19</v>
      </c>
      <c r="N1862" t="s">
        <v>19</v>
      </c>
      <c r="O1862" t="s">
        <v>19</v>
      </c>
      <c r="P1862" t="s">
        <v>19</v>
      </c>
      <c r="Q1862">
        <f>I1862</f>
        <v>50</v>
      </c>
      <c r="R1862" t="s">
        <v>19</v>
      </c>
      <c r="S1862" t="s">
        <v>19</v>
      </c>
      <c r="T1862" t="s">
        <v>19</v>
      </c>
    </row>
    <row r="1863" spans="1:21" ht="15" customHeight="1" x14ac:dyDescent="0.25">
      <c r="A1863" s="2">
        <v>45253.606944444444</v>
      </c>
      <c r="B1863" t="s">
        <v>309</v>
      </c>
      <c r="C1863" t="s">
        <v>213</v>
      </c>
      <c r="D1863">
        <v>3</v>
      </c>
      <c r="E1863" t="s">
        <v>151</v>
      </c>
      <c r="F1863" t="s">
        <v>388</v>
      </c>
      <c r="G1863">
        <v>6.7272727269999999</v>
      </c>
      <c r="H1863">
        <v>68.909090910000003</v>
      </c>
      <c r="I1863">
        <v>75.636363639999999</v>
      </c>
      <c r="J1863">
        <v>24.363636360000001</v>
      </c>
      <c r="K1863">
        <v>0.8</v>
      </c>
      <c r="L1863">
        <v>0.2</v>
      </c>
      <c r="M1863">
        <v>0.7</v>
      </c>
      <c r="N1863">
        <v>134</v>
      </c>
      <c r="O1863">
        <v>37</v>
      </c>
      <c r="P1863">
        <v>379</v>
      </c>
      <c r="Q1863">
        <v>75.64</v>
      </c>
      <c r="R1863" t="s">
        <v>236</v>
      </c>
      <c r="S1863">
        <v>2.82</v>
      </c>
      <c r="T1863">
        <v>3.64</v>
      </c>
    </row>
    <row r="1864" spans="1:21" ht="15" customHeight="1" x14ac:dyDescent="0.25">
      <c r="A1864" s="2">
        <v>45253.869444444441</v>
      </c>
      <c r="B1864" t="s">
        <v>309</v>
      </c>
      <c r="C1864" t="s">
        <v>215</v>
      </c>
      <c r="D1864">
        <v>2</v>
      </c>
      <c r="E1864" t="s">
        <v>151</v>
      </c>
      <c r="F1864" t="s">
        <v>388</v>
      </c>
      <c r="G1864">
        <v>35.218093699999997</v>
      </c>
      <c r="H1864">
        <v>0</v>
      </c>
      <c r="I1864">
        <v>35.218093699999997</v>
      </c>
      <c r="J1864">
        <v>64.781906300000003</v>
      </c>
      <c r="K1864">
        <v>0.8</v>
      </c>
      <c r="L1864">
        <v>0.2</v>
      </c>
      <c r="M1864">
        <v>0.7</v>
      </c>
      <c r="N1864">
        <v>401</v>
      </c>
      <c r="O1864">
        <v>218</v>
      </c>
      <c r="P1864">
        <v>0</v>
      </c>
      <c r="Q1864">
        <v>35.22</v>
      </c>
      <c r="R1864" t="s">
        <v>218</v>
      </c>
      <c r="S1864">
        <v>0.89</v>
      </c>
      <c r="T1864">
        <v>0.98</v>
      </c>
    </row>
    <row r="1865" spans="1:21" ht="15" customHeight="1" x14ac:dyDescent="0.25">
      <c r="A1865" s="2">
        <v>45254.038888888892</v>
      </c>
      <c r="B1865" t="s">
        <v>309</v>
      </c>
      <c r="C1865" t="s">
        <v>217</v>
      </c>
      <c r="D1865">
        <v>2</v>
      </c>
      <c r="E1865" t="s">
        <v>151</v>
      </c>
      <c r="F1865" t="s">
        <v>388</v>
      </c>
      <c r="G1865">
        <v>46.042003229999999</v>
      </c>
      <c r="H1865">
        <v>0</v>
      </c>
      <c r="I1865">
        <v>46.042003229999999</v>
      </c>
      <c r="J1865">
        <v>53.957996770000001</v>
      </c>
      <c r="K1865">
        <v>0.8</v>
      </c>
      <c r="L1865">
        <v>0.2</v>
      </c>
      <c r="M1865">
        <v>0.7</v>
      </c>
      <c r="N1865">
        <v>334</v>
      </c>
      <c r="O1865">
        <v>285</v>
      </c>
      <c r="P1865">
        <v>0</v>
      </c>
      <c r="Q1865">
        <v>46.04</v>
      </c>
      <c r="R1865" t="s">
        <v>237</v>
      </c>
      <c r="S1865">
        <v>1.22</v>
      </c>
      <c r="T1865">
        <v>1.32</v>
      </c>
    </row>
    <row r="1866" spans="1:21" ht="15" customHeight="1" x14ac:dyDescent="0.25">
      <c r="A1866" s="2">
        <v>45316.549305555556</v>
      </c>
      <c r="B1866" t="s">
        <v>309</v>
      </c>
      <c r="C1866" t="s">
        <v>219</v>
      </c>
      <c r="D1866">
        <v>3</v>
      </c>
      <c r="E1866" t="s">
        <v>151</v>
      </c>
      <c r="F1866" t="s">
        <v>388</v>
      </c>
      <c r="G1866">
        <v>3.992015968</v>
      </c>
      <c r="H1866">
        <v>78.842315369999994</v>
      </c>
      <c r="I1866">
        <v>82.834331340000006</v>
      </c>
      <c r="J1866">
        <v>17.165668660000001</v>
      </c>
      <c r="K1866">
        <v>0.8</v>
      </c>
      <c r="L1866">
        <v>0.2</v>
      </c>
      <c r="M1866">
        <v>0.7</v>
      </c>
      <c r="N1866">
        <v>86</v>
      </c>
      <c r="O1866">
        <v>20</v>
      </c>
      <c r="P1866">
        <v>395</v>
      </c>
      <c r="Q1866">
        <v>82.83</v>
      </c>
      <c r="R1866" t="s">
        <v>225</v>
      </c>
      <c r="S1866">
        <v>3.12</v>
      </c>
      <c r="T1866">
        <v>4.46</v>
      </c>
    </row>
    <row r="1867" spans="1:21" ht="15" customHeight="1" x14ac:dyDescent="0.25">
      <c r="A1867" s="2">
        <v>45320.89166666667</v>
      </c>
      <c r="B1867" t="s">
        <v>309</v>
      </c>
      <c r="C1867" t="s">
        <v>221</v>
      </c>
      <c r="D1867">
        <v>2</v>
      </c>
      <c r="E1867" t="s">
        <v>151</v>
      </c>
      <c r="F1867" t="s">
        <v>388</v>
      </c>
      <c r="G1867">
        <v>78.778625950000006</v>
      </c>
      <c r="H1867">
        <v>0</v>
      </c>
      <c r="I1867">
        <v>78.778625950000006</v>
      </c>
      <c r="J1867">
        <v>21.221374050000001</v>
      </c>
      <c r="K1867">
        <v>0.8</v>
      </c>
      <c r="L1867">
        <v>0.3</v>
      </c>
      <c r="M1867">
        <v>0.7</v>
      </c>
      <c r="N1867">
        <v>139</v>
      </c>
      <c r="O1867">
        <v>516</v>
      </c>
      <c r="P1867">
        <v>0</v>
      </c>
      <c r="Q1867">
        <v>78.78</v>
      </c>
      <c r="R1867" t="s">
        <v>282</v>
      </c>
      <c r="S1867">
        <v>2.02</v>
      </c>
      <c r="T1867">
        <v>2.1800000000000002</v>
      </c>
    </row>
    <row r="1868" spans="1:21" ht="15" customHeight="1" x14ac:dyDescent="0.25">
      <c r="A1868" t="s">
        <v>19</v>
      </c>
      <c r="B1868" t="s">
        <v>20</v>
      </c>
      <c r="C1868" t="s">
        <v>306</v>
      </c>
      <c r="D1868">
        <v>3</v>
      </c>
      <c r="E1868" t="s">
        <v>151</v>
      </c>
      <c r="F1868" t="s">
        <v>388</v>
      </c>
      <c r="G1868">
        <v>30</v>
      </c>
      <c r="H1868">
        <v>60</v>
      </c>
      <c r="I1868">
        <f>G1868+H1868</f>
        <v>90</v>
      </c>
      <c r="J1868">
        <f>100-G1868-H1868</f>
        <v>10</v>
      </c>
      <c r="K1868" t="s">
        <v>19</v>
      </c>
      <c r="L1868" t="s">
        <v>19</v>
      </c>
      <c r="M1868" t="s">
        <v>19</v>
      </c>
      <c r="N1868" t="s">
        <v>19</v>
      </c>
      <c r="O1868" t="s">
        <v>19</v>
      </c>
      <c r="P1868" t="s">
        <v>19</v>
      </c>
      <c r="Q1868">
        <f>I1868</f>
        <v>90</v>
      </c>
      <c r="R1868" t="s">
        <v>19</v>
      </c>
      <c r="S1868" t="s">
        <v>19</v>
      </c>
      <c r="T1868" t="s">
        <v>19</v>
      </c>
    </row>
    <row r="1869" spans="1:21" ht="15" customHeight="1" x14ac:dyDescent="0.25">
      <c r="A1869" t="s">
        <v>19</v>
      </c>
      <c r="B1869" t="s">
        <v>20</v>
      </c>
      <c r="C1869" t="s">
        <v>320</v>
      </c>
      <c r="D1869">
        <v>3</v>
      </c>
      <c r="E1869" t="s">
        <v>151</v>
      </c>
      <c r="F1869" t="s">
        <v>388</v>
      </c>
      <c r="G1869">
        <v>10</v>
      </c>
      <c r="H1869">
        <v>75</v>
      </c>
      <c r="I1869">
        <f>100-J1869</f>
        <v>85</v>
      </c>
      <c r="J1869">
        <f>100-G1869-H1869</f>
        <v>15</v>
      </c>
      <c r="K1869" t="s">
        <v>19</v>
      </c>
      <c r="L1869" t="s">
        <v>19</v>
      </c>
      <c r="M1869" t="s">
        <v>19</v>
      </c>
      <c r="N1869" t="s">
        <v>19</v>
      </c>
      <c r="O1869" t="s">
        <v>19</v>
      </c>
      <c r="P1869" t="s">
        <v>19</v>
      </c>
      <c r="Q1869">
        <f>I1869</f>
        <v>85</v>
      </c>
      <c r="R1869" t="s">
        <v>19</v>
      </c>
      <c r="S1869" t="s">
        <v>19</v>
      </c>
      <c r="T1869" t="s">
        <v>19</v>
      </c>
    </row>
    <row r="1870" spans="1:21" ht="15" customHeight="1" x14ac:dyDescent="0.25">
      <c r="A1870" s="2">
        <v>45323.618333333332</v>
      </c>
      <c r="B1870" t="s">
        <v>309</v>
      </c>
      <c r="C1870" t="s">
        <v>322</v>
      </c>
      <c r="D1870">
        <v>3</v>
      </c>
      <c r="E1870" t="s">
        <v>151</v>
      </c>
      <c r="F1870" t="s">
        <v>388</v>
      </c>
      <c r="G1870">
        <f>(O1870/(N1870+O1870+P1870))*100</f>
        <v>16.447368421052634</v>
      </c>
      <c r="H1870">
        <f>(P1870/(O1870+P1870+N1870))*100</f>
        <v>57.07236842105263</v>
      </c>
      <c r="I1870">
        <v>73.52</v>
      </c>
      <c r="J1870">
        <f>(N1870/(P1870+O1870+N1870))*100</f>
        <v>26.480263157894733</v>
      </c>
      <c r="K1870">
        <v>0.8</v>
      </c>
      <c r="L1870">
        <v>0.3</v>
      </c>
      <c r="M1870">
        <v>0.7</v>
      </c>
      <c r="N1870">
        <v>161</v>
      </c>
      <c r="O1870">
        <v>100</v>
      </c>
      <c r="P1870">
        <v>347</v>
      </c>
      <c r="Q1870">
        <v>73.52</v>
      </c>
      <c r="R1870" t="s">
        <v>354</v>
      </c>
      <c r="S1870">
        <v>2.65</v>
      </c>
      <c r="T1870">
        <v>4.16</v>
      </c>
      <c r="U1870">
        <v>107</v>
      </c>
    </row>
    <row r="1871" spans="1:21" ht="15" customHeight="1" x14ac:dyDescent="0.25">
      <c r="A1871" s="2">
        <v>45323.615069444444</v>
      </c>
      <c r="B1871" t="s">
        <v>309</v>
      </c>
      <c r="C1871" t="s">
        <v>322</v>
      </c>
      <c r="D1871">
        <v>3</v>
      </c>
      <c r="E1871" t="s">
        <v>151</v>
      </c>
      <c r="F1871" t="s">
        <v>388</v>
      </c>
      <c r="G1871">
        <f>(O1871/(N1871+O1871+P1871))*100</f>
        <v>19.108280254777071</v>
      </c>
      <c r="H1871">
        <f>(P1871/(O1871+P1871+N1871))*100</f>
        <v>58.280254777070063</v>
      </c>
      <c r="I1871">
        <v>77.39</v>
      </c>
      <c r="J1871">
        <f>(N1871/(P1871+O1871+N1871))*100</f>
        <v>22.611464968152866</v>
      </c>
      <c r="K1871">
        <v>0.7</v>
      </c>
      <c r="L1871">
        <v>0.3</v>
      </c>
      <c r="M1871">
        <v>0.7</v>
      </c>
      <c r="N1871">
        <v>142</v>
      </c>
      <c r="O1871">
        <v>120</v>
      </c>
      <c r="P1871">
        <v>366</v>
      </c>
      <c r="Q1871">
        <v>77.39</v>
      </c>
      <c r="R1871" t="s">
        <v>341</v>
      </c>
      <c r="S1871">
        <v>2.65</v>
      </c>
      <c r="T1871">
        <v>4.16</v>
      </c>
      <c r="U1871">
        <v>87</v>
      </c>
    </row>
    <row r="1872" spans="1:21" ht="15" customHeight="1" x14ac:dyDescent="0.25">
      <c r="A1872" s="2">
        <v>45325.033449074072</v>
      </c>
      <c r="B1872" t="s">
        <v>309</v>
      </c>
      <c r="C1872" t="s">
        <v>368</v>
      </c>
      <c r="D1872">
        <v>2</v>
      </c>
      <c r="E1872" t="s">
        <v>151</v>
      </c>
      <c r="F1872" t="s">
        <v>388</v>
      </c>
      <c r="G1872">
        <f>(O1872/(N1872+O1872+P1872))*100</f>
        <v>83.033033033033036</v>
      </c>
      <c r="H1872">
        <f>(P1872/(O1872+P1872+N1872))*100</f>
        <v>0</v>
      </c>
      <c r="I1872">
        <v>83.03</v>
      </c>
      <c r="J1872">
        <f>(N1872/(P1872+O1872+N1872))*100</f>
        <v>16.966966966966968</v>
      </c>
      <c r="K1872">
        <v>0.8</v>
      </c>
      <c r="L1872">
        <v>0.3</v>
      </c>
      <c r="M1872">
        <v>0.7</v>
      </c>
      <c r="N1872">
        <v>113</v>
      </c>
      <c r="O1872">
        <v>553</v>
      </c>
      <c r="P1872">
        <v>0</v>
      </c>
      <c r="Q1872">
        <v>83.03</v>
      </c>
      <c r="R1872" t="s">
        <v>288</v>
      </c>
      <c r="S1872">
        <v>1.96</v>
      </c>
      <c r="T1872">
        <v>2.14</v>
      </c>
    </row>
    <row r="1873" spans="1:21" ht="15" customHeight="1" x14ac:dyDescent="0.25">
      <c r="A1873" t="s">
        <v>19</v>
      </c>
      <c r="B1873" t="s">
        <v>20</v>
      </c>
      <c r="C1873" t="s">
        <v>308</v>
      </c>
      <c r="D1873">
        <v>3</v>
      </c>
      <c r="E1873" t="s">
        <v>152</v>
      </c>
      <c r="F1873" t="s">
        <v>388</v>
      </c>
      <c r="G1873">
        <v>0</v>
      </c>
      <c r="H1873">
        <v>0</v>
      </c>
      <c r="I1873">
        <f>G1873+H1873</f>
        <v>0</v>
      </c>
      <c r="J1873">
        <f>100-G1873-H1873</f>
        <v>100</v>
      </c>
      <c r="K1873" t="s">
        <v>19</v>
      </c>
      <c r="L1873" t="s">
        <v>19</v>
      </c>
      <c r="M1873" t="s">
        <v>19</v>
      </c>
      <c r="N1873" t="s">
        <v>19</v>
      </c>
      <c r="O1873" t="s">
        <v>19</v>
      </c>
      <c r="P1873" t="s">
        <v>19</v>
      </c>
      <c r="Q1873">
        <f>I1873</f>
        <v>0</v>
      </c>
      <c r="R1873" t="s">
        <v>19</v>
      </c>
      <c r="S1873" t="s">
        <v>19</v>
      </c>
      <c r="T1873" t="s">
        <v>19</v>
      </c>
    </row>
    <row r="1874" spans="1:21" ht="15" customHeight="1" x14ac:dyDescent="0.25">
      <c r="A1874" t="s">
        <v>19</v>
      </c>
      <c r="B1874" t="s">
        <v>20</v>
      </c>
      <c r="C1874" t="s">
        <v>22</v>
      </c>
      <c r="D1874">
        <v>3</v>
      </c>
      <c r="E1874" t="s">
        <v>152</v>
      </c>
      <c r="F1874" t="s">
        <v>388</v>
      </c>
      <c r="G1874">
        <v>0</v>
      </c>
      <c r="H1874">
        <v>0</v>
      </c>
      <c r="I1874">
        <f>G1874+H1874</f>
        <v>0</v>
      </c>
      <c r="J1874">
        <f>100-G1874-H1874</f>
        <v>100</v>
      </c>
      <c r="K1874" t="s">
        <v>19</v>
      </c>
      <c r="L1874" t="s">
        <v>19</v>
      </c>
      <c r="M1874" t="s">
        <v>19</v>
      </c>
      <c r="N1874" t="s">
        <v>19</v>
      </c>
      <c r="O1874" t="s">
        <v>19</v>
      </c>
      <c r="P1874" t="s">
        <v>19</v>
      </c>
      <c r="Q1874">
        <f>I1874</f>
        <v>0</v>
      </c>
      <c r="R1874" t="s">
        <v>19</v>
      </c>
      <c r="S1874" t="s">
        <v>19</v>
      </c>
      <c r="T1874" t="s">
        <v>19</v>
      </c>
    </row>
    <row r="1875" spans="1:21" ht="15" customHeight="1" x14ac:dyDescent="0.25">
      <c r="A1875" t="s">
        <v>19</v>
      </c>
      <c r="B1875" t="s">
        <v>20</v>
      </c>
      <c r="C1875" t="s">
        <v>305</v>
      </c>
      <c r="D1875">
        <v>3</v>
      </c>
      <c r="E1875" t="s">
        <v>152</v>
      </c>
      <c r="F1875" t="s">
        <v>388</v>
      </c>
      <c r="G1875">
        <v>0</v>
      </c>
      <c r="H1875">
        <v>0</v>
      </c>
      <c r="I1875">
        <f>G1875+H1875</f>
        <v>0</v>
      </c>
      <c r="J1875">
        <f>100-G1875-H1875</f>
        <v>100</v>
      </c>
      <c r="K1875" t="s">
        <v>19</v>
      </c>
      <c r="L1875" t="s">
        <v>19</v>
      </c>
      <c r="M1875" t="s">
        <v>19</v>
      </c>
      <c r="N1875" t="s">
        <v>19</v>
      </c>
      <c r="O1875" t="s">
        <v>19</v>
      </c>
      <c r="P1875" t="s">
        <v>19</v>
      </c>
      <c r="Q1875">
        <f>I1875</f>
        <v>0</v>
      </c>
      <c r="R1875" t="s">
        <v>19</v>
      </c>
      <c r="S1875" t="s">
        <v>19</v>
      </c>
      <c r="T1875" t="s">
        <v>19</v>
      </c>
    </row>
    <row r="1876" spans="1:21" ht="15" customHeight="1" x14ac:dyDescent="0.25">
      <c r="A1876" t="s">
        <v>19</v>
      </c>
      <c r="B1876" t="s">
        <v>20</v>
      </c>
      <c r="C1876" t="s">
        <v>307</v>
      </c>
      <c r="D1876">
        <v>3</v>
      </c>
      <c r="E1876" t="s">
        <v>152</v>
      </c>
      <c r="F1876" t="s">
        <v>388</v>
      </c>
      <c r="G1876">
        <v>0</v>
      </c>
      <c r="H1876">
        <v>0</v>
      </c>
      <c r="I1876">
        <f>G1876+H1876</f>
        <v>0</v>
      </c>
      <c r="J1876">
        <f>100-G1876-H1876</f>
        <v>100</v>
      </c>
      <c r="K1876" t="s">
        <v>19</v>
      </c>
      <c r="L1876" t="s">
        <v>19</v>
      </c>
      <c r="M1876" t="s">
        <v>19</v>
      </c>
      <c r="N1876" t="s">
        <v>19</v>
      </c>
      <c r="O1876" t="s">
        <v>19</v>
      </c>
      <c r="P1876" t="s">
        <v>19</v>
      </c>
      <c r="Q1876">
        <f>I1876</f>
        <v>0</v>
      </c>
      <c r="R1876" t="s">
        <v>19</v>
      </c>
      <c r="S1876" t="s">
        <v>19</v>
      </c>
      <c r="T1876" t="s">
        <v>19</v>
      </c>
    </row>
    <row r="1877" spans="1:21" ht="15" customHeight="1" x14ac:dyDescent="0.25">
      <c r="A1877" s="2">
        <v>45253.60833333333</v>
      </c>
      <c r="B1877" t="s">
        <v>309</v>
      </c>
      <c r="C1877" t="s">
        <v>213</v>
      </c>
      <c r="D1877">
        <v>3</v>
      </c>
      <c r="E1877" t="s">
        <v>152</v>
      </c>
      <c r="F1877" t="s">
        <v>388</v>
      </c>
      <c r="G1877">
        <v>0</v>
      </c>
      <c r="H1877">
        <v>1.9710906699999999</v>
      </c>
      <c r="I1877">
        <v>1.9710906699999999</v>
      </c>
      <c r="J1877">
        <v>98.028909330000005</v>
      </c>
      <c r="K1877">
        <v>0.8</v>
      </c>
      <c r="L1877">
        <v>0.2</v>
      </c>
      <c r="M1877">
        <v>0.7</v>
      </c>
      <c r="N1877">
        <v>746</v>
      </c>
      <c r="O1877">
        <v>0</v>
      </c>
      <c r="P1877">
        <v>15</v>
      </c>
      <c r="Q1877">
        <v>1.97</v>
      </c>
      <c r="R1877" t="s">
        <v>296</v>
      </c>
      <c r="S1877">
        <v>2.59</v>
      </c>
      <c r="T1877">
        <v>4.0999999999999996</v>
      </c>
    </row>
    <row r="1878" spans="1:21" ht="15" customHeight="1" x14ac:dyDescent="0.25">
      <c r="A1878" s="2">
        <v>45253.870138888888</v>
      </c>
      <c r="B1878" t="s">
        <v>309</v>
      </c>
      <c r="C1878" t="s">
        <v>215</v>
      </c>
      <c r="D1878">
        <v>2</v>
      </c>
      <c r="E1878" t="s">
        <v>152</v>
      </c>
      <c r="F1878" t="s">
        <v>388</v>
      </c>
      <c r="G1878">
        <v>0.64516129</v>
      </c>
      <c r="H1878">
        <v>0</v>
      </c>
      <c r="I1878">
        <v>0.64516129</v>
      </c>
      <c r="J1878">
        <v>99.354838709999996</v>
      </c>
      <c r="K1878">
        <v>0.8</v>
      </c>
      <c r="L1878">
        <v>0.2</v>
      </c>
      <c r="M1878">
        <v>0.7</v>
      </c>
      <c r="N1878">
        <v>770</v>
      </c>
      <c r="O1878">
        <v>5</v>
      </c>
      <c r="P1878">
        <v>0</v>
      </c>
      <c r="Q1878">
        <v>0.65</v>
      </c>
      <c r="R1878" t="s">
        <v>243</v>
      </c>
      <c r="S1878">
        <v>0.03</v>
      </c>
      <c r="T1878">
        <v>0.03</v>
      </c>
    </row>
    <row r="1879" spans="1:21" ht="15" customHeight="1" x14ac:dyDescent="0.25">
      <c r="A1879" s="2">
        <v>45254.040277777778</v>
      </c>
      <c r="B1879" t="s">
        <v>309</v>
      </c>
      <c r="C1879" t="s">
        <v>217</v>
      </c>
      <c r="D1879">
        <v>2</v>
      </c>
      <c r="E1879" t="s">
        <v>152</v>
      </c>
      <c r="F1879" t="s">
        <v>388</v>
      </c>
      <c r="G1879">
        <v>1.3020833329999999</v>
      </c>
      <c r="H1879">
        <v>0</v>
      </c>
      <c r="I1879">
        <v>1.3020833329999999</v>
      </c>
      <c r="J1879">
        <v>98.697916669999998</v>
      </c>
      <c r="K1879">
        <v>0.8</v>
      </c>
      <c r="L1879">
        <v>0.2</v>
      </c>
      <c r="M1879">
        <v>0.7</v>
      </c>
      <c r="N1879">
        <v>758</v>
      </c>
      <c r="O1879">
        <v>10</v>
      </c>
      <c r="P1879">
        <v>0</v>
      </c>
      <c r="Q1879">
        <v>1.3</v>
      </c>
      <c r="R1879" t="s">
        <v>231</v>
      </c>
      <c r="S1879">
        <v>0.06</v>
      </c>
      <c r="T1879">
        <v>7.0000000000000007E-2</v>
      </c>
    </row>
    <row r="1880" spans="1:21" ht="15" customHeight="1" x14ac:dyDescent="0.25">
      <c r="A1880" s="2">
        <v>45316.55</v>
      </c>
      <c r="B1880" t="s">
        <v>309</v>
      </c>
      <c r="C1880" t="s">
        <v>219</v>
      </c>
      <c r="D1880">
        <v>3</v>
      </c>
      <c r="E1880" t="s">
        <v>152</v>
      </c>
      <c r="F1880" t="s">
        <v>388</v>
      </c>
      <c r="G1880">
        <v>0</v>
      </c>
      <c r="H1880">
        <v>2.2071307299999998</v>
      </c>
      <c r="I1880">
        <v>2.2071307299999998</v>
      </c>
      <c r="J1880">
        <v>97.792869269999997</v>
      </c>
      <c r="K1880">
        <v>0.8</v>
      </c>
      <c r="L1880">
        <v>0.2</v>
      </c>
      <c r="M1880">
        <v>0.7</v>
      </c>
      <c r="N1880">
        <v>576</v>
      </c>
      <c r="O1880">
        <v>0</v>
      </c>
      <c r="P1880">
        <v>13</v>
      </c>
      <c r="Q1880">
        <v>2.21</v>
      </c>
      <c r="R1880" t="s">
        <v>222</v>
      </c>
      <c r="S1880">
        <v>3.16</v>
      </c>
      <c r="T1880">
        <v>4.63</v>
      </c>
    </row>
    <row r="1881" spans="1:21" ht="15" customHeight="1" x14ac:dyDescent="0.25">
      <c r="A1881" s="2">
        <v>45320.893055555556</v>
      </c>
      <c r="B1881" t="s">
        <v>309</v>
      </c>
      <c r="C1881" t="s">
        <v>221</v>
      </c>
      <c r="D1881">
        <v>2</v>
      </c>
      <c r="E1881" t="s">
        <v>152</v>
      </c>
      <c r="F1881" t="s">
        <v>388</v>
      </c>
      <c r="G1881">
        <v>1.9130434780000001</v>
      </c>
      <c r="H1881">
        <v>0</v>
      </c>
      <c r="I1881">
        <v>1.9130434780000001</v>
      </c>
      <c r="J1881">
        <v>98.086956520000001</v>
      </c>
      <c r="K1881">
        <v>0.8</v>
      </c>
      <c r="L1881">
        <v>0.3</v>
      </c>
      <c r="M1881">
        <v>0.7</v>
      </c>
      <c r="N1881">
        <v>564</v>
      </c>
      <c r="O1881">
        <v>11</v>
      </c>
      <c r="P1881">
        <v>0</v>
      </c>
      <c r="Q1881">
        <v>1.91</v>
      </c>
      <c r="R1881" t="s">
        <v>232</v>
      </c>
      <c r="S1881">
        <v>0.11</v>
      </c>
      <c r="T1881">
        <v>0.16</v>
      </c>
    </row>
    <row r="1882" spans="1:21" ht="15" customHeight="1" x14ac:dyDescent="0.25">
      <c r="A1882" t="s">
        <v>19</v>
      </c>
      <c r="B1882" t="s">
        <v>20</v>
      </c>
      <c r="C1882" t="s">
        <v>306</v>
      </c>
      <c r="D1882">
        <v>3</v>
      </c>
      <c r="E1882" t="s">
        <v>152</v>
      </c>
      <c r="F1882" t="s">
        <v>388</v>
      </c>
      <c r="G1882">
        <v>0</v>
      </c>
      <c r="H1882">
        <v>0</v>
      </c>
      <c r="I1882">
        <f>G1882+H1882</f>
        <v>0</v>
      </c>
      <c r="J1882">
        <f>100-G1882-H1882</f>
        <v>100</v>
      </c>
      <c r="K1882" t="s">
        <v>19</v>
      </c>
      <c r="L1882" t="s">
        <v>19</v>
      </c>
      <c r="M1882" t="s">
        <v>19</v>
      </c>
      <c r="N1882" t="s">
        <v>19</v>
      </c>
      <c r="O1882" t="s">
        <v>19</v>
      </c>
      <c r="P1882" t="s">
        <v>19</v>
      </c>
      <c r="Q1882">
        <f>I1882</f>
        <v>0</v>
      </c>
      <c r="R1882" t="s">
        <v>19</v>
      </c>
      <c r="S1882" t="s">
        <v>19</v>
      </c>
      <c r="T1882" t="s">
        <v>19</v>
      </c>
    </row>
    <row r="1883" spans="1:21" ht="15" customHeight="1" x14ac:dyDescent="0.25">
      <c r="A1883" t="s">
        <v>19</v>
      </c>
      <c r="B1883" t="s">
        <v>20</v>
      </c>
      <c r="C1883" t="s">
        <v>320</v>
      </c>
      <c r="D1883">
        <v>3</v>
      </c>
      <c r="E1883" t="s">
        <v>152</v>
      </c>
      <c r="F1883" t="s">
        <v>388</v>
      </c>
      <c r="G1883">
        <v>0</v>
      </c>
      <c r="H1883">
        <v>0</v>
      </c>
      <c r="I1883">
        <f>100-J1883</f>
        <v>0</v>
      </c>
      <c r="J1883">
        <f>100-G1883-H1883</f>
        <v>100</v>
      </c>
      <c r="K1883" t="s">
        <v>19</v>
      </c>
      <c r="L1883" t="s">
        <v>19</v>
      </c>
      <c r="M1883" t="s">
        <v>19</v>
      </c>
      <c r="N1883" t="s">
        <v>19</v>
      </c>
      <c r="O1883" t="s">
        <v>19</v>
      </c>
      <c r="P1883" t="s">
        <v>19</v>
      </c>
      <c r="Q1883">
        <f>I1883</f>
        <v>0</v>
      </c>
      <c r="R1883" t="s">
        <v>19</v>
      </c>
      <c r="S1883" t="s">
        <v>19</v>
      </c>
      <c r="T1883" t="s">
        <v>19</v>
      </c>
    </row>
    <row r="1884" spans="1:21" ht="15" customHeight="1" x14ac:dyDescent="0.25">
      <c r="A1884" s="2">
        <v>45323.620162037034</v>
      </c>
      <c r="B1884" t="s">
        <v>309</v>
      </c>
      <c r="C1884" t="s">
        <v>322</v>
      </c>
      <c r="D1884">
        <v>3</v>
      </c>
      <c r="E1884" t="s">
        <v>152</v>
      </c>
      <c r="F1884" t="s">
        <v>388</v>
      </c>
      <c r="G1884">
        <f>(O1884/(N1884+O1884+P1884))*100</f>
        <v>0</v>
      </c>
      <c r="H1884">
        <f>(P1884/(O1884+P1884+N1884))*100</f>
        <v>0</v>
      </c>
      <c r="I1884">
        <v>0</v>
      </c>
      <c r="J1884">
        <f>(N1884/(P1884+O1884+N1884))*100</f>
        <v>100</v>
      </c>
      <c r="K1884">
        <v>0.8</v>
      </c>
      <c r="L1884">
        <v>0.3</v>
      </c>
      <c r="M1884">
        <v>0.7</v>
      </c>
      <c r="N1884">
        <v>618</v>
      </c>
      <c r="O1884">
        <v>0</v>
      </c>
      <c r="P1884">
        <v>0</v>
      </c>
      <c r="Q1884">
        <v>0</v>
      </c>
      <c r="R1884" t="s">
        <v>289</v>
      </c>
      <c r="S1884">
        <v>2.42</v>
      </c>
      <c r="T1884">
        <v>4.4800000000000004</v>
      </c>
      <c r="U1884">
        <v>3</v>
      </c>
    </row>
    <row r="1885" spans="1:21" ht="15" customHeight="1" x14ac:dyDescent="0.25">
      <c r="A1885" s="2">
        <v>45323.616747685184</v>
      </c>
      <c r="B1885" t="s">
        <v>309</v>
      </c>
      <c r="C1885" t="s">
        <v>322</v>
      </c>
      <c r="D1885">
        <v>3</v>
      </c>
      <c r="E1885" t="s">
        <v>152</v>
      </c>
      <c r="F1885" t="s">
        <v>388</v>
      </c>
      <c r="G1885">
        <f>(O1885/(N1885+O1885+P1885))*100</f>
        <v>0</v>
      </c>
      <c r="H1885">
        <f>(P1885/(O1885+P1885+N1885))*100</f>
        <v>0</v>
      </c>
      <c r="I1885">
        <v>0</v>
      </c>
      <c r="J1885">
        <f>(N1885/(P1885+O1885+N1885))*100</f>
        <v>100</v>
      </c>
      <c r="K1885">
        <v>0.7</v>
      </c>
      <c r="L1885">
        <v>0.3</v>
      </c>
      <c r="M1885">
        <v>0.7</v>
      </c>
      <c r="N1885">
        <v>618</v>
      </c>
      <c r="O1885">
        <v>0</v>
      </c>
      <c r="P1885">
        <v>0</v>
      </c>
      <c r="Q1885">
        <v>0</v>
      </c>
      <c r="R1885" t="s">
        <v>236</v>
      </c>
      <c r="S1885">
        <v>2.42</v>
      </c>
      <c r="T1885">
        <v>4.4800000000000004</v>
      </c>
      <c r="U1885">
        <v>3</v>
      </c>
    </row>
    <row r="1886" spans="1:21" ht="15" customHeight="1" x14ac:dyDescent="0.25">
      <c r="A1886" s="2">
        <v>45325.035069444442</v>
      </c>
      <c r="B1886" t="s">
        <v>309</v>
      </c>
      <c r="C1886" t="s">
        <v>368</v>
      </c>
      <c r="D1886">
        <v>2</v>
      </c>
      <c r="E1886" t="s">
        <v>152</v>
      </c>
      <c r="F1886" t="s">
        <v>388</v>
      </c>
      <c r="G1886">
        <f>(O1886/(N1886+O1886+P1886))*100</f>
        <v>0</v>
      </c>
      <c r="H1886">
        <f>(P1886/(O1886+P1886+N1886))*100</f>
        <v>0</v>
      </c>
      <c r="I1886">
        <v>0</v>
      </c>
      <c r="J1886">
        <f>(N1886/(P1886+O1886+N1886))*100</f>
        <v>100</v>
      </c>
      <c r="K1886">
        <v>0.8</v>
      </c>
      <c r="L1886">
        <v>0.3</v>
      </c>
      <c r="M1886">
        <v>0.7</v>
      </c>
      <c r="N1886">
        <v>610</v>
      </c>
      <c r="O1886">
        <v>0</v>
      </c>
      <c r="P1886">
        <v>0</v>
      </c>
      <c r="Q1886">
        <v>0</v>
      </c>
      <c r="R1886" t="s">
        <v>249</v>
      </c>
      <c r="S1886">
        <v>0.01</v>
      </c>
      <c r="T1886">
        <v>0.02</v>
      </c>
    </row>
    <row r="1887" spans="1:21" ht="15" customHeight="1" x14ac:dyDescent="0.25">
      <c r="A1887" t="s">
        <v>19</v>
      </c>
      <c r="B1887" t="s">
        <v>20</v>
      </c>
      <c r="C1887" t="s">
        <v>308</v>
      </c>
      <c r="D1887">
        <v>3</v>
      </c>
      <c r="E1887" t="s">
        <v>153</v>
      </c>
      <c r="F1887" t="s">
        <v>388</v>
      </c>
      <c r="G1887">
        <v>10</v>
      </c>
      <c r="H1887">
        <v>40</v>
      </c>
      <c r="I1887">
        <f>G1887+H1887</f>
        <v>50</v>
      </c>
      <c r="J1887">
        <f>100-G1887-H1887</f>
        <v>50</v>
      </c>
      <c r="K1887" t="s">
        <v>19</v>
      </c>
      <c r="L1887" t="s">
        <v>19</v>
      </c>
      <c r="M1887" t="s">
        <v>19</v>
      </c>
      <c r="N1887" t="s">
        <v>19</v>
      </c>
      <c r="O1887" t="s">
        <v>19</v>
      </c>
      <c r="P1887" t="s">
        <v>19</v>
      </c>
      <c r="Q1887">
        <f>I1887</f>
        <v>50</v>
      </c>
      <c r="R1887" t="s">
        <v>19</v>
      </c>
      <c r="S1887" t="s">
        <v>19</v>
      </c>
      <c r="T1887" t="s">
        <v>19</v>
      </c>
    </row>
    <row r="1888" spans="1:21" ht="15" customHeight="1" x14ac:dyDescent="0.25">
      <c r="A1888" t="s">
        <v>19</v>
      </c>
      <c r="B1888" t="s">
        <v>20</v>
      </c>
      <c r="C1888" t="s">
        <v>22</v>
      </c>
      <c r="D1888">
        <v>3</v>
      </c>
      <c r="E1888" t="s">
        <v>153</v>
      </c>
      <c r="F1888" t="s">
        <v>388</v>
      </c>
      <c r="G1888">
        <v>10</v>
      </c>
      <c r="H1888">
        <v>40</v>
      </c>
      <c r="I1888">
        <f>G1888+H1888</f>
        <v>50</v>
      </c>
      <c r="J1888">
        <f>100-G1888-H1888</f>
        <v>50</v>
      </c>
      <c r="K1888" t="s">
        <v>19</v>
      </c>
      <c r="L1888" t="s">
        <v>19</v>
      </c>
      <c r="M1888" t="s">
        <v>19</v>
      </c>
      <c r="N1888" t="s">
        <v>19</v>
      </c>
      <c r="O1888" t="s">
        <v>19</v>
      </c>
      <c r="P1888" t="s">
        <v>19</v>
      </c>
      <c r="Q1888">
        <f>I1888</f>
        <v>50</v>
      </c>
      <c r="R1888" t="s">
        <v>19</v>
      </c>
      <c r="S1888" t="s">
        <v>19</v>
      </c>
      <c r="T1888" t="s">
        <v>19</v>
      </c>
    </row>
    <row r="1889" spans="1:21" ht="15" customHeight="1" x14ac:dyDescent="0.25">
      <c r="A1889" t="s">
        <v>19</v>
      </c>
      <c r="B1889" t="s">
        <v>20</v>
      </c>
      <c r="C1889" t="s">
        <v>305</v>
      </c>
      <c r="D1889">
        <v>3</v>
      </c>
      <c r="E1889" t="s">
        <v>153</v>
      </c>
      <c r="F1889" t="s">
        <v>388</v>
      </c>
      <c r="G1889">
        <v>10</v>
      </c>
      <c r="H1889">
        <v>30</v>
      </c>
      <c r="I1889">
        <f>G1889+H1889</f>
        <v>40</v>
      </c>
      <c r="J1889">
        <f>100-G1889-H1889</f>
        <v>60</v>
      </c>
      <c r="K1889" t="s">
        <v>19</v>
      </c>
      <c r="L1889" t="s">
        <v>19</v>
      </c>
      <c r="M1889" t="s">
        <v>19</v>
      </c>
      <c r="N1889" t="s">
        <v>19</v>
      </c>
      <c r="O1889" t="s">
        <v>19</v>
      </c>
      <c r="P1889" t="s">
        <v>19</v>
      </c>
      <c r="Q1889">
        <f>I1889</f>
        <v>40</v>
      </c>
      <c r="R1889" t="s">
        <v>19</v>
      </c>
      <c r="S1889" t="s">
        <v>19</v>
      </c>
      <c r="T1889" t="s">
        <v>19</v>
      </c>
    </row>
    <row r="1890" spans="1:21" ht="15" customHeight="1" x14ac:dyDescent="0.25">
      <c r="A1890" t="s">
        <v>19</v>
      </c>
      <c r="B1890" t="s">
        <v>20</v>
      </c>
      <c r="C1890" t="s">
        <v>307</v>
      </c>
      <c r="D1890">
        <v>3</v>
      </c>
      <c r="E1890" t="s">
        <v>153</v>
      </c>
      <c r="F1890" t="s">
        <v>388</v>
      </c>
      <c r="G1890">
        <v>10</v>
      </c>
      <c r="H1890">
        <v>20</v>
      </c>
      <c r="I1890">
        <f>G1890+H1890</f>
        <v>30</v>
      </c>
      <c r="J1890">
        <f>100-G1890-H1890</f>
        <v>70</v>
      </c>
      <c r="K1890" t="s">
        <v>19</v>
      </c>
      <c r="L1890" t="s">
        <v>19</v>
      </c>
      <c r="M1890" t="s">
        <v>19</v>
      </c>
      <c r="N1890" t="s">
        <v>19</v>
      </c>
      <c r="O1890" t="s">
        <v>19</v>
      </c>
      <c r="P1890" t="s">
        <v>19</v>
      </c>
      <c r="Q1890">
        <f>I1890</f>
        <v>30</v>
      </c>
      <c r="R1890" t="s">
        <v>19</v>
      </c>
      <c r="S1890" t="s">
        <v>19</v>
      </c>
      <c r="T1890" t="s">
        <v>19</v>
      </c>
    </row>
    <row r="1891" spans="1:21" ht="15" customHeight="1" x14ac:dyDescent="0.25">
      <c r="A1891" s="2">
        <v>45253.609722222223</v>
      </c>
      <c r="B1891" t="s">
        <v>309</v>
      </c>
      <c r="C1891" t="s">
        <v>213</v>
      </c>
      <c r="D1891">
        <v>3</v>
      </c>
      <c r="E1891" t="s">
        <v>153</v>
      </c>
      <c r="F1891" t="s">
        <v>388</v>
      </c>
      <c r="G1891">
        <v>0.148367953</v>
      </c>
      <c r="H1891">
        <v>34.569732940000002</v>
      </c>
      <c r="I1891">
        <v>34.718100890000002</v>
      </c>
      <c r="J1891">
        <v>65.281899109999998</v>
      </c>
      <c r="K1891">
        <v>0.8</v>
      </c>
      <c r="L1891">
        <v>0.2</v>
      </c>
      <c r="M1891">
        <v>0.7</v>
      </c>
      <c r="N1891">
        <v>440</v>
      </c>
      <c r="O1891">
        <v>1</v>
      </c>
      <c r="P1891">
        <v>233</v>
      </c>
      <c r="Q1891">
        <v>34.72</v>
      </c>
      <c r="R1891" t="s">
        <v>245</v>
      </c>
      <c r="S1891">
        <v>2.69</v>
      </c>
      <c r="T1891">
        <v>3.33</v>
      </c>
    </row>
    <row r="1892" spans="1:21" ht="15" customHeight="1" x14ac:dyDescent="0.25">
      <c r="A1892" s="2">
        <v>45253.871527777781</v>
      </c>
      <c r="B1892" t="s">
        <v>309</v>
      </c>
      <c r="C1892" t="s">
        <v>215</v>
      </c>
      <c r="D1892">
        <v>2</v>
      </c>
      <c r="E1892" t="s">
        <v>153</v>
      </c>
      <c r="F1892" t="s">
        <v>388</v>
      </c>
      <c r="G1892">
        <v>11.05919003</v>
      </c>
      <c r="H1892">
        <v>0</v>
      </c>
      <c r="I1892">
        <v>11.05919003</v>
      </c>
      <c r="J1892">
        <v>88.940809970000004</v>
      </c>
      <c r="K1892">
        <v>0.8</v>
      </c>
      <c r="L1892">
        <v>0.2</v>
      </c>
      <c r="M1892">
        <v>0.7</v>
      </c>
      <c r="N1892">
        <v>571</v>
      </c>
      <c r="O1892">
        <v>71</v>
      </c>
      <c r="P1892">
        <v>0</v>
      </c>
      <c r="Q1892">
        <v>11.06</v>
      </c>
      <c r="R1892" t="s">
        <v>224</v>
      </c>
      <c r="S1892">
        <v>0.34</v>
      </c>
      <c r="T1892">
        <v>0.38</v>
      </c>
    </row>
    <row r="1893" spans="1:21" ht="15" customHeight="1" x14ac:dyDescent="0.25">
      <c r="A1893" s="2">
        <v>45254.040972222225</v>
      </c>
      <c r="B1893" t="s">
        <v>309</v>
      </c>
      <c r="C1893" t="s">
        <v>217</v>
      </c>
      <c r="D1893">
        <v>2</v>
      </c>
      <c r="E1893" t="s">
        <v>153</v>
      </c>
      <c r="F1893" t="s">
        <v>388</v>
      </c>
      <c r="G1893">
        <v>29.32692308</v>
      </c>
      <c r="H1893">
        <v>0</v>
      </c>
      <c r="I1893">
        <v>29.32692308</v>
      </c>
      <c r="J1893">
        <v>70.67307692</v>
      </c>
      <c r="K1893">
        <v>0.8</v>
      </c>
      <c r="L1893">
        <v>0.2</v>
      </c>
      <c r="M1893">
        <v>0.7</v>
      </c>
      <c r="N1893">
        <v>441</v>
      </c>
      <c r="O1893">
        <v>183</v>
      </c>
      <c r="P1893">
        <v>0</v>
      </c>
      <c r="Q1893">
        <v>29.33</v>
      </c>
      <c r="R1893" t="s">
        <v>232</v>
      </c>
      <c r="S1893">
        <v>0.75</v>
      </c>
      <c r="T1893">
        <v>0.81</v>
      </c>
    </row>
    <row r="1894" spans="1:21" ht="15" customHeight="1" x14ac:dyDescent="0.25">
      <c r="A1894" s="2">
        <v>45316.550694444442</v>
      </c>
      <c r="B1894" t="s">
        <v>309</v>
      </c>
      <c r="C1894" t="s">
        <v>219</v>
      </c>
      <c r="D1894">
        <v>3</v>
      </c>
      <c r="E1894" t="s">
        <v>153</v>
      </c>
      <c r="F1894" t="s">
        <v>388</v>
      </c>
      <c r="G1894">
        <v>2.1276595739999999</v>
      </c>
      <c r="H1894">
        <v>34.697217680000001</v>
      </c>
      <c r="I1894">
        <v>36.82487725</v>
      </c>
      <c r="J1894">
        <v>63.17512275</v>
      </c>
      <c r="K1894">
        <v>0.8</v>
      </c>
      <c r="L1894">
        <v>0.2</v>
      </c>
      <c r="M1894">
        <v>0.7</v>
      </c>
      <c r="N1894">
        <v>386</v>
      </c>
      <c r="O1894">
        <v>13</v>
      </c>
      <c r="P1894">
        <v>212</v>
      </c>
      <c r="Q1894">
        <v>36.82</v>
      </c>
      <c r="R1894" t="s">
        <v>220</v>
      </c>
      <c r="S1894">
        <v>3.1</v>
      </c>
      <c r="T1894">
        <v>4.46</v>
      </c>
    </row>
    <row r="1895" spans="1:21" ht="15" customHeight="1" x14ac:dyDescent="0.25">
      <c r="A1895" s="2">
        <v>45320.893750000003</v>
      </c>
      <c r="B1895" t="s">
        <v>309</v>
      </c>
      <c r="C1895" t="s">
        <v>221</v>
      </c>
      <c r="D1895">
        <v>2</v>
      </c>
      <c r="E1895" t="s">
        <v>153</v>
      </c>
      <c r="F1895" t="s">
        <v>388</v>
      </c>
      <c r="G1895">
        <v>52.555910539999999</v>
      </c>
      <c r="H1895">
        <v>0</v>
      </c>
      <c r="I1895">
        <v>52.555910539999999</v>
      </c>
      <c r="J1895">
        <v>47.444089460000001</v>
      </c>
      <c r="K1895">
        <v>0.8</v>
      </c>
      <c r="L1895">
        <v>0.3</v>
      </c>
      <c r="M1895">
        <v>0.7</v>
      </c>
      <c r="N1895">
        <v>297</v>
      </c>
      <c r="O1895">
        <v>329</v>
      </c>
      <c r="P1895">
        <v>0</v>
      </c>
      <c r="Q1895">
        <v>52.56</v>
      </c>
      <c r="R1895" t="s">
        <v>242</v>
      </c>
      <c r="S1895">
        <v>1.33</v>
      </c>
      <c r="T1895">
        <v>1.44</v>
      </c>
    </row>
    <row r="1896" spans="1:21" ht="15" customHeight="1" x14ac:dyDescent="0.25">
      <c r="A1896" t="s">
        <v>19</v>
      </c>
      <c r="B1896" t="s">
        <v>20</v>
      </c>
      <c r="C1896" t="s">
        <v>306</v>
      </c>
      <c r="D1896">
        <v>3</v>
      </c>
      <c r="E1896" t="s">
        <v>153</v>
      </c>
      <c r="F1896" t="s">
        <v>388</v>
      </c>
      <c r="G1896">
        <v>30</v>
      </c>
      <c r="H1896">
        <v>40</v>
      </c>
      <c r="I1896">
        <f>G1896+H1896</f>
        <v>70</v>
      </c>
      <c r="J1896">
        <f>100-G1896-H1896</f>
        <v>30</v>
      </c>
      <c r="K1896" t="s">
        <v>19</v>
      </c>
      <c r="L1896" t="s">
        <v>19</v>
      </c>
      <c r="M1896" t="s">
        <v>19</v>
      </c>
      <c r="N1896" t="s">
        <v>19</v>
      </c>
      <c r="O1896" t="s">
        <v>19</v>
      </c>
      <c r="P1896" t="s">
        <v>19</v>
      </c>
      <c r="Q1896">
        <f>I1896</f>
        <v>70</v>
      </c>
      <c r="R1896" t="s">
        <v>19</v>
      </c>
      <c r="S1896" t="s">
        <v>19</v>
      </c>
      <c r="T1896" t="s">
        <v>19</v>
      </c>
    </row>
    <row r="1897" spans="1:21" ht="15" customHeight="1" x14ac:dyDescent="0.25">
      <c r="A1897" t="s">
        <v>19</v>
      </c>
      <c r="B1897" t="s">
        <v>20</v>
      </c>
      <c r="C1897" t="s">
        <v>320</v>
      </c>
      <c r="D1897">
        <v>3</v>
      </c>
      <c r="E1897" t="s">
        <v>153</v>
      </c>
      <c r="F1897" t="s">
        <v>388</v>
      </c>
      <c r="G1897">
        <v>0</v>
      </c>
      <c r="H1897">
        <v>45</v>
      </c>
      <c r="I1897">
        <f>100-J1897</f>
        <v>45</v>
      </c>
      <c r="J1897">
        <f>100-G1897-H1897</f>
        <v>55</v>
      </c>
      <c r="K1897" t="s">
        <v>19</v>
      </c>
      <c r="L1897" t="s">
        <v>19</v>
      </c>
      <c r="M1897" t="s">
        <v>19</v>
      </c>
      <c r="N1897" t="s">
        <v>19</v>
      </c>
      <c r="O1897" t="s">
        <v>19</v>
      </c>
      <c r="P1897" t="s">
        <v>19</v>
      </c>
      <c r="Q1897">
        <f>I1897</f>
        <v>45</v>
      </c>
      <c r="R1897" t="s">
        <v>19</v>
      </c>
      <c r="S1897" t="s">
        <v>19</v>
      </c>
      <c r="T1897" t="s">
        <v>19</v>
      </c>
    </row>
    <row r="1898" spans="1:21" ht="15" customHeight="1" x14ac:dyDescent="0.25">
      <c r="A1898" s="2">
        <v>45323.621701388889</v>
      </c>
      <c r="B1898" t="s">
        <v>309</v>
      </c>
      <c r="C1898" t="s">
        <v>322</v>
      </c>
      <c r="D1898">
        <v>3</v>
      </c>
      <c r="E1898" t="s">
        <v>153</v>
      </c>
      <c r="F1898" t="s">
        <v>388</v>
      </c>
      <c r="G1898">
        <f>(O1898/(N1898+O1898+P1898))*100</f>
        <v>7.2784810126582276</v>
      </c>
      <c r="H1898">
        <f>(P1898/(O1898+P1898+N1898))*100</f>
        <v>33.860759493670884</v>
      </c>
      <c r="I1898">
        <v>41.14</v>
      </c>
      <c r="J1898">
        <f>(N1898/(P1898+O1898+N1898))*100</f>
        <v>58.860759493670891</v>
      </c>
      <c r="K1898">
        <v>0.8</v>
      </c>
      <c r="L1898">
        <v>0.3</v>
      </c>
      <c r="M1898">
        <v>0.7</v>
      </c>
      <c r="N1898">
        <v>372</v>
      </c>
      <c r="O1898">
        <v>46</v>
      </c>
      <c r="P1898">
        <v>214</v>
      </c>
      <c r="Q1898">
        <v>41.14</v>
      </c>
      <c r="R1898" t="s">
        <v>341</v>
      </c>
      <c r="S1898">
        <v>2.5</v>
      </c>
      <c r="T1898">
        <v>3.83</v>
      </c>
      <c r="U1898">
        <v>68</v>
      </c>
    </row>
    <row r="1899" spans="1:21" ht="15" customHeight="1" x14ac:dyDescent="0.25">
      <c r="A1899" s="2">
        <v>45323.618252314816</v>
      </c>
      <c r="B1899" t="s">
        <v>309</v>
      </c>
      <c r="C1899" t="s">
        <v>322</v>
      </c>
      <c r="D1899">
        <v>3</v>
      </c>
      <c r="E1899" t="s">
        <v>153</v>
      </c>
      <c r="F1899" t="s">
        <v>388</v>
      </c>
      <c r="G1899">
        <f>(O1899/(N1899+O1899+P1899))*100</f>
        <v>9.9846390168970824</v>
      </c>
      <c r="H1899">
        <f>(P1899/(O1899+P1899+N1899))*100</f>
        <v>34.869431643625191</v>
      </c>
      <c r="I1899">
        <v>44.85</v>
      </c>
      <c r="J1899">
        <f>(N1899/(P1899+O1899+N1899))*100</f>
        <v>55.145929339477732</v>
      </c>
      <c r="K1899">
        <v>0.7</v>
      </c>
      <c r="L1899">
        <v>0.3</v>
      </c>
      <c r="M1899">
        <v>0.7</v>
      </c>
      <c r="N1899">
        <v>359</v>
      </c>
      <c r="O1899">
        <v>65</v>
      </c>
      <c r="P1899">
        <v>227</v>
      </c>
      <c r="Q1899">
        <v>44.85</v>
      </c>
      <c r="R1899" t="s">
        <v>339</v>
      </c>
      <c r="S1899">
        <v>2.5</v>
      </c>
      <c r="T1899">
        <v>3.83</v>
      </c>
      <c r="U1899">
        <v>49</v>
      </c>
    </row>
    <row r="1900" spans="1:21" ht="15" customHeight="1" x14ac:dyDescent="0.25">
      <c r="A1900" s="2">
        <v>45325.036307870374</v>
      </c>
      <c r="B1900" t="s">
        <v>309</v>
      </c>
      <c r="C1900" t="s">
        <v>368</v>
      </c>
      <c r="D1900">
        <v>2</v>
      </c>
      <c r="E1900" t="s">
        <v>153</v>
      </c>
      <c r="F1900" t="s">
        <v>388</v>
      </c>
      <c r="G1900">
        <f>(O1900/(N1900+O1900+P1900))*100</f>
        <v>49.528301886792455</v>
      </c>
      <c r="H1900">
        <f>(P1900/(O1900+P1900+N1900))*100</f>
        <v>0</v>
      </c>
      <c r="I1900">
        <v>49.53</v>
      </c>
      <c r="J1900">
        <f>(N1900/(P1900+O1900+N1900))*100</f>
        <v>50.471698113207552</v>
      </c>
      <c r="K1900">
        <v>0.8</v>
      </c>
      <c r="L1900">
        <v>0.3</v>
      </c>
      <c r="M1900">
        <v>0.7</v>
      </c>
      <c r="N1900">
        <v>321</v>
      </c>
      <c r="O1900">
        <v>315</v>
      </c>
      <c r="P1900">
        <v>0</v>
      </c>
      <c r="Q1900">
        <v>49.53</v>
      </c>
      <c r="R1900" t="s">
        <v>236</v>
      </c>
      <c r="S1900">
        <v>1.1599999999999999</v>
      </c>
      <c r="T1900">
        <v>1.26</v>
      </c>
    </row>
    <row r="1901" spans="1:21" ht="15" customHeight="1" x14ac:dyDescent="0.25">
      <c r="A1901" t="s">
        <v>19</v>
      </c>
      <c r="B1901" t="s">
        <v>20</v>
      </c>
      <c r="C1901" t="s">
        <v>308</v>
      </c>
      <c r="D1901">
        <v>3</v>
      </c>
      <c r="E1901" t="s">
        <v>154</v>
      </c>
      <c r="F1901" t="s">
        <v>388</v>
      </c>
      <c r="G1901">
        <v>8</v>
      </c>
      <c r="H1901">
        <v>8</v>
      </c>
      <c r="I1901">
        <f>G1901+H1901</f>
        <v>16</v>
      </c>
      <c r="J1901">
        <f>100-G1901-H1901</f>
        <v>84</v>
      </c>
      <c r="K1901" t="s">
        <v>19</v>
      </c>
      <c r="L1901" t="s">
        <v>19</v>
      </c>
      <c r="M1901" t="s">
        <v>19</v>
      </c>
      <c r="N1901" t="s">
        <v>19</v>
      </c>
      <c r="O1901" t="s">
        <v>19</v>
      </c>
      <c r="P1901" t="s">
        <v>19</v>
      </c>
      <c r="Q1901">
        <f>I1901</f>
        <v>16</v>
      </c>
      <c r="R1901" t="s">
        <v>19</v>
      </c>
      <c r="S1901" t="s">
        <v>19</v>
      </c>
      <c r="T1901" t="s">
        <v>19</v>
      </c>
    </row>
    <row r="1902" spans="1:21" ht="15" customHeight="1" x14ac:dyDescent="0.25">
      <c r="A1902" t="s">
        <v>19</v>
      </c>
      <c r="B1902" t="s">
        <v>20</v>
      </c>
      <c r="C1902" t="s">
        <v>22</v>
      </c>
      <c r="D1902">
        <v>3</v>
      </c>
      <c r="E1902" t="s">
        <v>154</v>
      </c>
      <c r="F1902" t="s">
        <v>388</v>
      </c>
      <c r="G1902">
        <v>4</v>
      </c>
      <c r="H1902">
        <v>1</v>
      </c>
      <c r="I1902">
        <f>G1902+H1902</f>
        <v>5</v>
      </c>
      <c r="J1902">
        <f>100-G1902-H1902</f>
        <v>95</v>
      </c>
      <c r="K1902" t="s">
        <v>19</v>
      </c>
      <c r="L1902" t="s">
        <v>19</v>
      </c>
      <c r="M1902" t="s">
        <v>19</v>
      </c>
      <c r="N1902" t="s">
        <v>19</v>
      </c>
      <c r="O1902" t="s">
        <v>19</v>
      </c>
      <c r="P1902" t="s">
        <v>19</v>
      </c>
      <c r="Q1902">
        <f>I1902</f>
        <v>5</v>
      </c>
      <c r="R1902" t="s">
        <v>19</v>
      </c>
      <c r="S1902" t="s">
        <v>19</v>
      </c>
      <c r="T1902" t="s">
        <v>19</v>
      </c>
    </row>
    <row r="1903" spans="1:21" ht="15" customHeight="1" x14ac:dyDescent="0.25">
      <c r="A1903" t="s">
        <v>19</v>
      </c>
      <c r="B1903" t="s">
        <v>20</v>
      </c>
      <c r="C1903" t="s">
        <v>305</v>
      </c>
      <c r="D1903">
        <v>3</v>
      </c>
      <c r="E1903" t="s">
        <v>154</v>
      </c>
      <c r="F1903" t="s">
        <v>388</v>
      </c>
      <c r="G1903">
        <v>15</v>
      </c>
      <c r="H1903">
        <v>1</v>
      </c>
      <c r="I1903">
        <f>G1903+H1903</f>
        <v>16</v>
      </c>
      <c r="J1903">
        <f>100-G1903-H1903</f>
        <v>84</v>
      </c>
      <c r="K1903" t="s">
        <v>19</v>
      </c>
      <c r="L1903" t="s">
        <v>19</v>
      </c>
      <c r="M1903" t="s">
        <v>19</v>
      </c>
      <c r="N1903" t="s">
        <v>19</v>
      </c>
      <c r="O1903" t="s">
        <v>19</v>
      </c>
      <c r="P1903" t="s">
        <v>19</v>
      </c>
      <c r="Q1903">
        <f>I1903</f>
        <v>16</v>
      </c>
      <c r="R1903" t="s">
        <v>19</v>
      </c>
      <c r="S1903" t="s">
        <v>19</v>
      </c>
      <c r="T1903" t="s">
        <v>19</v>
      </c>
    </row>
    <row r="1904" spans="1:21" ht="15" customHeight="1" x14ac:dyDescent="0.25">
      <c r="A1904" t="s">
        <v>19</v>
      </c>
      <c r="B1904" t="s">
        <v>20</v>
      </c>
      <c r="C1904" t="s">
        <v>307</v>
      </c>
      <c r="D1904">
        <v>3</v>
      </c>
      <c r="E1904" t="s">
        <v>154</v>
      </c>
      <c r="F1904" t="s">
        <v>388</v>
      </c>
      <c r="G1904">
        <v>0</v>
      </c>
      <c r="H1904">
        <v>0</v>
      </c>
      <c r="I1904">
        <f>G1904+H1904</f>
        <v>0</v>
      </c>
      <c r="J1904">
        <f>100-G1904-H1904</f>
        <v>100</v>
      </c>
      <c r="K1904" t="s">
        <v>19</v>
      </c>
      <c r="L1904" t="s">
        <v>19</v>
      </c>
      <c r="M1904" t="s">
        <v>19</v>
      </c>
      <c r="N1904" t="s">
        <v>19</v>
      </c>
      <c r="O1904" t="s">
        <v>19</v>
      </c>
      <c r="P1904" t="s">
        <v>19</v>
      </c>
      <c r="Q1904">
        <f>I1904</f>
        <v>0</v>
      </c>
      <c r="R1904" t="s">
        <v>19</v>
      </c>
      <c r="S1904" t="s">
        <v>19</v>
      </c>
      <c r="T1904" t="s">
        <v>19</v>
      </c>
    </row>
    <row r="1905" spans="1:21" ht="15" customHeight="1" x14ac:dyDescent="0.25">
      <c r="A1905" s="2">
        <v>45253.611111111109</v>
      </c>
      <c r="B1905" t="s">
        <v>309</v>
      </c>
      <c r="C1905" t="s">
        <v>213</v>
      </c>
      <c r="D1905">
        <v>3</v>
      </c>
      <c r="E1905" t="s">
        <v>154</v>
      </c>
      <c r="F1905" t="s">
        <v>388</v>
      </c>
      <c r="G1905">
        <v>2.4311183139999999</v>
      </c>
      <c r="H1905">
        <v>1.9448946519999999</v>
      </c>
      <c r="I1905">
        <v>4.3760129660000002</v>
      </c>
      <c r="J1905">
        <v>95.623987029999995</v>
      </c>
      <c r="K1905">
        <v>0.8</v>
      </c>
      <c r="L1905">
        <v>0.2</v>
      </c>
      <c r="M1905">
        <v>0.7</v>
      </c>
      <c r="N1905">
        <v>590</v>
      </c>
      <c r="O1905">
        <v>15</v>
      </c>
      <c r="P1905">
        <v>12</v>
      </c>
      <c r="Q1905">
        <v>4.38</v>
      </c>
      <c r="R1905" t="s">
        <v>255</v>
      </c>
      <c r="S1905">
        <v>2.67</v>
      </c>
      <c r="T1905">
        <v>3.22</v>
      </c>
    </row>
    <row r="1906" spans="1:21" ht="15" customHeight="1" x14ac:dyDescent="0.25">
      <c r="A1906" s="2">
        <v>45253.87222222222</v>
      </c>
      <c r="B1906" t="s">
        <v>309</v>
      </c>
      <c r="C1906" t="s">
        <v>215</v>
      </c>
      <c r="D1906">
        <v>2</v>
      </c>
      <c r="E1906" t="s">
        <v>154</v>
      </c>
      <c r="F1906" t="s">
        <v>388</v>
      </c>
      <c r="G1906">
        <v>8.2738944369999992</v>
      </c>
      <c r="H1906">
        <v>0</v>
      </c>
      <c r="I1906">
        <v>8.2738944369999992</v>
      </c>
      <c r="J1906">
        <v>91.726105559999993</v>
      </c>
      <c r="K1906">
        <v>0.8</v>
      </c>
      <c r="L1906">
        <v>0.2</v>
      </c>
      <c r="M1906">
        <v>0.7</v>
      </c>
      <c r="N1906">
        <v>643</v>
      </c>
      <c r="O1906">
        <v>58</v>
      </c>
      <c r="P1906">
        <v>0</v>
      </c>
      <c r="Q1906">
        <v>8.27</v>
      </c>
      <c r="R1906" t="s">
        <v>216</v>
      </c>
      <c r="S1906">
        <v>0.23</v>
      </c>
      <c r="T1906">
        <v>0.25</v>
      </c>
    </row>
    <row r="1907" spans="1:21" ht="15" customHeight="1" x14ac:dyDescent="0.25">
      <c r="A1907" s="2">
        <v>45254.041666666664</v>
      </c>
      <c r="B1907" t="s">
        <v>309</v>
      </c>
      <c r="C1907" t="s">
        <v>217</v>
      </c>
      <c r="D1907">
        <v>2</v>
      </c>
      <c r="E1907" t="s">
        <v>154</v>
      </c>
      <c r="F1907" t="s">
        <v>388</v>
      </c>
      <c r="G1907">
        <v>9.0387374460000007</v>
      </c>
      <c r="H1907">
        <v>0</v>
      </c>
      <c r="I1907">
        <v>9.0387374460000007</v>
      </c>
      <c r="J1907">
        <v>90.961262550000001</v>
      </c>
      <c r="K1907">
        <v>0.8</v>
      </c>
      <c r="L1907">
        <v>0.2</v>
      </c>
      <c r="M1907">
        <v>0.7</v>
      </c>
      <c r="N1907">
        <v>634</v>
      </c>
      <c r="O1907">
        <v>63</v>
      </c>
      <c r="P1907">
        <v>0</v>
      </c>
      <c r="Q1907">
        <v>9.0399999999999991</v>
      </c>
      <c r="R1907" t="s">
        <v>225</v>
      </c>
      <c r="S1907">
        <v>0.25</v>
      </c>
      <c r="T1907">
        <v>0.26</v>
      </c>
    </row>
    <row r="1908" spans="1:21" ht="15" customHeight="1" x14ac:dyDescent="0.25">
      <c r="A1908" s="2">
        <v>45316.552083333336</v>
      </c>
      <c r="B1908" t="s">
        <v>309</v>
      </c>
      <c r="C1908" t="s">
        <v>219</v>
      </c>
      <c r="D1908">
        <v>3</v>
      </c>
      <c r="E1908" t="s">
        <v>154</v>
      </c>
      <c r="F1908" t="s">
        <v>388</v>
      </c>
      <c r="G1908">
        <v>0.80482897399999997</v>
      </c>
      <c r="H1908">
        <v>1.4084507040000001</v>
      </c>
      <c r="I1908">
        <v>2.2132796780000001</v>
      </c>
      <c r="J1908">
        <v>97.786720320000001</v>
      </c>
      <c r="K1908">
        <v>0.8</v>
      </c>
      <c r="L1908">
        <v>0.2</v>
      </c>
      <c r="M1908">
        <v>0.7</v>
      </c>
      <c r="N1908">
        <v>486</v>
      </c>
      <c r="O1908">
        <v>4</v>
      </c>
      <c r="P1908">
        <v>7</v>
      </c>
      <c r="Q1908">
        <v>2.21</v>
      </c>
      <c r="R1908" t="s">
        <v>218</v>
      </c>
      <c r="S1908">
        <v>3.15</v>
      </c>
      <c r="T1908">
        <v>4.17</v>
      </c>
    </row>
    <row r="1909" spans="1:21" ht="15" customHeight="1" x14ac:dyDescent="0.25">
      <c r="A1909" s="2">
        <v>45320.894444444442</v>
      </c>
      <c r="B1909" t="s">
        <v>309</v>
      </c>
      <c r="C1909" t="s">
        <v>221</v>
      </c>
      <c r="D1909">
        <v>2</v>
      </c>
      <c r="E1909" t="s">
        <v>154</v>
      </c>
      <c r="F1909" t="s">
        <v>388</v>
      </c>
      <c r="G1909">
        <v>10.17964072</v>
      </c>
      <c r="H1909">
        <v>0</v>
      </c>
      <c r="I1909">
        <v>10.17964072</v>
      </c>
      <c r="J1909">
        <v>89.820359280000005</v>
      </c>
      <c r="K1909">
        <v>0.8</v>
      </c>
      <c r="L1909">
        <v>0.3</v>
      </c>
      <c r="M1909">
        <v>0.7</v>
      </c>
      <c r="N1909">
        <v>600</v>
      </c>
      <c r="O1909">
        <v>68</v>
      </c>
      <c r="P1909">
        <v>0</v>
      </c>
      <c r="Q1909">
        <v>10.18</v>
      </c>
      <c r="R1909" t="s">
        <v>237</v>
      </c>
      <c r="S1909">
        <v>0.31</v>
      </c>
      <c r="T1909">
        <v>0.35</v>
      </c>
    </row>
    <row r="1910" spans="1:21" ht="15" customHeight="1" x14ac:dyDescent="0.25">
      <c r="A1910" t="s">
        <v>19</v>
      </c>
      <c r="B1910" t="s">
        <v>20</v>
      </c>
      <c r="C1910" t="s">
        <v>306</v>
      </c>
      <c r="D1910">
        <v>3</v>
      </c>
      <c r="E1910" t="s">
        <v>154</v>
      </c>
      <c r="F1910" t="s">
        <v>388</v>
      </c>
      <c r="G1910">
        <v>10</v>
      </c>
      <c r="H1910">
        <v>5</v>
      </c>
      <c r="I1910">
        <f>G1910+H1910</f>
        <v>15</v>
      </c>
      <c r="J1910">
        <f>100-G1910-H1910</f>
        <v>85</v>
      </c>
      <c r="K1910" t="s">
        <v>19</v>
      </c>
      <c r="L1910" t="s">
        <v>19</v>
      </c>
      <c r="M1910" t="s">
        <v>19</v>
      </c>
      <c r="N1910" t="s">
        <v>19</v>
      </c>
      <c r="O1910" t="s">
        <v>19</v>
      </c>
      <c r="P1910" t="s">
        <v>19</v>
      </c>
      <c r="Q1910">
        <f>I1910</f>
        <v>15</v>
      </c>
      <c r="R1910" t="s">
        <v>19</v>
      </c>
      <c r="S1910" t="s">
        <v>19</v>
      </c>
      <c r="T1910" t="s">
        <v>19</v>
      </c>
    </row>
    <row r="1911" spans="1:21" ht="15" customHeight="1" x14ac:dyDescent="0.25">
      <c r="A1911" t="s">
        <v>19</v>
      </c>
      <c r="B1911" t="s">
        <v>20</v>
      </c>
      <c r="C1911" t="s">
        <v>320</v>
      </c>
      <c r="D1911">
        <v>3</v>
      </c>
      <c r="E1911" t="s">
        <v>154</v>
      </c>
      <c r="F1911" t="s">
        <v>388</v>
      </c>
      <c r="G1911">
        <v>0</v>
      </c>
      <c r="H1911">
        <v>0</v>
      </c>
      <c r="I1911">
        <f>100-J1911</f>
        <v>0</v>
      </c>
      <c r="J1911">
        <f>100-G1911-H1911</f>
        <v>100</v>
      </c>
      <c r="K1911" t="s">
        <v>19</v>
      </c>
      <c r="L1911" t="s">
        <v>19</v>
      </c>
      <c r="M1911" t="s">
        <v>19</v>
      </c>
      <c r="N1911" t="s">
        <v>19</v>
      </c>
      <c r="O1911" t="s">
        <v>19</v>
      </c>
      <c r="P1911" t="s">
        <v>19</v>
      </c>
      <c r="Q1911">
        <f>I1911</f>
        <v>0</v>
      </c>
      <c r="R1911" t="s">
        <v>19</v>
      </c>
      <c r="S1911" t="s">
        <v>19</v>
      </c>
      <c r="T1911" t="s">
        <v>19</v>
      </c>
    </row>
    <row r="1912" spans="1:21" ht="15" customHeight="1" x14ac:dyDescent="0.25">
      <c r="A1912" s="2">
        <v>45323.623379629629</v>
      </c>
      <c r="B1912" t="s">
        <v>309</v>
      </c>
      <c r="C1912" t="s">
        <v>322</v>
      </c>
      <c r="D1912">
        <v>3</v>
      </c>
      <c r="E1912" t="s">
        <v>154</v>
      </c>
      <c r="F1912" t="s">
        <v>388</v>
      </c>
      <c r="G1912">
        <f>(O1912/(N1912+O1912+P1912))*100</f>
        <v>6.4275037369207766</v>
      </c>
      <c r="H1912">
        <f>(P1912/(O1912+P1912+N1912))*100</f>
        <v>0.59790732436472349</v>
      </c>
      <c r="I1912">
        <v>7.03</v>
      </c>
      <c r="J1912">
        <f>(N1912/(P1912+O1912+N1912))*100</f>
        <v>92.974588938714504</v>
      </c>
      <c r="K1912">
        <v>0.8</v>
      </c>
      <c r="L1912">
        <v>0.3</v>
      </c>
      <c r="M1912">
        <v>0.7</v>
      </c>
      <c r="N1912">
        <v>622</v>
      </c>
      <c r="O1912">
        <v>43</v>
      </c>
      <c r="P1912">
        <v>4</v>
      </c>
      <c r="Q1912">
        <v>7.03</v>
      </c>
      <c r="R1912" t="s">
        <v>333</v>
      </c>
      <c r="S1912">
        <v>2.54</v>
      </c>
      <c r="T1912">
        <v>3.89</v>
      </c>
      <c r="U1912">
        <v>42</v>
      </c>
    </row>
    <row r="1913" spans="1:21" ht="15" customHeight="1" x14ac:dyDescent="0.25">
      <c r="A1913" s="2">
        <v>45323.619895833333</v>
      </c>
      <c r="B1913" t="s">
        <v>309</v>
      </c>
      <c r="C1913" t="s">
        <v>322</v>
      </c>
      <c r="D1913">
        <v>3</v>
      </c>
      <c r="E1913" t="s">
        <v>154</v>
      </c>
      <c r="F1913" t="s">
        <v>388</v>
      </c>
      <c r="G1913">
        <f>(O1913/(N1913+O1913+P1913))*100</f>
        <v>7.5332348596750363</v>
      </c>
      <c r="H1913">
        <f>(P1913/(O1913+P1913+N1913))*100</f>
        <v>0.59084194977843429</v>
      </c>
      <c r="I1913">
        <v>8.1199999999999992</v>
      </c>
      <c r="J1913">
        <f>(N1913/(P1913+O1913+N1913))*100</f>
        <v>91.87592319054653</v>
      </c>
      <c r="K1913">
        <v>0.7</v>
      </c>
      <c r="L1913">
        <v>0.3</v>
      </c>
      <c r="M1913">
        <v>0.7</v>
      </c>
      <c r="N1913">
        <v>622</v>
      </c>
      <c r="O1913">
        <v>51</v>
      </c>
      <c r="P1913">
        <v>4</v>
      </c>
      <c r="Q1913">
        <v>8.1199999999999992</v>
      </c>
      <c r="R1913" t="s">
        <v>245</v>
      </c>
      <c r="S1913">
        <v>2.54</v>
      </c>
      <c r="T1913">
        <v>3.89</v>
      </c>
      <c r="U1913">
        <v>34</v>
      </c>
    </row>
    <row r="1914" spans="1:21" ht="15" customHeight="1" x14ac:dyDescent="0.25">
      <c r="A1914" s="2">
        <v>45325.037835648145</v>
      </c>
      <c r="B1914" t="s">
        <v>309</v>
      </c>
      <c r="C1914" t="s">
        <v>368</v>
      </c>
      <c r="D1914">
        <v>2</v>
      </c>
      <c r="E1914" t="s">
        <v>154</v>
      </c>
      <c r="F1914" t="s">
        <v>388</v>
      </c>
      <c r="G1914">
        <f>(O1914/(N1914+O1914+P1914))*100</f>
        <v>13.18181818181818</v>
      </c>
      <c r="H1914">
        <f>(P1914/(O1914+P1914+N1914))*100</f>
        <v>0</v>
      </c>
      <c r="I1914">
        <v>13.18</v>
      </c>
      <c r="J1914">
        <f>(N1914/(P1914+O1914+N1914))*100</f>
        <v>86.818181818181813</v>
      </c>
      <c r="K1914">
        <v>0.8</v>
      </c>
      <c r="L1914">
        <v>0.3</v>
      </c>
      <c r="M1914">
        <v>0.7</v>
      </c>
      <c r="N1914">
        <v>573</v>
      </c>
      <c r="O1914">
        <v>87</v>
      </c>
      <c r="P1914">
        <v>0</v>
      </c>
      <c r="Q1914">
        <v>13.18</v>
      </c>
      <c r="R1914" t="s">
        <v>359</v>
      </c>
      <c r="S1914">
        <v>0.36</v>
      </c>
      <c r="T1914">
        <v>0.39</v>
      </c>
    </row>
    <row r="1915" spans="1:21" ht="15" customHeight="1" x14ac:dyDescent="0.25">
      <c r="A1915" t="s">
        <v>19</v>
      </c>
      <c r="B1915" t="s">
        <v>20</v>
      </c>
      <c r="C1915" t="s">
        <v>306</v>
      </c>
      <c r="D1915">
        <v>3</v>
      </c>
      <c r="E1915" t="s">
        <v>155</v>
      </c>
      <c r="F1915" t="s">
        <v>373</v>
      </c>
      <c r="G1915">
        <v>3</v>
      </c>
      <c r="H1915">
        <v>0</v>
      </c>
      <c r="I1915">
        <f>G1915+H1915</f>
        <v>3</v>
      </c>
      <c r="J1915">
        <f>100-G1915-H1915</f>
        <v>97</v>
      </c>
      <c r="K1915" t="s">
        <v>19</v>
      </c>
      <c r="L1915" t="s">
        <v>19</v>
      </c>
      <c r="M1915" t="s">
        <v>19</v>
      </c>
      <c r="N1915" t="s">
        <v>19</v>
      </c>
      <c r="O1915" t="s">
        <v>19</v>
      </c>
      <c r="P1915" t="s">
        <v>19</v>
      </c>
      <c r="Q1915">
        <f>I1915</f>
        <v>3</v>
      </c>
      <c r="R1915" t="s">
        <v>19</v>
      </c>
      <c r="S1915" t="s">
        <v>19</v>
      </c>
      <c r="T1915" t="s">
        <v>19</v>
      </c>
    </row>
    <row r="1916" spans="1:21" ht="15" customHeight="1" x14ac:dyDescent="0.25">
      <c r="A1916" t="s">
        <v>19</v>
      </c>
      <c r="B1916" t="s">
        <v>20</v>
      </c>
      <c r="C1916" t="s">
        <v>308</v>
      </c>
      <c r="D1916">
        <v>3</v>
      </c>
      <c r="E1916" t="s">
        <v>155</v>
      </c>
      <c r="F1916" t="s">
        <v>373</v>
      </c>
      <c r="G1916">
        <v>8</v>
      </c>
      <c r="H1916">
        <v>0</v>
      </c>
      <c r="I1916">
        <f>G1916+H1916</f>
        <v>8</v>
      </c>
      <c r="J1916">
        <f>100-G1916-H1916</f>
        <v>92</v>
      </c>
      <c r="K1916" t="s">
        <v>19</v>
      </c>
      <c r="L1916" t="s">
        <v>19</v>
      </c>
      <c r="M1916" t="s">
        <v>19</v>
      </c>
      <c r="N1916" t="s">
        <v>19</v>
      </c>
      <c r="O1916" t="s">
        <v>19</v>
      </c>
      <c r="P1916" t="s">
        <v>19</v>
      </c>
      <c r="Q1916">
        <f>I1916</f>
        <v>8</v>
      </c>
      <c r="R1916" t="s">
        <v>19</v>
      </c>
      <c r="S1916" t="s">
        <v>19</v>
      </c>
      <c r="T1916" t="s">
        <v>19</v>
      </c>
    </row>
    <row r="1917" spans="1:21" ht="15" customHeight="1" x14ac:dyDescent="0.25">
      <c r="A1917" t="s">
        <v>19</v>
      </c>
      <c r="B1917" t="s">
        <v>20</v>
      </c>
      <c r="C1917" t="s">
        <v>22</v>
      </c>
      <c r="D1917">
        <v>3</v>
      </c>
      <c r="E1917" t="s">
        <v>155</v>
      </c>
      <c r="F1917" t="s">
        <v>373</v>
      </c>
      <c r="G1917">
        <v>0</v>
      </c>
      <c r="H1917">
        <v>0</v>
      </c>
      <c r="I1917">
        <f>G1917+H1917</f>
        <v>0</v>
      </c>
      <c r="J1917">
        <f>100-G1917-H1917</f>
        <v>100</v>
      </c>
      <c r="K1917" t="s">
        <v>19</v>
      </c>
      <c r="L1917" t="s">
        <v>19</v>
      </c>
      <c r="M1917" t="s">
        <v>19</v>
      </c>
      <c r="N1917" t="s">
        <v>19</v>
      </c>
      <c r="O1917" t="s">
        <v>19</v>
      </c>
      <c r="P1917" t="s">
        <v>19</v>
      </c>
      <c r="Q1917">
        <f>I1917</f>
        <v>0</v>
      </c>
      <c r="R1917" t="s">
        <v>19</v>
      </c>
      <c r="S1917" t="s">
        <v>19</v>
      </c>
      <c r="T1917" t="s">
        <v>19</v>
      </c>
    </row>
    <row r="1918" spans="1:21" ht="15" customHeight="1" x14ac:dyDescent="0.25">
      <c r="A1918" t="s">
        <v>19</v>
      </c>
      <c r="B1918" t="s">
        <v>20</v>
      </c>
      <c r="C1918" t="s">
        <v>305</v>
      </c>
      <c r="D1918">
        <v>3</v>
      </c>
      <c r="E1918" t="s">
        <v>155</v>
      </c>
      <c r="F1918" t="s">
        <v>373</v>
      </c>
      <c r="G1918">
        <v>1</v>
      </c>
      <c r="H1918">
        <v>0</v>
      </c>
      <c r="I1918">
        <f>G1918+H1918</f>
        <v>1</v>
      </c>
      <c r="J1918">
        <f>100-G1918-H1918</f>
        <v>99</v>
      </c>
      <c r="K1918" t="s">
        <v>19</v>
      </c>
      <c r="L1918" t="s">
        <v>19</v>
      </c>
      <c r="M1918" t="s">
        <v>19</v>
      </c>
      <c r="N1918" t="s">
        <v>19</v>
      </c>
      <c r="O1918" t="s">
        <v>19</v>
      </c>
      <c r="P1918" t="s">
        <v>19</v>
      </c>
      <c r="Q1918">
        <f>I1918</f>
        <v>1</v>
      </c>
      <c r="R1918" t="s">
        <v>19</v>
      </c>
      <c r="S1918" t="s">
        <v>19</v>
      </c>
      <c r="T1918" t="s">
        <v>19</v>
      </c>
    </row>
    <row r="1919" spans="1:21" ht="15" customHeight="1" x14ac:dyDescent="0.25">
      <c r="A1919" t="s">
        <v>19</v>
      </c>
      <c r="B1919" t="s">
        <v>20</v>
      </c>
      <c r="C1919" t="s">
        <v>307</v>
      </c>
      <c r="D1919">
        <v>3</v>
      </c>
      <c r="E1919" t="s">
        <v>155</v>
      </c>
      <c r="F1919" t="s">
        <v>373</v>
      </c>
      <c r="G1919">
        <v>1</v>
      </c>
      <c r="H1919">
        <v>0</v>
      </c>
      <c r="I1919">
        <f>G1919+H1919</f>
        <v>1</v>
      </c>
      <c r="J1919">
        <f>100-G1919-H1919</f>
        <v>99</v>
      </c>
      <c r="K1919" t="s">
        <v>19</v>
      </c>
      <c r="L1919" t="s">
        <v>19</v>
      </c>
      <c r="M1919" t="s">
        <v>19</v>
      </c>
      <c r="N1919" t="s">
        <v>19</v>
      </c>
      <c r="O1919" t="s">
        <v>19</v>
      </c>
      <c r="P1919" t="s">
        <v>19</v>
      </c>
      <c r="Q1919">
        <f>I1919</f>
        <v>1</v>
      </c>
      <c r="R1919" t="s">
        <v>19</v>
      </c>
      <c r="S1919" t="s">
        <v>19</v>
      </c>
      <c r="T1919" t="s">
        <v>19</v>
      </c>
    </row>
    <row r="1920" spans="1:21" ht="15" customHeight="1" x14ac:dyDescent="0.25">
      <c r="A1920" s="2">
        <v>45253.76666666667</v>
      </c>
      <c r="B1920" t="s">
        <v>309</v>
      </c>
      <c r="C1920" t="s">
        <v>213</v>
      </c>
      <c r="D1920">
        <v>3</v>
      </c>
      <c r="E1920" t="s">
        <v>155</v>
      </c>
      <c r="F1920" t="s">
        <v>373</v>
      </c>
      <c r="G1920">
        <v>1.5698587129999999</v>
      </c>
      <c r="H1920">
        <v>0.94191522800000005</v>
      </c>
      <c r="I1920">
        <v>2.5117739399999999</v>
      </c>
      <c r="J1920">
        <v>97.488226060000002</v>
      </c>
      <c r="K1920">
        <v>0.8</v>
      </c>
      <c r="L1920">
        <v>0.2</v>
      </c>
      <c r="M1920">
        <v>0.7</v>
      </c>
      <c r="N1920">
        <v>621</v>
      </c>
      <c r="O1920">
        <v>10</v>
      </c>
      <c r="P1920">
        <v>6</v>
      </c>
      <c r="Q1920">
        <v>2.5099999999999998</v>
      </c>
      <c r="R1920" t="s">
        <v>248</v>
      </c>
      <c r="S1920">
        <v>2.75</v>
      </c>
      <c r="T1920">
        <v>3.42</v>
      </c>
    </row>
    <row r="1921" spans="1:21" ht="15" customHeight="1" x14ac:dyDescent="0.25">
      <c r="A1921" s="2">
        <v>45253.954861111109</v>
      </c>
      <c r="B1921" t="s">
        <v>309</v>
      </c>
      <c r="C1921" t="s">
        <v>215</v>
      </c>
      <c r="D1921">
        <v>2</v>
      </c>
      <c r="E1921" t="s">
        <v>155</v>
      </c>
      <c r="F1921" t="s">
        <v>373</v>
      </c>
      <c r="G1921">
        <v>5.230769231</v>
      </c>
      <c r="H1921">
        <v>0</v>
      </c>
      <c r="I1921">
        <v>5.230769231</v>
      </c>
      <c r="J1921">
        <v>94.769230769999993</v>
      </c>
      <c r="K1921">
        <v>0.8</v>
      </c>
      <c r="L1921">
        <v>0.2</v>
      </c>
      <c r="M1921">
        <v>0.7</v>
      </c>
      <c r="N1921">
        <v>616</v>
      </c>
      <c r="O1921">
        <v>34</v>
      </c>
      <c r="P1921">
        <v>0</v>
      </c>
      <c r="Q1921">
        <v>5.23</v>
      </c>
      <c r="R1921" t="s">
        <v>216</v>
      </c>
      <c r="S1921">
        <v>0.18</v>
      </c>
      <c r="T1921">
        <v>0.19</v>
      </c>
    </row>
    <row r="1922" spans="1:21" ht="15" customHeight="1" x14ac:dyDescent="0.25">
      <c r="A1922" s="2">
        <v>45254.130555555559</v>
      </c>
      <c r="B1922" t="s">
        <v>309</v>
      </c>
      <c r="C1922" t="s">
        <v>217</v>
      </c>
      <c r="D1922">
        <v>2</v>
      </c>
      <c r="E1922" t="s">
        <v>155</v>
      </c>
      <c r="F1922" t="s">
        <v>373</v>
      </c>
      <c r="G1922">
        <v>6.5810593900000001</v>
      </c>
      <c r="H1922">
        <v>0</v>
      </c>
      <c r="I1922">
        <v>6.5810593900000001</v>
      </c>
      <c r="J1922">
        <v>93.418940610000007</v>
      </c>
      <c r="K1922">
        <v>0.8</v>
      </c>
      <c r="L1922">
        <v>0.2</v>
      </c>
      <c r="M1922">
        <v>0.7</v>
      </c>
      <c r="N1922">
        <v>582</v>
      </c>
      <c r="O1922">
        <v>41</v>
      </c>
      <c r="P1922">
        <v>0</v>
      </c>
      <c r="Q1922">
        <v>6.58</v>
      </c>
      <c r="R1922" t="s">
        <v>225</v>
      </c>
      <c r="S1922">
        <v>0.27</v>
      </c>
      <c r="T1922">
        <v>0.28000000000000003</v>
      </c>
    </row>
    <row r="1923" spans="1:21" ht="15" customHeight="1" x14ac:dyDescent="0.25">
      <c r="A1923" s="2">
        <v>45316.466666666667</v>
      </c>
      <c r="B1923" t="s">
        <v>309</v>
      </c>
      <c r="C1923" t="s">
        <v>219</v>
      </c>
      <c r="D1923">
        <v>3</v>
      </c>
      <c r="E1923" t="s">
        <v>155</v>
      </c>
      <c r="F1923" t="s">
        <v>373</v>
      </c>
      <c r="G1923">
        <v>2.6362038659999998</v>
      </c>
      <c r="H1923">
        <v>0.87873462199999997</v>
      </c>
      <c r="I1923">
        <v>3.5149384889999999</v>
      </c>
      <c r="J1923">
        <v>96.485061509999994</v>
      </c>
      <c r="K1923">
        <v>0.8</v>
      </c>
      <c r="L1923">
        <v>0.2</v>
      </c>
      <c r="M1923">
        <v>0.7</v>
      </c>
      <c r="N1923">
        <v>549</v>
      </c>
      <c r="O1923">
        <v>15</v>
      </c>
      <c r="P1923">
        <v>5</v>
      </c>
      <c r="Q1923">
        <v>3.51</v>
      </c>
      <c r="R1923" t="s">
        <v>224</v>
      </c>
      <c r="S1923">
        <v>3.06</v>
      </c>
      <c r="T1923">
        <v>4.2300000000000004</v>
      </c>
    </row>
    <row r="1924" spans="1:21" ht="15" customHeight="1" x14ac:dyDescent="0.25">
      <c r="A1924" s="2">
        <v>45320.991666666669</v>
      </c>
      <c r="B1924" t="s">
        <v>309</v>
      </c>
      <c r="C1924" t="s">
        <v>221</v>
      </c>
      <c r="D1924">
        <v>2</v>
      </c>
      <c r="E1924" t="s">
        <v>155</v>
      </c>
      <c r="F1924" t="s">
        <v>373</v>
      </c>
      <c r="G1924">
        <v>2.0761245669999999</v>
      </c>
      <c r="H1924">
        <v>0</v>
      </c>
      <c r="I1924">
        <v>2.0761245669999999</v>
      </c>
      <c r="J1924">
        <v>97.923875429999995</v>
      </c>
      <c r="K1924">
        <v>0.8</v>
      </c>
      <c r="L1924">
        <v>0.3</v>
      </c>
      <c r="M1924">
        <v>0.7</v>
      </c>
      <c r="N1924">
        <v>566</v>
      </c>
      <c r="O1924">
        <v>12</v>
      </c>
      <c r="P1924">
        <v>0</v>
      </c>
      <c r="Q1924">
        <v>2.08</v>
      </c>
      <c r="R1924" t="s">
        <v>220</v>
      </c>
      <c r="S1924">
        <v>0.13</v>
      </c>
      <c r="T1924">
        <v>0.14000000000000001</v>
      </c>
    </row>
    <row r="1925" spans="1:21" ht="15" customHeight="1" x14ac:dyDescent="0.25">
      <c r="A1925" t="s">
        <v>19</v>
      </c>
      <c r="B1925" t="s">
        <v>20</v>
      </c>
      <c r="C1925" t="s">
        <v>320</v>
      </c>
      <c r="D1925">
        <v>3</v>
      </c>
      <c r="E1925" t="s">
        <v>155</v>
      </c>
      <c r="F1925" t="s">
        <v>373</v>
      </c>
      <c r="G1925">
        <v>0</v>
      </c>
      <c r="H1925">
        <v>0</v>
      </c>
      <c r="I1925">
        <f>100-J1925</f>
        <v>0</v>
      </c>
      <c r="J1925">
        <f>100-G1925-H1925</f>
        <v>100</v>
      </c>
      <c r="K1925" t="s">
        <v>19</v>
      </c>
      <c r="L1925" t="s">
        <v>19</v>
      </c>
      <c r="M1925" t="s">
        <v>19</v>
      </c>
      <c r="N1925" t="s">
        <v>19</v>
      </c>
      <c r="O1925" t="s">
        <v>19</v>
      </c>
      <c r="P1925" t="s">
        <v>19</v>
      </c>
      <c r="Q1925">
        <f>I1925</f>
        <v>0</v>
      </c>
      <c r="R1925" t="s">
        <v>19</v>
      </c>
      <c r="S1925" t="s">
        <v>19</v>
      </c>
      <c r="T1925" t="s">
        <v>19</v>
      </c>
    </row>
    <row r="1926" spans="1:21" ht="15" customHeight="1" x14ac:dyDescent="0.25">
      <c r="A1926" s="2">
        <v>45323.616805555554</v>
      </c>
      <c r="B1926" t="s">
        <v>309</v>
      </c>
      <c r="C1926" t="s">
        <v>322</v>
      </c>
      <c r="D1926">
        <v>3</v>
      </c>
      <c r="E1926" t="s">
        <v>155</v>
      </c>
      <c r="F1926" t="s">
        <v>373</v>
      </c>
      <c r="G1926">
        <f>(O1926/(N1926+O1926+P1926))*100</f>
        <v>2.0869565217391308</v>
      </c>
      <c r="H1926">
        <f>(P1926/(O1926+P1926+N1926))*100</f>
        <v>0</v>
      </c>
      <c r="I1926">
        <f>((O1926+P1926)/(P1926+O1926+N1926))*100</f>
        <v>2.0869565217391308</v>
      </c>
      <c r="J1926">
        <f>(N1926/(P1926+O1926+N1926))*100</f>
        <v>97.913043478260875</v>
      </c>
      <c r="K1926">
        <v>0.8</v>
      </c>
      <c r="L1926">
        <v>0.3</v>
      </c>
      <c r="M1926">
        <v>0.7</v>
      </c>
      <c r="N1926">
        <v>563</v>
      </c>
      <c r="O1926">
        <v>12</v>
      </c>
      <c r="P1926">
        <v>0</v>
      </c>
      <c r="Q1926">
        <v>2.09</v>
      </c>
      <c r="R1926" t="s">
        <v>214</v>
      </c>
      <c r="S1926">
        <v>2.61</v>
      </c>
      <c r="T1926">
        <v>2.97</v>
      </c>
      <c r="U1926">
        <v>42</v>
      </c>
    </row>
    <row r="1927" spans="1:21" ht="15" customHeight="1" x14ac:dyDescent="0.25">
      <c r="A1927" s="2">
        <v>45323.621493055558</v>
      </c>
      <c r="B1927" t="s">
        <v>309</v>
      </c>
      <c r="C1927" t="s">
        <v>322</v>
      </c>
      <c r="D1927">
        <v>3</v>
      </c>
      <c r="E1927" t="s">
        <v>155</v>
      </c>
      <c r="F1927" t="s">
        <v>373</v>
      </c>
      <c r="G1927">
        <f>(O1927/(N1927+O1927+P1927))*100</f>
        <v>2.9310344827586206</v>
      </c>
      <c r="H1927">
        <f>(P1927/(O1927+P1927+N1927))*100</f>
        <v>0</v>
      </c>
      <c r="I1927">
        <f>((O1927+P1927)/(P1927+O1927+N1927))*100</f>
        <v>2.9310344827586206</v>
      </c>
      <c r="J1927">
        <f>(N1927/(P1927+O1927+N1927))*100</f>
        <v>97.068965517241381</v>
      </c>
      <c r="K1927">
        <v>0.7</v>
      </c>
      <c r="L1927">
        <v>0.3</v>
      </c>
      <c r="M1927">
        <v>0.7</v>
      </c>
      <c r="N1927">
        <v>563</v>
      </c>
      <c r="O1927">
        <v>17</v>
      </c>
      <c r="P1927">
        <v>0</v>
      </c>
      <c r="Q1927">
        <v>2.93</v>
      </c>
      <c r="R1927" t="s">
        <v>240</v>
      </c>
      <c r="S1927">
        <v>2.61</v>
      </c>
      <c r="T1927">
        <v>2.97</v>
      </c>
      <c r="U1927">
        <v>37</v>
      </c>
    </row>
    <row r="1928" spans="1:21" ht="15" customHeight="1" x14ac:dyDescent="0.25">
      <c r="A1928" s="2">
        <v>45325.180324074077</v>
      </c>
      <c r="B1928" t="s">
        <v>309</v>
      </c>
      <c r="C1928" t="s">
        <v>368</v>
      </c>
      <c r="D1928">
        <v>2</v>
      </c>
      <c r="E1928" t="s">
        <v>155</v>
      </c>
      <c r="F1928" t="s">
        <v>373</v>
      </c>
      <c r="G1928">
        <f>(O1928/(N1928+O1928+P1928))*100</f>
        <v>1.8456375838926176</v>
      </c>
      <c r="H1928">
        <f>(P1928/(O1928+P1928+N1928))*100</f>
        <v>0</v>
      </c>
      <c r="I1928">
        <v>1.85</v>
      </c>
      <c r="J1928">
        <f>(N1928/(P1928+O1928+N1928))*100</f>
        <v>98.154362416107389</v>
      </c>
      <c r="K1928">
        <v>0.8</v>
      </c>
      <c r="L1928">
        <v>0.3</v>
      </c>
      <c r="M1928">
        <v>0.7</v>
      </c>
      <c r="N1928">
        <v>585</v>
      </c>
      <c r="O1928">
        <v>11</v>
      </c>
      <c r="P1928">
        <v>0</v>
      </c>
      <c r="Q1928">
        <v>1.85</v>
      </c>
      <c r="R1928" t="s">
        <v>277</v>
      </c>
      <c r="S1928">
        <v>0.08</v>
      </c>
      <c r="T1928">
        <v>0.08</v>
      </c>
    </row>
    <row r="1929" spans="1:21" ht="15" customHeight="1" x14ac:dyDescent="0.25">
      <c r="A1929" t="s">
        <v>19</v>
      </c>
      <c r="B1929" t="s">
        <v>20</v>
      </c>
      <c r="C1929" t="s">
        <v>306</v>
      </c>
      <c r="D1929">
        <v>3</v>
      </c>
      <c r="E1929" t="s">
        <v>156</v>
      </c>
      <c r="F1929" t="s">
        <v>373</v>
      </c>
      <c r="G1929">
        <v>88</v>
      </c>
      <c r="H1929">
        <v>10</v>
      </c>
      <c r="I1929">
        <f>G1929+H1929</f>
        <v>98</v>
      </c>
      <c r="J1929">
        <f>100-G1929-H1929</f>
        <v>2</v>
      </c>
      <c r="K1929" t="s">
        <v>19</v>
      </c>
      <c r="L1929" t="s">
        <v>19</v>
      </c>
      <c r="M1929" t="s">
        <v>19</v>
      </c>
      <c r="N1929" t="s">
        <v>19</v>
      </c>
      <c r="O1929" t="s">
        <v>19</v>
      </c>
      <c r="P1929" t="s">
        <v>19</v>
      </c>
      <c r="Q1929">
        <f>I1929</f>
        <v>98</v>
      </c>
      <c r="R1929" t="s">
        <v>19</v>
      </c>
      <c r="S1929" t="s">
        <v>19</v>
      </c>
      <c r="T1929" t="s">
        <v>19</v>
      </c>
    </row>
    <row r="1930" spans="1:21" ht="15" customHeight="1" x14ac:dyDescent="0.25">
      <c r="A1930" t="s">
        <v>19</v>
      </c>
      <c r="B1930" t="s">
        <v>20</v>
      </c>
      <c r="C1930" t="s">
        <v>308</v>
      </c>
      <c r="D1930">
        <v>3</v>
      </c>
      <c r="E1930" t="s">
        <v>156</v>
      </c>
      <c r="F1930" t="s">
        <v>373</v>
      </c>
      <c r="G1930">
        <v>71</v>
      </c>
      <c r="H1930">
        <v>4</v>
      </c>
      <c r="I1930">
        <f>G1930+H1930</f>
        <v>75</v>
      </c>
      <c r="J1930">
        <f>100-G1930-H1930</f>
        <v>25</v>
      </c>
      <c r="K1930" t="s">
        <v>19</v>
      </c>
      <c r="L1930" t="s">
        <v>19</v>
      </c>
      <c r="M1930" t="s">
        <v>19</v>
      </c>
      <c r="N1930" t="s">
        <v>19</v>
      </c>
      <c r="O1930" t="s">
        <v>19</v>
      </c>
      <c r="P1930" t="s">
        <v>19</v>
      </c>
      <c r="Q1930">
        <f>I1930</f>
        <v>75</v>
      </c>
      <c r="R1930" t="s">
        <v>19</v>
      </c>
      <c r="S1930" t="s">
        <v>19</v>
      </c>
      <c r="T1930" t="s">
        <v>19</v>
      </c>
    </row>
    <row r="1931" spans="1:21" ht="15" customHeight="1" x14ac:dyDescent="0.25">
      <c r="A1931" t="s">
        <v>19</v>
      </c>
      <c r="B1931" t="s">
        <v>20</v>
      </c>
      <c r="C1931" t="s">
        <v>22</v>
      </c>
      <c r="D1931">
        <v>3</v>
      </c>
      <c r="E1931" t="s">
        <v>156</v>
      </c>
      <c r="F1931" t="s">
        <v>373</v>
      </c>
      <c r="G1931">
        <v>80</v>
      </c>
      <c r="H1931">
        <v>0</v>
      </c>
      <c r="I1931">
        <f>G1931+H1931</f>
        <v>80</v>
      </c>
      <c r="J1931">
        <f>100-G1931-H1931</f>
        <v>20</v>
      </c>
      <c r="K1931" t="s">
        <v>19</v>
      </c>
      <c r="L1931" t="s">
        <v>19</v>
      </c>
      <c r="M1931" t="s">
        <v>19</v>
      </c>
      <c r="N1931" t="s">
        <v>19</v>
      </c>
      <c r="O1931" t="s">
        <v>19</v>
      </c>
      <c r="P1931" t="s">
        <v>19</v>
      </c>
      <c r="Q1931">
        <f>I1931</f>
        <v>80</v>
      </c>
      <c r="R1931" t="s">
        <v>19</v>
      </c>
      <c r="S1931" t="s">
        <v>19</v>
      </c>
      <c r="T1931" t="s">
        <v>19</v>
      </c>
    </row>
    <row r="1932" spans="1:21" ht="15" customHeight="1" x14ac:dyDescent="0.25">
      <c r="A1932" t="s">
        <v>19</v>
      </c>
      <c r="B1932" t="s">
        <v>20</v>
      </c>
      <c r="C1932" t="s">
        <v>305</v>
      </c>
      <c r="D1932">
        <v>3</v>
      </c>
      <c r="E1932" t="s">
        <v>156</v>
      </c>
      <c r="F1932" t="s">
        <v>373</v>
      </c>
      <c r="G1932">
        <v>59</v>
      </c>
      <c r="H1932">
        <v>1</v>
      </c>
      <c r="I1932">
        <f>G1932+H1932</f>
        <v>60</v>
      </c>
      <c r="J1932">
        <f>100-G1932-H1932</f>
        <v>40</v>
      </c>
      <c r="K1932" t="s">
        <v>19</v>
      </c>
      <c r="L1932" t="s">
        <v>19</v>
      </c>
      <c r="M1932" t="s">
        <v>19</v>
      </c>
      <c r="N1932" t="s">
        <v>19</v>
      </c>
      <c r="O1932" t="s">
        <v>19</v>
      </c>
      <c r="P1932" t="s">
        <v>19</v>
      </c>
      <c r="Q1932">
        <f>I1932</f>
        <v>60</v>
      </c>
      <c r="R1932" t="s">
        <v>19</v>
      </c>
      <c r="S1932" t="s">
        <v>19</v>
      </c>
      <c r="T1932" t="s">
        <v>19</v>
      </c>
    </row>
    <row r="1933" spans="1:21" ht="15" customHeight="1" x14ac:dyDescent="0.25">
      <c r="A1933" t="s">
        <v>19</v>
      </c>
      <c r="B1933" t="s">
        <v>20</v>
      </c>
      <c r="C1933" t="s">
        <v>307</v>
      </c>
      <c r="D1933">
        <v>3</v>
      </c>
      <c r="E1933" t="s">
        <v>156</v>
      </c>
      <c r="F1933" t="s">
        <v>373</v>
      </c>
      <c r="G1933">
        <v>36</v>
      </c>
      <c r="H1933">
        <v>4</v>
      </c>
      <c r="I1933">
        <f>G1933+H1933</f>
        <v>40</v>
      </c>
      <c r="J1933">
        <f>100-G1933-H1933</f>
        <v>60</v>
      </c>
      <c r="K1933" t="s">
        <v>19</v>
      </c>
      <c r="L1933" t="s">
        <v>19</v>
      </c>
      <c r="M1933" t="s">
        <v>19</v>
      </c>
      <c r="N1933" t="s">
        <v>19</v>
      </c>
      <c r="O1933" t="s">
        <v>19</v>
      </c>
      <c r="P1933" t="s">
        <v>19</v>
      </c>
      <c r="Q1933">
        <f>I1933</f>
        <v>40</v>
      </c>
      <c r="R1933" t="s">
        <v>19</v>
      </c>
      <c r="S1933" t="s">
        <v>19</v>
      </c>
      <c r="T1933" t="s">
        <v>19</v>
      </c>
    </row>
    <row r="1934" spans="1:21" ht="15" customHeight="1" x14ac:dyDescent="0.25">
      <c r="A1934" s="2">
        <v>45253.768750000003</v>
      </c>
      <c r="B1934" t="s">
        <v>309</v>
      </c>
      <c r="C1934" t="s">
        <v>213</v>
      </c>
      <c r="D1934">
        <v>3</v>
      </c>
      <c r="E1934" t="s">
        <v>156</v>
      </c>
      <c r="F1934" t="s">
        <v>373</v>
      </c>
      <c r="G1934">
        <v>80.354267309999997</v>
      </c>
      <c r="H1934">
        <v>0.322061192</v>
      </c>
      <c r="I1934">
        <v>80.676328499999997</v>
      </c>
      <c r="J1934">
        <v>19.3236715</v>
      </c>
      <c r="K1934">
        <v>0.8</v>
      </c>
      <c r="L1934">
        <v>0.2</v>
      </c>
      <c r="M1934">
        <v>0.7</v>
      </c>
      <c r="N1934">
        <v>120</v>
      </c>
      <c r="O1934">
        <v>499</v>
      </c>
      <c r="P1934">
        <v>2</v>
      </c>
      <c r="Q1934">
        <v>80.680000000000007</v>
      </c>
      <c r="R1934" t="s">
        <v>214</v>
      </c>
      <c r="S1934">
        <v>3.06</v>
      </c>
      <c r="T1934">
        <v>3.5</v>
      </c>
    </row>
    <row r="1935" spans="1:21" ht="15" customHeight="1" x14ac:dyDescent="0.25">
      <c r="A1935" s="2">
        <v>45253.955555555556</v>
      </c>
      <c r="B1935" t="s">
        <v>309</v>
      </c>
      <c r="C1935" t="s">
        <v>215</v>
      </c>
      <c r="D1935">
        <v>2</v>
      </c>
      <c r="E1935" t="s">
        <v>156</v>
      </c>
      <c r="F1935" t="s">
        <v>373</v>
      </c>
      <c r="G1935">
        <v>24.258289699999999</v>
      </c>
      <c r="H1935">
        <v>0</v>
      </c>
      <c r="I1935">
        <v>24.258289699999999</v>
      </c>
      <c r="J1935">
        <v>75.741710299999994</v>
      </c>
      <c r="K1935">
        <v>0.8</v>
      </c>
      <c r="L1935">
        <v>0.2</v>
      </c>
      <c r="M1935">
        <v>0.7</v>
      </c>
      <c r="N1935">
        <v>434</v>
      </c>
      <c r="O1935">
        <v>139</v>
      </c>
      <c r="P1935">
        <v>0</v>
      </c>
      <c r="Q1935">
        <v>24.26</v>
      </c>
      <c r="R1935" t="s">
        <v>226</v>
      </c>
      <c r="S1935">
        <v>0.69</v>
      </c>
      <c r="T1935">
        <v>0.75</v>
      </c>
    </row>
    <row r="1936" spans="1:21" ht="15" customHeight="1" x14ac:dyDescent="0.25">
      <c r="A1936" s="2">
        <v>45254.131249999999</v>
      </c>
      <c r="B1936" t="s">
        <v>309</v>
      </c>
      <c r="C1936" t="s">
        <v>217</v>
      </c>
      <c r="D1936">
        <v>2</v>
      </c>
      <c r="E1936" t="s">
        <v>156</v>
      </c>
      <c r="F1936" t="s">
        <v>373</v>
      </c>
      <c r="G1936">
        <v>54.361370719999996</v>
      </c>
      <c r="H1936">
        <v>0</v>
      </c>
      <c r="I1936">
        <v>54.361370719999996</v>
      </c>
      <c r="J1936">
        <v>45.638629280000004</v>
      </c>
      <c r="K1936">
        <v>0.8</v>
      </c>
      <c r="L1936">
        <v>0.2</v>
      </c>
      <c r="M1936">
        <v>0.7</v>
      </c>
      <c r="N1936">
        <v>293</v>
      </c>
      <c r="O1936">
        <v>349</v>
      </c>
      <c r="P1936">
        <v>0</v>
      </c>
      <c r="Q1936">
        <v>54.36</v>
      </c>
      <c r="R1936" t="s">
        <v>239</v>
      </c>
      <c r="S1936">
        <v>1.41</v>
      </c>
      <c r="T1936">
        <v>1.51</v>
      </c>
    </row>
    <row r="1937" spans="1:21" ht="15" customHeight="1" x14ac:dyDescent="0.25">
      <c r="A1937" s="2">
        <v>45316.467361111114</v>
      </c>
      <c r="B1937" t="s">
        <v>309</v>
      </c>
      <c r="C1937" t="s">
        <v>219</v>
      </c>
      <c r="D1937">
        <v>3</v>
      </c>
      <c r="E1937" t="s">
        <v>156</v>
      </c>
      <c r="F1937" t="s">
        <v>373</v>
      </c>
      <c r="G1937">
        <v>84.749455339999997</v>
      </c>
      <c r="H1937">
        <v>0.65359477099999996</v>
      </c>
      <c r="I1937">
        <v>85.403050109999995</v>
      </c>
      <c r="J1937">
        <v>14.596949889999999</v>
      </c>
      <c r="K1937">
        <v>0.8</v>
      </c>
      <c r="L1937">
        <v>0.2</v>
      </c>
      <c r="M1937">
        <v>0.7</v>
      </c>
      <c r="N1937">
        <v>67</v>
      </c>
      <c r="O1937">
        <v>389</v>
      </c>
      <c r="P1937">
        <v>3</v>
      </c>
      <c r="Q1937">
        <v>85.4</v>
      </c>
      <c r="R1937" t="s">
        <v>225</v>
      </c>
      <c r="S1937">
        <v>3.23</v>
      </c>
      <c r="T1937">
        <v>4.53</v>
      </c>
    </row>
    <row r="1938" spans="1:21" ht="15" customHeight="1" x14ac:dyDescent="0.25">
      <c r="A1938" s="2">
        <v>45320.992361111108</v>
      </c>
      <c r="B1938" t="s">
        <v>309</v>
      </c>
      <c r="C1938" t="s">
        <v>221</v>
      </c>
      <c r="D1938">
        <v>2</v>
      </c>
      <c r="E1938" t="s">
        <v>156</v>
      </c>
      <c r="F1938" t="s">
        <v>373</v>
      </c>
      <c r="G1938">
        <v>77.259475219999999</v>
      </c>
      <c r="H1938">
        <v>0</v>
      </c>
      <c r="I1938">
        <v>77.259475219999999</v>
      </c>
      <c r="J1938">
        <v>22.740524780000001</v>
      </c>
      <c r="K1938">
        <v>0.8</v>
      </c>
      <c r="L1938">
        <v>0.3</v>
      </c>
      <c r="M1938">
        <v>0.7</v>
      </c>
      <c r="N1938">
        <v>156</v>
      </c>
      <c r="O1938">
        <v>530</v>
      </c>
      <c r="P1938">
        <v>0</v>
      </c>
      <c r="Q1938">
        <v>77.260000000000005</v>
      </c>
      <c r="R1938" t="s">
        <v>233</v>
      </c>
      <c r="S1938">
        <v>2.0699999999999998</v>
      </c>
      <c r="T1938">
        <v>2.1800000000000002</v>
      </c>
    </row>
    <row r="1939" spans="1:21" ht="15" customHeight="1" x14ac:dyDescent="0.25">
      <c r="A1939" t="s">
        <v>19</v>
      </c>
      <c r="B1939" t="s">
        <v>20</v>
      </c>
      <c r="C1939" t="s">
        <v>320</v>
      </c>
      <c r="D1939">
        <v>3</v>
      </c>
      <c r="E1939" t="s">
        <v>156</v>
      </c>
      <c r="F1939" t="s">
        <v>373</v>
      </c>
      <c r="G1939">
        <v>80</v>
      </c>
      <c r="H1939">
        <v>0</v>
      </c>
      <c r="I1939">
        <f>100-J1939</f>
        <v>80</v>
      </c>
      <c r="J1939">
        <f>100-G1939-H1939</f>
        <v>20</v>
      </c>
      <c r="K1939" t="s">
        <v>19</v>
      </c>
      <c r="L1939" t="s">
        <v>19</v>
      </c>
      <c r="M1939" t="s">
        <v>19</v>
      </c>
      <c r="N1939" t="s">
        <v>19</v>
      </c>
      <c r="O1939" t="s">
        <v>19</v>
      </c>
      <c r="P1939" t="s">
        <v>19</v>
      </c>
      <c r="Q1939">
        <f>I1939</f>
        <v>80</v>
      </c>
      <c r="R1939" t="s">
        <v>19</v>
      </c>
      <c r="S1939" t="s">
        <v>19</v>
      </c>
      <c r="T1939" t="s">
        <v>19</v>
      </c>
    </row>
    <row r="1940" spans="1:21" ht="15" customHeight="1" x14ac:dyDescent="0.25">
      <c r="A1940" s="2">
        <v>45323.618333333332</v>
      </c>
      <c r="B1940" t="s">
        <v>309</v>
      </c>
      <c r="C1940" t="s">
        <v>322</v>
      </c>
      <c r="D1940">
        <v>3</v>
      </c>
      <c r="E1940" t="s">
        <v>156</v>
      </c>
      <c r="F1940" t="s">
        <v>373</v>
      </c>
      <c r="G1940">
        <f>(O1940/(N1940+O1940+P1940))*100</f>
        <v>77.553956834532372</v>
      </c>
      <c r="H1940">
        <f>(P1940/(O1940+P1940+N1940))*100</f>
        <v>0.14388489208633093</v>
      </c>
      <c r="I1940">
        <f>((O1940+P1940)/(P1940+O1940+N1940))*100</f>
        <v>77.697841726618705</v>
      </c>
      <c r="J1940">
        <f>(N1940/(P1940+O1940+N1940))*100</f>
        <v>22.302158273381295</v>
      </c>
      <c r="K1940">
        <v>0.8</v>
      </c>
      <c r="L1940">
        <v>0.3</v>
      </c>
      <c r="M1940">
        <v>0.7</v>
      </c>
      <c r="N1940">
        <v>155</v>
      </c>
      <c r="O1940">
        <v>539</v>
      </c>
      <c r="P1940">
        <v>1</v>
      </c>
      <c r="Q1940">
        <v>77.7</v>
      </c>
      <c r="R1940" t="s">
        <v>344</v>
      </c>
      <c r="S1940">
        <v>2.82</v>
      </c>
      <c r="T1940">
        <v>3.22</v>
      </c>
      <c r="U1940">
        <v>54</v>
      </c>
    </row>
    <row r="1941" spans="1:21" ht="15" customHeight="1" x14ac:dyDescent="0.25">
      <c r="A1941" s="2">
        <v>45323.622986111113</v>
      </c>
      <c r="B1941" t="s">
        <v>309</v>
      </c>
      <c r="C1941" t="s">
        <v>322</v>
      </c>
      <c r="D1941">
        <v>3</v>
      </c>
      <c r="E1941" t="s">
        <v>156</v>
      </c>
      <c r="F1941" t="s">
        <v>373</v>
      </c>
      <c r="G1941">
        <f>(O1941/(N1941+O1941+P1941))*100</f>
        <v>77.966101694915253</v>
      </c>
      <c r="H1941">
        <f>(P1941/(O1941+P1941+N1941))*100</f>
        <v>0.2824858757062147</v>
      </c>
      <c r="I1941">
        <f>((O1941+P1941)/(P1941+O1941+N1941))*100</f>
        <v>78.248587570621467</v>
      </c>
      <c r="J1941">
        <f>(N1941/(P1941+O1941+N1941))*100</f>
        <v>21.751412429378529</v>
      </c>
      <c r="K1941">
        <v>0.7</v>
      </c>
      <c r="L1941">
        <v>0.3</v>
      </c>
      <c r="M1941">
        <v>0.7</v>
      </c>
      <c r="N1941">
        <v>154</v>
      </c>
      <c r="O1941">
        <v>552</v>
      </c>
      <c r="P1941">
        <v>2</v>
      </c>
      <c r="Q1941">
        <v>78.25</v>
      </c>
      <c r="R1941" t="s">
        <v>343</v>
      </c>
      <c r="S1941">
        <v>2.82</v>
      </c>
      <c r="T1941">
        <v>3.22</v>
      </c>
      <c r="U1941">
        <v>41</v>
      </c>
    </row>
    <row r="1942" spans="1:21" ht="15" customHeight="1" x14ac:dyDescent="0.25">
      <c r="A1942" s="2">
        <v>45325.181574074071</v>
      </c>
      <c r="B1942" t="s">
        <v>309</v>
      </c>
      <c r="C1942" t="s">
        <v>368</v>
      </c>
      <c r="D1942">
        <v>2</v>
      </c>
      <c r="E1942" t="s">
        <v>156</v>
      </c>
      <c r="F1942" t="s">
        <v>373</v>
      </c>
      <c r="G1942">
        <f>(O1942/(N1942+O1942+P1942))*100</f>
        <v>79.830747531734829</v>
      </c>
      <c r="H1942">
        <f>(P1942/(O1942+P1942+N1942))*100</f>
        <v>0</v>
      </c>
      <c r="I1942">
        <v>79.83</v>
      </c>
      <c r="J1942">
        <f>(N1942/(P1942+O1942+N1942))*100</f>
        <v>20.16925246826516</v>
      </c>
      <c r="K1942">
        <v>0.8</v>
      </c>
      <c r="L1942">
        <v>0.3</v>
      </c>
      <c r="M1942">
        <v>0.7</v>
      </c>
      <c r="N1942">
        <v>143</v>
      </c>
      <c r="O1942">
        <v>566</v>
      </c>
      <c r="P1942">
        <v>0</v>
      </c>
      <c r="Q1942">
        <v>79.83</v>
      </c>
      <c r="R1942" t="s">
        <v>287</v>
      </c>
      <c r="S1942">
        <v>2.12</v>
      </c>
      <c r="T1942">
        <v>2.2400000000000002</v>
      </c>
    </row>
    <row r="1943" spans="1:21" ht="15" customHeight="1" x14ac:dyDescent="0.25">
      <c r="A1943" t="s">
        <v>19</v>
      </c>
      <c r="B1943" t="s">
        <v>20</v>
      </c>
      <c r="C1943" t="s">
        <v>306</v>
      </c>
      <c r="D1943">
        <v>3</v>
      </c>
      <c r="E1943" t="s">
        <v>157</v>
      </c>
      <c r="F1943" t="s">
        <v>373</v>
      </c>
      <c r="G1943" t="s">
        <v>321</v>
      </c>
      <c r="H1943" t="s">
        <v>321</v>
      </c>
      <c r="I1943">
        <v>75</v>
      </c>
      <c r="J1943">
        <v>25</v>
      </c>
      <c r="K1943" t="s">
        <v>19</v>
      </c>
      <c r="L1943" t="s">
        <v>19</v>
      </c>
      <c r="M1943" t="s">
        <v>19</v>
      </c>
      <c r="N1943" t="s">
        <v>19</v>
      </c>
      <c r="O1943" t="s">
        <v>19</v>
      </c>
      <c r="P1943" t="s">
        <v>19</v>
      </c>
      <c r="Q1943">
        <f>I1943</f>
        <v>75</v>
      </c>
      <c r="R1943" t="s">
        <v>19</v>
      </c>
      <c r="S1943" t="s">
        <v>19</v>
      </c>
      <c r="T1943" t="s">
        <v>19</v>
      </c>
    </row>
    <row r="1944" spans="1:21" ht="15" customHeight="1" x14ac:dyDescent="0.25">
      <c r="A1944" t="s">
        <v>19</v>
      </c>
      <c r="B1944" t="s">
        <v>20</v>
      </c>
      <c r="C1944" t="s">
        <v>308</v>
      </c>
      <c r="D1944">
        <v>3</v>
      </c>
      <c r="E1944" t="s">
        <v>157</v>
      </c>
      <c r="F1944" t="s">
        <v>373</v>
      </c>
      <c r="G1944">
        <v>35</v>
      </c>
      <c r="H1944">
        <v>5</v>
      </c>
      <c r="I1944">
        <f>G1944+H1944</f>
        <v>40</v>
      </c>
      <c r="J1944">
        <f>100-G1944-H1944</f>
        <v>60</v>
      </c>
      <c r="K1944" t="s">
        <v>19</v>
      </c>
      <c r="L1944" t="s">
        <v>19</v>
      </c>
      <c r="M1944" t="s">
        <v>19</v>
      </c>
      <c r="N1944" t="s">
        <v>19</v>
      </c>
      <c r="O1944" t="s">
        <v>19</v>
      </c>
      <c r="P1944" t="s">
        <v>19</v>
      </c>
      <c r="Q1944">
        <f>I1944</f>
        <v>40</v>
      </c>
      <c r="R1944" t="s">
        <v>19</v>
      </c>
      <c r="S1944" t="s">
        <v>19</v>
      </c>
      <c r="T1944" t="s">
        <v>19</v>
      </c>
    </row>
    <row r="1945" spans="1:21" ht="15" customHeight="1" x14ac:dyDescent="0.25">
      <c r="A1945" t="s">
        <v>19</v>
      </c>
      <c r="B1945" t="s">
        <v>20</v>
      </c>
      <c r="C1945" t="s">
        <v>22</v>
      </c>
      <c r="D1945">
        <v>3</v>
      </c>
      <c r="E1945" t="s">
        <v>157</v>
      </c>
      <c r="F1945" t="s">
        <v>373</v>
      </c>
      <c r="G1945">
        <v>50</v>
      </c>
      <c r="H1945">
        <v>5</v>
      </c>
      <c r="I1945">
        <f>G1945+H1945</f>
        <v>55</v>
      </c>
      <c r="J1945">
        <f>100-G1945-H1945</f>
        <v>45</v>
      </c>
      <c r="K1945" t="s">
        <v>19</v>
      </c>
      <c r="L1945" t="s">
        <v>19</v>
      </c>
      <c r="M1945" t="s">
        <v>19</v>
      </c>
      <c r="N1945" t="s">
        <v>19</v>
      </c>
      <c r="O1945" t="s">
        <v>19</v>
      </c>
      <c r="P1945" t="s">
        <v>19</v>
      </c>
      <c r="Q1945">
        <f>I1945</f>
        <v>55</v>
      </c>
      <c r="R1945" t="s">
        <v>19</v>
      </c>
      <c r="S1945" t="s">
        <v>19</v>
      </c>
      <c r="T1945" t="s">
        <v>19</v>
      </c>
    </row>
    <row r="1946" spans="1:21" ht="15" customHeight="1" x14ac:dyDescent="0.25">
      <c r="A1946" t="s">
        <v>19</v>
      </c>
      <c r="B1946" t="s">
        <v>20</v>
      </c>
      <c r="C1946" t="s">
        <v>305</v>
      </c>
      <c r="D1946">
        <v>3</v>
      </c>
      <c r="E1946" t="s">
        <v>157</v>
      </c>
      <c r="F1946" t="s">
        <v>373</v>
      </c>
      <c r="G1946">
        <v>49</v>
      </c>
      <c r="H1946">
        <v>1</v>
      </c>
      <c r="I1946">
        <f>G1946+H1946</f>
        <v>50</v>
      </c>
      <c r="J1946">
        <f>100-G1946-H1946</f>
        <v>50</v>
      </c>
      <c r="K1946" t="s">
        <v>19</v>
      </c>
      <c r="L1946" t="s">
        <v>19</v>
      </c>
      <c r="M1946" t="s">
        <v>19</v>
      </c>
      <c r="N1946" t="s">
        <v>19</v>
      </c>
      <c r="O1946" t="s">
        <v>19</v>
      </c>
      <c r="P1946" t="s">
        <v>19</v>
      </c>
      <c r="Q1946">
        <f>I1946</f>
        <v>50</v>
      </c>
      <c r="R1946" t="s">
        <v>19</v>
      </c>
      <c r="S1946" t="s">
        <v>19</v>
      </c>
      <c r="T1946" t="s">
        <v>19</v>
      </c>
    </row>
    <row r="1947" spans="1:21" ht="15" customHeight="1" x14ac:dyDescent="0.25">
      <c r="A1947" t="s">
        <v>19</v>
      </c>
      <c r="B1947" t="s">
        <v>20</v>
      </c>
      <c r="C1947" t="s">
        <v>307</v>
      </c>
      <c r="D1947">
        <v>3</v>
      </c>
      <c r="E1947" t="s">
        <v>157</v>
      </c>
      <c r="F1947" t="s">
        <v>373</v>
      </c>
      <c r="G1947">
        <v>13</v>
      </c>
      <c r="H1947">
        <v>2</v>
      </c>
      <c r="I1947">
        <f>G1947+H1947</f>
        <v>15</v>
      </c>
      <c r="J1947">
        <f>100-G1947-H1947</f>
        <v>85</v>
      </c>
      <c r="K1947" t="s">
        <v>19</v>
      </c>
      <c r="L1947" t="s">
        <v>19</v>
      </c>
      <c r="M1947" t="s">
        <v>19</v>
      </c>
      <c r="N1947" t="s">
        <v>19</v>
      </c>
      <c r="O1947" t="s">
        <v>19</v>
      </c>
      <c r="P1947" t="s">
        <v>19</v>
      </c>
      <c r="Q1947">
        <f>I1947</f>
        <v>15</v>
      </c>
      <c r="R1947" t="s">
        <v>19</v>
      </c>
      <c r="S1947" t="s">
        <v>19</v>
      </c>
      <c r="T1947" t="s">
        <v>19</v>
      </c>
    </row>
    <row r="1948" spans="1:21" ht="15" customHeight="1" x14ac:dyDescent="0.25">
      <c r="A1948" s="2">
        <v>45253.770138888889</v>
      </c>
      <c r="B1948" t="s">
        <v>309</v>
      </c>
      <c r="C1948" t="s">
        <v>213</v>
      </c>
      <c r="D1948">
        <v>3</v>
      </c>
      <c r="E1948" t="s">
        <v>157</v>
      </c>
      <c r="F1948" t="s">
        <v>373</v>
      </c>
      <c r="G1948">
        <v>28.13688213</v>
      </c>
      <c r="H1948">
        <v>0.190114068</v>
      </c>
      <c r="I1948">
        <v>28.3269962</v>
      </c>
      <c r="J1948">
        <v>71.673003800000004</v>
      </c>
      <c r="K1948">
        <v>0.8</v>
      </c>
      <c r="L1948">
        <v>0.2</v>
      </c>
      <c r="M1948">
        <v>0.7</v>
      </c>
      <c r="N1948">
        <v>377</v>
      </c>
      <c r="O1948">
        <v>148</v>
      </c>
      <c r="P1948">
        <v>1</v>
      </c>
      <c r="Q1948">
        <v>28.33</v>
      </c>
      <c r="R1948" t="s">
        <v>284</v>
      </c>
      <c r="S1948">
        <v>2.92</v>
      </c>
      <c r="T1948">
        <v>3.55</v>
      </c>
    </row>
    <row r="1949" spans="1:21" ht="15" customHeight="1" x14ac:dyDescent="0.25">
      <c r="A1949" s="2">
        <v>45253.956250000003</v>
      </c>
      <c r="B1949" t="s">
        <v>309</v>
      </c>
      <c r="C1949" t="s">
        <v>215</v>
      </c>
      <c r="D1949">
        <v>2</v>
      </c>
      <c r="E1949" t="s">
        <v>157</v>
      </c>
      <c r="F1949" t="s">
        <v>373</v>
      </c>
      <c r="G1949">
        <v>0.46012269900000002</v>
      </c>
      <c r="H1949">
        <v>0</v>
      </c>
      <c r="I1949">
        <v>0.46012269900000002</v>
      </c>
      <c r="J1949">
        <v>99.539877300000001</v>
      </c>
      <c r="K1949">
        <v>0.8</v>
      </c>
      <c r="L1949">
        <v>0.2</v>
      </c>
      <c r="M1949">
        <v>0.7</v>
      </c>
      <c r="N1949">
        <v>649</v>
      </c>
      <c r="O1949">
        <v>3</v>
      </c>
      <c r="P1949">
        <v>0</v>
      </c>
      <c r="Q1949">
        <v>0.46</v>
      </c>
      <c r="R1949" t="s">
        <v>257</v>
      </c>
      <c r="S1949">
        <v>0.05</v>
      </c>
      <c r="T1949">
        <v>0.05</v>
      </c>
    </row>
    <row r="1950" spans="1:21" ht="15" customHeight="1" x14ac:dyDescent="0.25">
      <c r="A1950" s="2">
        <v>45254.132638888892</v>
      </c>
      <c r="B1950" t="s">
        <v>309</v>
      </c>
      <c r="C1950" t="s">
        <v>217</v>
      </c>
      <c r="D1950">
        <v>2</v>
      </c>
      <c r="E1950" t="s">
        <v>157</v>
      </c>
      <c r="F1950" t="s">
        <v>373</v>
      </c>
      <c r="G1950">
        <v>4.3760129660000002</v>
      </c>
      <c r="H1950">
        <v>0</v>
      </c>
      <c r="I1950">
        <v>4.3760129660000002</v>
      </c>
      <c r="J1950">
        <v>95.623987029999995</v>
      </c>
      <c r="K1950">
        <v>0.8</v>
      </c>
      <c r="L1950">
        <v>0.2</v>
      </c>
      <c r="M1950">
        <v>0.7</v>
      </c>
      <c r="N1950">
        <v>590</v>
      </c>
      <c r="O1950">
        <v>27</v>
      </c>
      <c r="P1950">
        <v>0</v>
      </c>
      <c r="Q1950">
        <v>4.38</v>
      </c>
      <c r="R1950" t="s">
        <v>231</v>
      </c>
      <c r="S1950">
        <v>0.2</v>
      </c>
      <c r="T1950">
        <v>0.21</v>
      </c>
    </row>
    <row r="1951" spans="1:21" ht="15" customHeight="1" x14ac:dyDescent="0.25">
      <c r="A1951" s="2">
        <v>45316.468055555553</v>
      </c>
      <c r="B1951" t="s">
        <v>309</v>
      </c>
      <c r="C1951" t="s">
        <v>219</v>
      </c>
      <c r="D1951">
        <v>3</v>
      </c>
      <c r="E1951" t="s">
        <v>157</v>
      </c>
      <c r="F1951" t="s">
        <v>373</v>
      </c>
      <c r="G1951">
        <v>37.528604119999997</v>
      </c>
      <c r="H1951">
        <v>0</v>
      </c>
      <c r="I1951">
        <v>37.528604119999997</v>
      </c>
      <c r="J1951">
        <v>62.471395880000003</v>
      </c>
      <c r="K1951">
        <v>0.8</v>
      </c>
      <c r="L1951">
        <v>0.2</v>
      </c>
      <c r="M1951">
        <v>0.7</v>
      </c>
      <c r="N1951">
        <v>273</v>
      </c>
      <c r="O1951">
        <v>164</v>
      </c>
      <c r="P1951">
        <v>0</v>
      </c>
      <c r="Q1951">
        <v>37.53</v>
      </c>
      <c r="R1951" t="s">
        <v>216</v>
      </c>
      <c r="S1951">
        <v>3.21</v>
      </c>
      <c r="T1951">
        <v>4.6500000000000004</v>
      </c>
    </row>
    <row r="1952" spans="1:21" ht="15" customHeight="1" x14ac:dyDescent="0.25">
      <c r="A1952" s="2">
        <v>45320.993750000001</v>
      </c>
      <c r="B1952" t="s">
        <v>309</v>
      </c>
      <c r="C1952" t="s">
        <v>221</v>
      </c>
      <c r="D1952">
        <v>2</v>
      </c>
      <c r="E1952" t="s">
        <v>157</v>
      </c>
      <c r="F1952" t="s">
        <v>373</v>
      </c>
      <c r="G1952">
        <v>35.344827590000001</v>
      </c>
      <c r="H1952">
        <v>0</v>
      </c>
      <c r="I1952">
        <v>35.344827590000001</v>
      </c>
      <c r="J1952">
        <v>64.655172410000006</v>
      </c>
      <c r="K1952">
        <v>0.8</v>
      </c>
      <c r="L1952">
        <v>0.3</v>
      </c>
      <c r="M1952">
        <v>0.7</v>
      </c>
      <c r="N1952">
        <v>375</v>
      </c>
      <c r="O1952">
        <v>205</v>
      </c>
      <c r="P1952">
        <v>0</v>
      </c>
      <c r="Q1952">
        <v>35.340000000000003</v>
      </c>
      <c r="R1952" t="s">
        <v>250</v>
      </c>
      <c r="S1952">
        <v>1.06</v>
      </c>
      <c r="T1952">
        <v>1.1399999999999999</v>
      </c>
    </row>
    <row r="1953" spans="1:21" ht="15" customHeight="1" x14ac:dyDescent="0.25">
      <c r="A1953" t="s">
        <v>19</v>
      </c>
      <c r="B1953" t="s">
        <v>20</v>
      </c>
      <c r="C1953" t="s">
        <v>320</v>
      </c>
      <c r="D1953">
        <v>3</v>
      </c>
      <c r="E1953" t="s">
        <v>157</v>
      </c>
      <c r="F1953" t="s">
        <v>373</v>
      </c>
      <c r="G1953">
        <v>50</v>
      </c>
      <c r="H1953">
        <v>0</v>
      </c>
      <c r="I1953">
        <f>100-J1953</f>
        <v>50</v>
      </c>
      <c r="J1953">
        <f>100-G1953-H1953</f>
        <v>50</v>
      </c>
      <c r="K1953" t="s">
        <v>19</v>
      </c>
      <c r="L1953" t="s">
        <v>19</v>
      </c>
      <c r="M1953" t="s">
        <v>19</v>
      </c>
      <c r="N1953" t="s">
        <v>19</v>
      </c>
      <c r="O1953" t="s">
        <v>19</v>
      </c>
      <c r="P1953" t="s">
        <v>19</v>
      </c>
      <c r="Q1953">
        <f>I1953</f>
        <v>50</v>
      </c>
      <c r="R1953" t="s">
        <v>19</v>
      </c>
      <c r="S1953" t="s">
        <v>19</v>
      </c>
      <c r="T1953" t="s">
        <v>19</v>
      </c>
    </row>
    <row r="1954" spans="1:21" ht="15" customHeight="1" x14ac:dyDescent="0.25">
      <c r="A1954" s="2">
        <v>45323.620138888888</v>
      </c>
      <c r="B1954" t="s">
        <v>309</v>
      </c>
      <c r="C1954" t="s">
        <v>322</v>
      </c>
      <c r="D1954">
        <v>3</v>
      </c>
      <c r="E1954" t="s">
        <v>157</v>
      </c>
      <c r="F1954" t="s">
        <v>373</v>
      </c>
      <c r="G1954">
        <f>(O1954/(N1954+O1954+P1954))*100</f>
        <v>33.333333333333329</v>
      </c>
      <c r="H1954">
        <f>(P1954/(O1954+P1954+N1954))*100</f>
        <v>0</v>
      </c>
      <c r="I1954">
        <f>((O1954+P1954)/(P1954+O1954+N1954))*100</f>
        <v>33.333333333333329</v>
      </c>
      <c r="J1954">
        <f>(N1954/(P1954+O1954+N1954))*100</f>
        <v>66.666666666666657</v>
      </c>
      <c r="K1954">
        <v>0.8</v>
      </c>
      <c r="L1954">
        <v>0.3</v>
      </c>
      <c r="M1954">
        <v>0.7</v>
      </c>
      <c r="N1954">
        <v>402</v>
      </c>
      <c r="O1954">
        <v>201</v>
      </c>
      <c r="P1954">
        <v>0</v>
      </c>
      <c r="Q1954">
        <v>33.33</v>
      </c>
      <c r="R1954" t="s">
        <v>234</v>
      </c>
      <c r="S1954">
        <v>2.79</v>
      </c>
      <c r="T1954">
        <v>3.27</v>
      </c>
      <c r="U1954">
        <v>81</v>
      </c>
    </row>
    <row r="1955" spans="1:21" ht="15" customHeight="1" x14ac:dyDescent="0.25">
      <c r="A1955" s="2">
        <v>45323.624675925923</v>
      </c>
      <c r="B1955" t="s">
        <v>309</v>
      </c>
      <c r="C1955" t="s">
        <v>322</v>
      </c>
      <c r="D1955">
        <v>3</v>
      </c>
      <c r="E1955" t="s">
        <v>157</v>
      </c>
      <c r="F1955" t="s">
        <v>373</v>
      </c>
      <c r="G1955">
        <f>(O1955/(N1955+O1955+P1955))*100</f>
        <v>34.846029173419772</v>
      </c>
      <c r="H1955">
        <f>(P1955/(O1955+P1955+N1955))*100</f>
        <v>0</v>
      </c>
      <c r="I1955">
        <f>((O1955+P1955)/(P1955+O1955+N1955))*100</f>
        <v>34.846029173419772</v>
      </c>
      <c r="J1955">
        <f>(N1955/(P1955+O1955+N1955))*100</f>
        <v>65.153970826580235</v>
      </c>
      <c r="K1955">
        <v>0.7</v>
      </c>
      <c r="L1955">
        <v>0.3</v>
      </c>
      <c r="M1955">
        <v>0.7</v>
      </c>
      <c r="N1955">
        <v>402</v>
      </c>
      <c r="O1955">
        <v>215</v>
      </c>
      <c r="P1955">
        <v>0</v>
      </c>
      <c r="Q1955">
        <v>34.85</v>
      </c>
      <c r="R1955" t="s">
        <v>253</v>
      </c>
      <c r="S1955">
        <v>2.79</v>
      </c>
      <c r="T1955">
        <v>3.27</v>
      </c>
      <c r="U1955">
        <v>67</v>
      </c>
    </row>
    <row r="1956" spans="1:21" ht="15" customHeight="1" x14ac:dyDescent="0.25">
      <c r="A1956" s="2">
        <v>45325.183171296296</v>
      </c>
      <c r="B1956" t="s">
        <v>309</v>
      </c>
      <c r="C1956" t="s">
        <v>368</v>
      </c>
      <c r="D1956">
        <v>2</v>
      </c>
      <c r="E1956" t="s">
        <v>157</v>
      </c>
      <c r="F1956" t="s">
        <v>373</v>
      </c>
      <c r="G1956">
        <f>(O1956/(N1956+O1956+P1956))*100</f>
        <v>49.733570159857905</v>
      </c>
      <c r="H1956">
        <f>(P1956/(O1956+P1956+N1956))*100</f>
        <v>0</v>
      </c>
      <c r="I1956">
        <v>49.73</v>
      </c>
      <c r="J1956">
        <f>(N1956/(P1956+O1956+N1956))*100</f>
        <v>50.266429840142088</v>
      </c>
      <c r="K1956">
        <v>0.8</v>
      </c>
      <c r="L1956">
        <v>0.3</v>
      </c>
      <c r="M1956">
        <v>0.7</v>
      </c>
      <c r="N1956">
        <v>283</v>
      </c>
      <c r="O1956">
        <v>280</v>
      </c>
      <c r="P1956">
        <v>0</v>
      </c>
      <c r="Q1956">
        <v>49.73</v>
      </c>
      <c r="R1956" t="s">
        <v>284</v>
      </c>
      <c r="S1956">
        <v>1.36</v>
      </c>
      <c r="T1956">
        <v>1.43</v>
      </c>
    </row>
    <row r="1957" spans="1:21" ht="15" customHeight="1" x14ac:dyDescent="0.25">
      <c r="A1957" t="s">
        <v>19</v>
      </c>
      <c r="B1957" t="s">
        <v>20</v>
      </c>
      <c r="C1957" t="s">
        <v>308</v>
      </c>
      <c r="D1957">
        <v>3</v>
      </c>
      <c r="E1957" t="s">
        <v>158</v>
      </c>
      <c r="F1957" t="s">
        <v>388</v>
      </c>
      <c r="G1957">
        <v>40</v>
      </c>
      <c r="H1957">
        <v>30</v>
      </c>
      <c r="I1957">
        <f>G1957+H1957</f>
        <v>70</v>
      </c>
      <c r="J1957">
        <f>100-G1957-H1957</f>
        <v>30</v>
      </c>
      <c r="K1957" t="s">
        <v>19</v>
      </c>
      <c r="L1957" t="s">
        <v>19</v>
      </c>
      <c r="M1957" t="s">
        <v>19</v>
      </c>
      <c r="N1957" t="s">
        <v>19</v>
      </c>
      <c r="O1957" t="s">
        <v>19</v>
      </c>
      <c r="P1957" t="s">
        <v>19</v>
      </c>
      <c r="Q1957">
        <f>I1957</f>
        <v>70</v>
      </c>
      <c r="R1957" t="s">
        <v>19</v>
      </c>
      <c r="S1957" t="s">
        <v>19</v>
      </c>
      <c r="T1957" t="s">
        <v>19</v>
      </c>
    </row>
    <row r="1958" spans="1:21" ht="15" customHeight="1" x14ac:dyDescent="0.25">
      <c r="A1958" t="s">
        <v>19</v>
      </c>
      <c r="B1958" t="s">
        <v>20</v>
      </c>
      <c r="C1958" t="s">
        <v>22</v>
      </c>
      <c r="D1958">
        <v>3</v>
      </c>
      <c r="E1958" t="s">
        <v>158</v>
      </c>
      <c r="F1958" t="s">
        <v>388</v>
      </c>
      <c r="G1958">
        <v>40</v>
      </c>
      <c r="H1958">
        <v>20</v>
      </c>
      <c r="I1958">
        <f>G1958+H1958</f>
        <v>60</v>
      </c>
      <c r="J1958">
        <f>100-G1958-H1958</f>
        <v>40</v>
      </c>
      <c r="K1958" t="s">
        <v>19</v>
      </c>
      <c r="L1958" t="s">
        <v>19</v>
      </c>
      <c r="M1958" t="s">
        <v>19</v>
      </c>
      <c r="N1958" t="s">
        <v>19</v>
      </c>
      <c r="O1958" t="s">
        <v>19</v>
      </c>
      <c r="P1958" t="s">
        <v>19</v>
      </c>
      <c r="Q1958">
        <f>I1958</f>
        <v>60</v>
      </c>
      <c r="R1958" t="s">
        <v>19</v>
      </c>
      <c r="S1958" t="s">
        <v>19</v>
      </c>
      <c r="T1958" t="s">
        <v>19</v>
      </c>
    </row>
    <row r="1959" spans="1:21" ht="15" customHeight="1" x14ac:dyDescent="0.25">
      <c r="A1959" t="s">
        <v>19</v>
      </c>
      <c r="B1959" t="s">
        <v>20</v>
      </c>
      <c r="C1959" t="s">
        <v>305</v>
      </c>
      <c r="D1959">
        <v>3</v>
      </c>
      <c r="E1959" t="s">
        <v>158</v>
      </c>
      <c r="F1959" t="s">
        <v>388</v>
      </c>
      <c r="G1959">
        <v>30</v>
      </c>
      <c r="H1959">
        <v>30</v>
      </c>
      <c r="I1959">
        <f>G1959+H1959</f>
        <v>60</v>
      </c>
      <c r="J1959">
        <f>100-G1959-H1959</f>
        <v>40</v>
      </c>
      <c r="K1959" t="s">
        <v>19</v>
      </c>
      <c r="L1959" t="s">
        <v>19</v>
      </c>
      <c r="M1959" t="s">
        <v>19</v>
      </c>
      <c r="N1959" t="s">
        <v>19</v>
      </c>
      <c r="O1959" t="s">
        <v>19</v>
      </c>
      <c r="P1959" t="s">
        <v>19</v>
      </c>
      <c r="Q1959">
        <f>I1959</f>
        <v>60</v>
      </c>
      <c r="R1959" t="s">
        <v>19</v>
      </c>
      <c r="S1959" t="s">
        <v>19</v>
      </c>
      <c r="T1959" t="s">
        <v>19</v>
      </c>
    </row>
    <row r="1960" spans="1:21" ht="15" customHeight="1" x14ac:dyDescent="0.25">
      <c r="A1960" t="s">
        <v>19</v>
      </c>
      <c r="B1960" t="s">
        <v>20</v>
      </c>
      <c r="C1960" t="s">
        <v>307</v>
      </c>
      <c r="D1960">
        <v>3</v>
      </c>
      <c r="E1960" t="s">
        <v>158</v>
      </c>
      <c r="F1960" t="s">
        <v>388</v>
      </c>
      <c r="G1960">
        <v>20</v>
      </c>
      <c r="H1960">
        <v>10</v>
      </c>
      <c r="I1960">
        <f>G1960+H1960</f>
        <v>30</v>
      </c>
      <c r="J1960">
        <f>100-G1960-H1960</f>
        <v>70</v>
      </c>
      <c r="K1960" t="s">
        <v>19</v>
      </c>
      <c r="L1960" t="s">
        <v>19</v>
      </c>
      <c r="M1960" t="s">
        <v>19</v>
      </c>
      <c r="N1960" t="s">
        <v>19</v>
      </c>
      <c r="O1960" t="s">
        <v>19</v>
      </c>
      <c r="P1960" t="s">
        <v>19</v>
      </c>
      <c r="Q1960">
        <f>I1960</f>
        <v>30</v>
      </c>
      <c r="R1960" t="s">
        <v>19</v>
      </c>
      <c r="S1960" t="s">
        <v>19</v>
      </c>
      <c r="T1960" t="s">
        <v>19</v>
      </c>
    </row>
    <row r="1961" spans="1:21" ht="15" customHeight="1" x14ac:dyDescent="0.25">
      <c r="A1961" s="2">
        <v>45253.613194444442</v>
      </c>
      <c r="B1961" t="s">
        <v>309</v>
      </c>
      <c r="C1961" t="s">
        <v>213</v>
      </c>
      <c r="D1961">
        <v>3</v>
      </c>
      <c r="E1961" t="s">
        <v>158</v>
      </c>
      <c r="F1961" t="s">
        <v>388</v>
      </c>
      <c r="G1961">
        <v>3.675048356</v>
      </c>
      <c r="H1961">
        <v>25.338491300000001</v>
      </c>
      <c r="I1961">
        <v>29.013539649999998</v>
      </c>
      <c r="J1961">
        <v>70.986460350000002</v>
      </c>
      <c r="K1961">
        <v>0.8</v>
      </c>
      <c r="L1961">
        <v>0.2</v>
      </c>
      <c r="M1961">
        <v>0.7</v>
      </c>
      <c r="N1961">
        <v>367</v>
      </c>
      <c r="O1961">
        <v>19</v>
      </c>
      <c r="P1961">
        <v>131</v>
      </c>
      <c r="Q1961">
        <v>29.01</v>
      </c>
      <c r="R1961" t="s">
        <v>234</v>
      </c>
      <c r="S1961">
        <v>2.48</v>
      </c>
      <c r="T1961">
        <v>3.27</v>
      </c>
    </row>
    <row r="1962" spans="1:21" ht="15" customHeight="1" x14ac:dyDescent="0.25">
      <c r="A1962" s="2">
        <v>45253.872916666667</v>
      </c>
      <c r="B1962" t="s">
        <v>309</v>
      </c>
      <c r="C1962" t="s">
        <v>215</v>
      </c>
      <c r="D1962">
        <v>2</v>
      </c>
      <c r="E1962" t="s">
        <v>158</v>
      </c>
      <c r="F1962" t="s">
        <v>388</v>
      </c>
      <c r="G1962">
        <v>28.28125</v>
      </c>
      <c r="H1962">
        <v>0</v>
      </c>
      <c r="I1962">
        <v>28.28125</v>
      </c>
      <c r="J1962">
        <v>71.71875</v>
      </c>
      <c r="K1962">
        <v>0.8</v>
      </c>
      <c r="L1962">
        <v>0.2</v>
      </c>
      <c r="M1962">
        <v>0.7</v>
      </c>
      <c r="N1962">
        <v>459</v>
      </c>
      <c r="O1962">
        <v>181</v>
      </c>
      <c r="P1962">
        <v>0</v>
      </c>
      <c r="Q1962">
        <v>28.28</v>
      </c>
      <c r="R1962" t="s">
        <v>225</v>
      </c>
      <c r="S1962">
        <v>0.74</v>
      </c>
      <c r="T1962">
        <v>0.82</v>
      </c>
    </row>
    <row r="1963" spans="1:21" ht="15" customHeight="1" x14ac:dyDescent="0.25">
      <c r="A1963" s="2">
        <v>45254.042361111111</v>
      </c>
      <c r="B1963" t="s">
        <v>309</v>
      </c>
      <c r="C1963" t="s">
        <v>217</v>
      </c>
      <c r="D1963">
        <v>2</v>
      </c>
      <c r="E1963" t="s">
        <v>158</v>
      </c>
      <c r="F1963" t="s">
        <v>388</v>
      </c>
      <c r="G1963">
        <v>36.131934029999996</v>
      </c>
      <c r="H1963">
        <v>0</v>
      </c>
      <c r="I1963">
        <v>36.131934029999996</v>
      </c>
      <c r="J1963">
        <v>63.868065970000004</v>
      </c>
      <c r="K1963">
        <v>0.8</v>
      </c>
      <c r="L1963">
        <v>0.2</v>
      </c>
      <c r="M1963">
        <v>0.7</v>
      </c>
      <c r="N1963">
        <v>426</v>
      </c>
      <c r="O1963">
        <v>241</v>
      </c>
      <c r="P1963">
        <v>0</v>
      </c>
      <c r="Q1963">
        <v>36.130000000000003</v>
      </c>
      <c r="R1963" t="s">
        <v>228</v>
      </c>
      <c r="S1963">
        <v>0.94</v>
      </c>
      <c r="T1963">
        <v>1.01</v>
      </c>
    </row>
    <row r="1964" spans="1:21" ht="15" customHeight="1" x14ac:dyDescent="0.25">
      <c r="A1964" s="2">
        <v>45316.552777777775</v>
      </c>
      <c r="B1964" t="s">
        <v>309</v>
      </c>
      <c r="C1964" t="s">
        <v>219</v>
      </c>
      <c r="D1964">
        <v>3</v>
      </c>
      <c r="E1964" t="s">
        <v>158</v>
      </c>
      <c r="F1964" t="s">
        <v>388</v>
      </c>
      <c r="G1964">
        <v>7.2599531620000004</v>
      </c>
      <c r="H1964">
        <v>27.40046838</v>
      </c>
      <c r="I1964">
        <v>34.660421550000002</v>
      </c>
      <c r="J1964">
        <v>65.339578450000005</v>
      </c>
      <c r="K1964">
        <v>0.8</v>
      </c>
      <c r="L1964">
        <v>0.2</v>
      </c>
      <c r="M1964">
        <v>0.7</v>
      </c>
      <c r="N1964">
        <v>279</v>
      </c>
      <c r="O1964">
        <v>31</v>
      </c>
      <c r="P1964">
        <v>117</v>
      </c>
      <c r="Q1964">
        <v>34.659999999999997</v>
      </c>
      <c r="R1964" t="s">
        <v>235</v>
      </c>
      <c r="S1964">
        <v>3</v>
      </c>
      <c r="T1964">
        <v>4.25</v>
      </c>
    </row>
    <row r="1965" spans="1:21" ht="15" customHeight="1" x14ac:dyDescent="0.25">
      <c r="A1965" s="2">
        <v>45320.895833333336</v>
      </c>
      <c r="B1965" t="s">
        <v>309</v>
      </c>
      <c r="C1965" t="s">
        <v>221</v>
      </c>
      <c r="D1965">
        <v>2</v>
      </c>
      <c r="E1965" t="s">
        <v>158</v>
      </c>
      <c r="F1965" t="s">
        <v>388</v>
      </c>
      <c r="G1965">
        <v>65.533980580000005</v>
      </c>
      <c r="H1965">
        <v>0</v>
      </c>
      <c r="I1965">
        <v>65.533980580000005</v>
      </c>
      <c r="J1965">
        <v>34.466019420000002</v>
      </c>
      <c r="K1965">
        <v>0.8</v>
      </c>
      <c r="L1965">
        <v>0.3</v>
      </c>
      <c r="M1965">
        <v>0.7</v>
      </c>
      <c r="N1965">
        <v>213</v>
      </c>
      <c r="O1965">
        <v>405</v>
      </c>
      <c r="P1965">
        <v>0</v>
      </c>
      <c r="Q1965">
        <v>65.53</v>
      </c>
      <c r="R1965" t="s">
        <v>282</v>
      </c>
      <c r="S1965">
        <v>1.6</v>
      </c>
      <c r="T1965">
        <v>1.79</v>
      </c>
    </row>
    <row r="1966" spans="1:21" ht="15" customHeight="1" x14ac:dyDescent="0.25">
      <c r="A1966" t="s">
        <v>19</v>
      </c>
      <c r="B1966" t="s">
        <v>20</v>
      </c>
      <c r="C1966" t="s">
        <v>306</v>
      </c>
      <c r="D1966">
        <v>3</v>
      </c>
      <c r="E1966" t="s">
        <v>158</v>
      </c>
      <c r="F1966" t="s">
        <v>388</v>
      </c>
      <c r="G1966">
        <v>40</v>
      </c>
      <c r="H1966">
        <v>45</v>
      </c>
      <c r="I1966">
        <f>G1966+H1966</f>
        <v>85</v>
      </c>
      <c r="J1966">
        <f>100-G1966-H1966</f>
        <v>15</v>
      </c>
      <c r="K1966" t="s">
        <v>19</v>
      </c>
      <c r="L1966" t="s">
        <v>19</v>
      </c>
      <c r="M1966" t="s">
        <v>19</v>
      </c>
      <c r="N1966" t="s">
        <v>19</v>
      </c>
      <c r="O1966" t="s">
        <v>19</v>
      </c>
      <c r="P1966" t="s">
        <v>19</v>
      </c>
      <c r="Q1966">
        <f>I1966</f>
        <v>85</v>
      </c>
      <c r="R1966" t="s">
        <v>19</v>
      </c>
      <c r="S1966" t="s">
        <v>19</v>
      </c>
      <c r="T1966" t="s">
        <v>19</v>
      </c>
    </row>
    <row r="1967" spans="1:21" ht="15" customHeight="1" x14ac:dyDescent="0.25">
      <c r="A1967" t="s">
        <v>19</v>
      </c>
      <c r="B1967" t="s">
        <v>20</v>
      </c>
      <c r="C1967" t="s">
        <v>320</v>
      </c>
      <c r="D1967">
        <v>3</v>
      </c>
      <c r="E1967" t="s">
        <v>158</v>
      </c>
      <c r="F1967" t="s">
        <v>388</v>
      </c>
      <c r="G1967">
        <v>15</v>
      </c>
      <c r="H1967">
        <v>30</v>
      </c>
      <c r="I1967">
        <f>100-J1967</f>
        <v>45</v>
      </c>
      <c r="J1967">
        <f>100-G1967-H1967</f>
        <v>55</v>
      </c>
      <c r="K1967" t="s">
        <v>19</v>
      </c>
      <c r="L1967" t="s">
        <v>19</v>
      </c>
      <c r="M1967" t="s">
        <v>19</v>
      </c>
      <c r="N1967" t="s">
        <v>19</v>
      </c>
      <c r="O1967" t="s">
        <v>19</v>
      </c>
      <c r="P1967" t="s">
        <v>19</v>
      </c>
      <c r="Q1967">
        <f>I1967</f>
        <v>45</v>
      </c>
      <c r="R1967" t="s">
        <v>19</v>
      </c>
      <c r="S1967" t="s">
        <v>19</v>
      </c>
      <c r="T1967" t="s">
        <v>19</v>
      </c>
    </row>
    <row r="1968" spans="1:21" ht="15" customHeight="1" x14ac:dyDescent="0.25">
      <c r="A1968" s="2">
        <v>45323.625092592592</v>
      </c>
      <c r="B1968" t="s">
        <v>309</v>
      </c>
      <c r="C1968" t="s">
        <v>322</v>
      </c>
      <c r="D1968">
        <v>3</v>
      </c>
      <c r="E1968" t="s">
        <v>158</v>
      </c>
      <c r="F1968" t="s">
        <v>388</v>
      </c>
      <c r="G1968">
        <f>(O1968/(N1968+O1968+P1968))*100</f>
        <v>23.679417122040071</v>
      </c>
      <c r="H1968">
        <f>(P1968/(O1968+P1968+N1968))*100</f>
        <v>17.850637522768668</v>
      </c>
      <c r="I1968">
        <v>41.53</v>
      </c>
      <c r="J1968">
        <f>(N1968/(P1968+O1968+N1968))*100</f>
        <v>58.469945355191257</v>
      </c>
      <c r="K1968">
        <v>0.8</v>
      </c>
      <c r="L1968">
        <v>0.3</v>
      </c>
      <c r="M1968">
        <v>0.7</v>
      </c>
      <c r="N1968">
        <v>321</v>
      </c>
      <c r="O1968">
        <v>130</v>
      </c>
      <c r="P1968">
        <v>98</v>
      </c>
      <c r="Q1968">
        <v>41.53</v>
      </c>
      <c r="R1968" t="s">
        <v>353</v>
      </c>
      <c r="S1968">
        <v>2.4</v>
      </c>
      <c r="T1968">
        <v>3.94</v>
      </c>
      <c r="U1968">
        <v>185</v>
      </c>
    </row>
    <row r="1969" spans="1:21" ht="15" customHeight="1" x14ac:dyDescent="0.25">
      <c r="A1969" s="2">
        <v>45323.621469907404</v>
      </c>
      <c r="B1969" t="s">
        <v>309</v>
      </c>
      <c r="C1969" t="s">
        <v>322</v>
      </c>
      <c r="D1969">
        <v>3</v>
      </c>
      <c r="E1969" t="s">
        <v>158</v>
      </c>
      <c r="F1969" t="s">
        <v>388</v>
      </c>
      <c r="G1969">
        <f>(O1969/(N1969+O1969+P1969))*100</f>
        <v>29.933110367892979</v>
      </c>
      <c r="H1969">
        <f>(P1969/(O1969+P1969+N1969))*100</f>
        <v>18.729096989966553</v>
      </c>
      <c r="I1969">
        <v>48.66</v>
      </c>
      <c r="J1969">
        <f>(N1969/(P1969+O1969+N1969))*100</f>
        <v>51.337792642140471</v>
      </c>
      <c r="K1969">
        <v>0.7</v>
      </c>
      <c r="L1969">
        <v>0.3</v>
      </c>
      <c r="M1969">
        <v>0.7</v>
      </c>
      <c r="N1969">
        <v>307</v>
      </c>
      <c r="O1969">
        <v>179</v>
      </c>
      <c r="P1969">
        <v>112</v>
      </c>
      <c r="Q1969">
        <v>48.66</v>
      </c>
      <c r="R1969" t="s">
        <v>230</v>
      </c>
      <c r="S1969">
        <v>2.4</v>
      </c>
      <c r="T1969">
        <v>3.94</v>
      </c>
      <c r="U1969">
        <v>136</v>
      </c>
    </row>
    <row r="1970" spans="1:21" ht="15" customHeight="1" x14ac:dyDescent="0.25">
      <c r="A1970" s="2">
        <v>45325.039143518516</v>
      </c>
      <c r="B1970" t="s">
        <v>309</v>
      </c>
      <c r="C1970" t="s">
        <v>368</v>
      </c>
      <c r="D1970">
        <v>2</v>
      </c>
      <c r="E1970" t="s">
        <v>158</v>
      </c>
      <c r="F1970" t="s">
        <v>388</v>
      </c>
      <c r="G1970">
        <f>(O1970/(N1970+O1970+P1970))*100</f>
        <v>62.698412698412696</v>
      </c>
      <c r="H1970">
        <f>(P1970/(O1970+P1970+N1970))*100</f>
        <v>0</v>
      </c>
      <c r="I1970">
        <v>62.7</v>
      </c>
      <c r="J1970">
        <f>(N1970/(P1970+O1970+N1970))*100</f>
        <v>37.301587301587304</v>
      </c>
      <c r="K1970">
        <v>0.8</v>
      </c>
      <c r="L1970">
        <v>0.3</v>
      </c>
      <c r="M1970">
        <v>0.7</v>
      </c>
      <c r="N1970">
        <v>235</v>
      </c>
      <c r="O1970">
        <v>395</v>
      </c>
      <c r="P1970">
        <v>0</v>
      </c>
      <c r="Q1970">
        <v>62.7</v>
      </c>
      <c r="R1970" t="s">
        <v>240</v>
      </c>
      <c r="S1970">
        <v>1.52</v>
      </c>
      <c r="T1970">
        <v>1.73</v>
      </c>
    </row>
    <row r="1971" spans="1:21" ht="15" customHeight="1" x14ac:dyDescent="0.25">
      <c r="A1971" t="s">
        <v>19</v>
      </c>
      <c r="B1971" t="s">
        <v>20</v>
      </c>
      <c r="C1971" t="s">
        <v>308</v>
      </c>
      <c r="D1971">
        <v>3</v>
      </c>
      <c r="E1971" t="s">
        <v>159</v>
      </c>
      <c r="F1971" t="s">
        <v>388</v>
      </c>
      <c r="G1971">
        <v>10</v>
      </c>
      <c r="H1971">
        <v>85</v>
      </c>
      <c r="I1971">
        <f>G1971+H1971</f>
        <v>95</v>
      </c>
      <c r="J1971">
        <f>100-G1971-H1971</f>
        <v>5</v>
      </c>
      <c r="K1971" t="s">
        <v>19</v>
      </c>
      <c r="L1971" t="s">
        <v>19</v>
      </c>
      <c r="M1971" t="s">
        <v>19</v>
      </c>
      <c r="N1971" t="s">
        <v>19</v>
      </c>
      <c r="O1971" t="s">
        <v>19</v>
      </c>
      <c r="P1971" t="s">
        <v>19</v>
      </c>
      <c r="Q1971">
        <f>I1971</f>
        <v>95</v>
      </c>
      <c r="R1971" t="s">
        <v>19</v>
      </c>
      <c r="S1971" t="s">
        <v>19</v>
      </c>
      <c r="T1971" t="s">
        <v>19</v>
      </c>
    </row>
    <row r="1972" spans="1:21" ht="15" customHeight="1" x14ac:dyDescent="0.25">
      <c r="A1972" t="s">
        <v>19</v>
      </c>
      <c r="B1972" t="s">
        <v>20</v>
      </c>
      <c r="C1972" t="s">
        <v>22</v>
      </c>
      <c r="D1972">
        <v>3</v>
      </c>
      <c r="E1972" t="s">
        <v>159</v>
      </c>
      <c r="F1972" t="s">
        <v>388</v>
      </c>
      <c r="G1972">
        <v>15</v>
      </c>
      <c r="H1972">
        <v>80</v>
      </c>
      <c r="I1972">
        <f>G1972+H1972</f>
        <v>95</v>
      </c>
      <c r="J1972">
        <f>100-G1972-H1972</f>
        <v>5</v>
      </c>
      <c r="K1972" t="s">
        <v>19</v>
      </c>
      <c r="L1972" t="s">
        <v>19</v>
      </c>
      <c r="M1972" t="s">
        <v>19</v>
      </c>
      <c r="N1972" t="s">
        <v>19</v>
      </c>
      <c r="O1972" t="s">
        <v>19</v>
      </c>
      <c r="P1972" t="s">
        <v>19</v>
      </c>
      <c r="Q1972">
        <f>I1972</f>
        <v>95</v>
      </c>
      <c r="R1972" t="s">
        <v>19</v>
      </c>
      <c r="S1972" t="s">
        <v>19</v>
      </c>
      <c r="T1972" t="s">
        <v>19</v>
      </c>
    </row>
    <row r="1973" spans="1:21" ht="15" customHeight="1" x14ac:dyDescent="0.25">
      <c r="A1973" t="s">
        <v>19</v>
      </c>
      <c r="B1973" t="s">
        <v>20</v>
      </c>
      <c r="C1973" t="s">
        <v>305</v>
      </c>
      <c r="D1973">
        <v>3</v>
      </c>
      <c r="E1973" t="s">
        <v>159</v>
      </c>
      <c r="F1973" t="s">
        <v>388</v>
      </c>
      <c r="G1973">
        <v>50</v>
      </c>
      <c r="H1973">
        <v>42</v>
      </c>
      <c r="I1973">
        <f>G1973+H1973</f>
        <v>92</v>
      </c>
      <c r="J1973">
        <f>100-G1973-H1973</f>
        <v>8</v>
      </c>
      <c r="K1973" t="s">
        <v>19</v>
      </c>
      <c r="L1973" t="s">
        <v>19</v>
      </c>
      <c r="M1973" t="s">
        <v>19</v>
      </c>
      <c r="N1973" t="s">
        <v>19</v>
      </c>
      <c r="O1973" t="s">
        <v>19</v>
      </c>
      <c r="P1973" t="s">
        <v>19</v>
      </c>
      <c r="Q1973">
        <f>I1973</f>
        <v>92</v>
      </c>
      <c r="R1973" t="s">
        <v>19</v>
      </c>
      <c r="S1973" t="s">
        <v>19</v>
      </c>
      <c r="T1973" t="s">
        <v>19</v>
      </c>
    </row>
    <row r="1974" spans="1:21" ht="15" customHeight="1" x14ac:dyDescent="0.25">
      <c r="A1974" t="s">
        <v>19</v>
      </c>
      <c r="B1974" t="s">
        <v>20</v>
      </c>
      <c r="C1974" t="s">
        <v>307</v>
      </c>
      <c r="D1974">
        <v>3</v>
      </c>
      <c r="E1974" t="s">
        <v>159</v>
      </c>
      <c r="F1974" t="s">
        <v>388</v>
      </c>
      <c r="G1974">
        <v>60</v>
      </c>
      <c r="H1974">
        <v>30</v>
      </c>
      <c r="I1974">
        <f>G1974+H1974</f>
        <v>90</v>
      </c>
      <c r="J1974">
        <f>100-G1974-H1974</f>
        <v>10</v>
      </c>
      <c r="K1974" t="s">
        <v>19</v>
      </c>
      <c r="L1974" t="s">
        <v>19</v>
      </c>
      <c r="M1974" t="s">
        <v>19</v>
      </c>
      <c r="N1974" t="s">
        <v>19</v>
      </c>
      <c r="O1974" t="s">
        <v>19</v>
      </c>
      <c r="P1974" t="s">
        <v>19</v>
      </c>
      <c r="Q1974">
        <f>I1974</f>
        <v>90</v>
      </c>
      <c r="R1974" t="s">
        <v>19</v>
      </c>
      <c r="S1974" t="s">
        <v>19</v>
      </c>
      <c r="T1974" t="s">
        <v>19</v>
      </c>
    </row>
    <row r="1975" spans="1:21" ht="15" customHeight="1" x14ac:dyDescent="0.25">
      <c r="A1975" s="2">
        <v>45253.614583333336</v>
      </c>
      <c r="B1975" t="s">
        <v>309</v>
      </c>
      <c r="C1975" t="s">
        <v>213</v>
      </c>
      <c r="D1975">
        <v>3</v>
      </c>
      <c r="E1975" t="s">
        <v>159</v>
      </c>
      <c r="F1975" t="s">
        <v>388</v>
      </c>
      <c r="G1975">
        <v>0</v>
      </c>
      <c r="H1975">
        <v>85.528455280000003</v>
      </c>
      <c r="I1975">
        <v>85.528455280000003</v>
      </c>
      <c r="J1975">
        <v>14.471544720000001</v>
      </c>
      <c r="K1975">
        <v>0.8</v>
      </c>
      <c r="L1975">
        <v>0.2</v>
      </c>
      <c r="M1975">
        <v>0.7</v>
      </c>
      <c r="N1975">
        <v>89</v>
      </c>
      <c r="O1975">
        <v>0</v>
      </c>
      <c r="P1975">
        <v>526</v>
      </c>
      <c r="Q1975">
        <v>85.53</v>
      </c>
      <c r="R1975" t="s">
        <v>255</v>
      </c>
      <c r="S1975">
        <v>2.71</v>
      </c>
      <c r="T1975">
        <v>3.33</v>
      </c>
    </row>
    <row r="1976" spans="1:21" ht="15" customHeight="1" x14ac:dyDescent="0.25">
      <c r="A1976" s="2">
        <v>45253.873611111114</v>
      </c>
      <c r="B1976" t="s">
        <v>309</v>
      </c>
      <c r="C1976" t="s">
        <v>215</v>
      </c>
      <c r="D1976">
        <v>2</v>
      </c>
      <c r="E1976" t="s">
        <v>159</v>
      </c>
      <c r="F1976" t="s">
        <v>388</v>
      </c>
      <c r="G1976">
        <v>27.3344652</v>
      </c>
      <c r="H1976">
        <v>0</v>
      </c>
      <c r="I1976">
        <v>27.3344652</v>
      </c>
      <c r="J1976">
        <v>72.665534800000003</v>
      </c>
      <c r="K1976">
        <v>0.8</v>
      </c>
      <c r="L1976">
        <v>0.2</v>
      </c>
      <c r="M1976">
        <v>0.7</v>
      </c>
      <c r="N1976">
        <v>428</v>
      </c>
      <c r="O1976">
        <v>161</v>
      </c>
      <c r="P1976">
        <v>0</v>
      </c>
      <c r="Q1976">
        <v>27.33</v>
      </c>
      <c r="R1976" t="s">
        <v>226</v>
      </c>
      <c r="S1976">
        <v>0.81</v>
      </c>
      <c r="T1976">
        <v>0.9</v>
      </c>
    </row>
    <row r="1977" spans="1:21" ht="15" customHeight="1" x14ac:dyDescent="0.25">
      <c r="A1977" s="2">
        <v>45254.043749999997</v>
      </c>
      <c r="B1977" t="s">
        <v>309</v>
      </c>
      <c r="C1977" t="s">
        <v>217</v>
      </c>
      <c r="D1977">
        <v>2</v>
      </c>
      <c r="E1977" t="s">
        <v>159</v>
      </c>
      <c r="F1977" t="s">
        <v>388</v>
      </c>
      <c r="G1977">
        <v>36.229508199999998</v>
      </c>
      <c r="H1977">
        <v>0</v>
      </c>
      <c r="I1977">
        <v>36.229508199999998</v>
      </c>
      <c r="J1977">
        <v>63.770491800000002</v>
      </c>
      <c r="K1977">
        <v>0.8</v>
      </c>
      <c r="L1977">
        <v>0.2</v>
      </c>
      <c r="M1977">
        <v>0.7</v>
      </c>
      <c r="N1977">
        <v>389</v>
      </c>
      <c r="O1977">
        <v>221</v>
      </c>
      <c r="P1977">
        <v>0</v>
      </c>
      <c r="Q1977">
        <v>36.229999999999997</v>
      </c>
      <c r="R1977" t="s">
        <v>254</v>
      </c>
      <c r="S1977">
        <v>1.07</v>
      </c>
      <c r="T1977">
        <v>1.2</v>
      </c>
    </row>
    <row r="1978" spans="1:21" ht="15" customHeight="1" x14ac:dyDescent="0.25">
      <c r="A1978" s="2">
        <v>45316.553472222222</v>
      </c>
      <c r="B1978" t="s">
        <v>309</v>
      </c>
      <c r="C1978" t="s">
        <v>219</v>
      </c>
      <c r="D1978">
        <v>3</v>
      </c>
      <c r="E1978" t="s">
        <v>159</v>
      </c>
      <c r="F1978" t="s">
        <v>388</v>
      </c>
      <c r="G1978">
        <v>0</v>
      </c>
      <c r="H1978">
        <v>79.47826087</v>
      </c>
      <c r="I1978">
        <v>79.47826087</v>
      </c>
      <c r="J1978">
        <v>20.52173913</v>
      </c>
      <c r="K1978">
        <v>0.8</v>
      </c>
      <c r="L1978">
        <v>0.2</v>
      </c>
      <c r="M1978">
        <v>0.7</v>
      </c>
      <c r="N1978">
        <v>118</v>
      </c>
      <c r="O1978">
        <v>0</v>
      </c>
      <c r="P1978">
        <v>457</v>
      </c>
      <c r="Q1978">
        <v>79.48</v>
      </c>
      <c r="R1978" t="s">
        <v>225</v>
      </c>
      <c r="S1978">
        <v>3.04</v>
      </c>
      <c r="T1978">
        <v>4.7</v>
      </c>
    </row>
    <row r="1979" spans="1:21" ht="15" customHeight="1" x14ac:dyDescent="0.25">
      <c r="A1979" s="2">
        <v>45320.896527777775</v>
      </c>
      <c r="B1979" t="s">
        <v>309</v>
      </c>
      <c r="C1979" t="s">
        <v>221</v>
      </c>
      <c r="D1979">
        <v>2</v>
      </c>
      <c r="E1979" t="s">
        <v>159</v>
      </c>
      <c r="F1979" t="s">
        <v>388</v>
      </c>
      <c r="G1979">
        <v>98.85386819</v>
      </c>
      <c r="H1979">
        <v>0</v>
      </c>
      <c r="I1979">
        <v>98.85386819</v>
      </c>
      <c r="J1979">
        <v>1.146131805</v>
      </c>
      <c r="K1979">
        <v>0.8</v>
      </c>
      <c r="L1979">
        <v>0.3</v>
      </c>
      <c r="M1979">
        <v>0.7</v>
      </c>
      <c r="N1979">
        <v>8</v>
      </c>
      <c r="O1979">
        <v>690</v>
      </c>
      <c r="P1979">
        <v>0</v>
      </c>
      <c r="Q1979">
        <v>98.85</v>
      </c>
      <c r="R1979" t="s">
        <v>297</v>
      </c>
      <c r="S1979">
        <v>2.54</v>
      </c>
      <c r="T1979">
        <v>2.72</v>
      </c>
    </row>
    <row r="1980" spans="1:21" ht="15" customHeight="1" x14ac:dyDescent="0.25">
      <c r="A1980" t="s">
        <v>19</v>
      </c>
      <c r="B1980" t="s">
        <v>20</v>
      </c>
      <c r="C1980" t="s">
        <v>306</v>
      </c>
      <c r="D1980">
        <v>3</v>
      </c>
      <c r="E1980" t="s">
        <v>159</v>
      </c>
      <c r="F1980" t="s">
        <v>388</v>
      </c>
      <c r="G1980">
        <v>50</v>
      </c>
      <c r="H1980">
        <v>50</v>
      </c>
      <c r="I1980">
        <f>G1980+H1980</f>
        <v>100</v>
      </c>
      <c r="J1980">
        <f>100-G1980-H1980</f>
        <v>0</v>
      </c>
      <c r="K1980" t="s">
        <v>19</v>
      </c>
      <c r="L1980" t="s">
        <v>19</v>
      </c>
      <c r="M1980" t="s">
        <v>19</v>
      </c>
      <c r="N1980" t="s">
        <v>19</v>
      </c>
      <c r="O1980" t="s">
        <v>19</v>
      </c>
      <c r="P1980" t="s">
        <v>19</v>
      </c>
      <c r="Q1980">
        <f>I1980</f>
        <v>100</v>
      </c>
      <c r="R1980" t="s">
        <v>19</v>
      </c>
      <c r="S1980" t="s">
        <v>19</v>
      </c>
      <c r="T1980" t="s">
        <v>19</v>
      </c>
    </row>
    <row r="1981" spans="1:21" ht="15" customHeight="1" x14ac:dyDescent="0.25">
      <c r="A1981" t="s">
        <v>19</v>
      </c>
      <c r="B1981" t="s">
        <v>20</v>
      </c>
      <c r="C1981" t="s">
        <v>320</v>
      </c>
      <c r="D1981">
        <v>3</v>
      </c>
      <c r="E1981" t="s">
        <v>159</v>
      </c>
      <c r="F1981" t="s">
        <v>388</v>
      </c>
      <c r="G1981">
        <v>5</v>
      </c>
      <c r="H1981">
        <v>90</v>
      </c>
      <c r="I1981">
        <f>100-J1981</f>
        <v>95</v>
      </c>
      <c r="J1981">
        <f>100-G1981-H1981</f>
        <v>5</v>
      </c>
      <c r="K1981" t="s">
        <v>19</v>
      </c>
      <c r="L1981" t="s">
        <v>19</v>
      </c>
      <c r="M1981" t="s">
        <v>19</v>
      </c>
      <c r="N1981" t="s">
        <v>19</v>
      </c>
      <c r="O1981" t="s">
        <v>19</v>
      </c>
      <c r="P1981" t="s">
        <v>19</v>
      </c>
      <c r="Q1981">
        <f>I1981</f>
        <v>95</v>
      </c>
      <c r="R1981" t="s">
        <v>19</v>
      </c>
      <c r="S1981" t="s">
        <v>19</v>
      </c>
      <c r="T1981" t="s">
        <v>19</v>
      </c>
    </row>
    <row r="1982" spans="1:21" ht="15" customHeight="1" x14ac:dyDescent="0.25">
      <c r="A1982" s="2">
        <v>45323.626863425925</v>
      </c>
      <c r="B1982" t="s">
        <v>309</v>
      </c>
      <c r="C1982" t="s">
        <v>322</v>
      </c>
      <c r="D1982">
        <v>3</v>
      </c>
      <c r="E1982" t="s">
        <v>159</v>
      </c>
      <c r="F1982" t="s">
        <v>388</v>
      </c>
      <c r="G1982">
        <f>(O1982/(N1982+O1982+P1982))*100</f>
        <v>27.777777777777779</v>
      </c>
      <c r="H1982">
        <f>(P1982/(O1982+P1982+N1982))*100</f>
        <v>52.777777777777779</v>
      </c>
      <c r="I1982">
        <v>80.56</v>
      </c>
      <c r="J1982">
        <f>(N1982/(P1982+O1982+N1982))*100</f>
        <v>19.444444444444446</v>
      </c>
      <c r="K1982">
        <v>0.8</v>
      </c>
      <c r="L1982">
        <v>0.3</v>
      </c>
      <c r="M1982">
        <v>0.7</v>
      </c>
      <c r="N1982">
        <v>91</v>
      </c>
      <c r="O1982">
        <v>130</v>
      </c>
      <c r="P1982">
        <v>247</v>
      </c>
      <c r="Q1982">
        <v>80.56</v>
      </c>
      <c r="R1982" t="s">
        <v>358</v>
      </c>
      <c r="S1982">
        <v>2.57</v>
      </c>
      <c r="T1982">
        <v>4.1399999999999997</v>
      </c>
      <c r="U1982">
        <v>250</v>
      </c>
    </row>
    <row r="1983" spans="1:21" ht="15" customHeight="1" x14ac:dyDescent="0.25">
      <c r="A1983" s="2">
        <v>45323.623124999998</v>
      </c>
      <c r="B1983" t="s">
        <v>309</v>
      </c>
      <c r="C1983" t="s">
        <v>322</v>
      </c>
      <c r="D1983">
        <v>3</v>
      </c>
      <c r="E1983" t="s">
        <v>159</v>
      </c>
      <c r="F1983" t="s">
        <v>388</v>
      </c>
      <c r="G1983">
        <f>(O1983/(N1983+O1983+P1983))*100</f>
        <v>35.863377609108163</v>
      </c>
      <c r="H1983">
        <f>(P1983/(O1983+P1983+N1983))*100</f>
        <v>52.751423149905122</v>
      </c>
      <c r="I1983">
        <v>88.61</v>
      </c>
      <c r="J1983">
        <f>(N1983/(P1983+O1983+N1983))*100</f>
        <v>11.385199240986717</v>
      </c>
      <c r="K1983">
        <v>0.7</v>
      </c>
      <c r="L1983">
        <v>0.3</v>
      </c>
      <c r="M1983">
        <v>0.7</v>
      </c>
      <c r="N1983">
        <v>60</v>
      </c>
      <c r="O1983">
        <v>189</v>
      </c>
      <c r="P1983">
        <v>278</v>
      </c>
      <c r="Q1983">
        <v>88.61</v>
      </c>
      <c r="R1983" t="s">
        <v>296</v>
      </c>
      <c r="S1983">
        <v>2.57</v>
      </c>
      <c r="T1983">
        <v>4.1399999999999997</v>
      </c>
      <c r="U1983">
        <v>191</v>
      </c>
    </row>
    <row r="1984" spans="1:21" ht="15" customHeight="1" x14ac:dyDescent="0.25">
      <c r="A1984" s="2">
        <v>45325.040648148148</v>
      </c>
      <c r="B1984" t="s">
        <v>309</v>
      </c>
      <c r="C1984" t="s">
        <v>368</v>
      </c>
      <c r="D1984">
        <v>2</v>
      </c>
      <c r="E1984" t="s">
        <v>159</v>
      </c>
      <c r="F1984" t="s">
        <v>388</v>
      </c>
      <c r="G1984">
        <f>(O1984/(N1984+O1984+P1984))*100</f>
        <v>98.569384835479255</v>
      </c>
      <c r="H1984">
        <f>(P1984/(O1984+P1984+N1984))*100</f>
        <v>0</v>
      </c>
      <c r="I1984">
        <v>98.57</v>
      </c>
      <c r="J1984">
        <f>(N1984/(P1984+O1984+N1984))*100</f>
        <v>1.4306151645207439</v>
      </c>
      <c r="K1984">
        <v>0.8</v>
      </c>
      <c r="L1984">
        <v>0.3</v>
      </c>
      <c r="M1984">
        <v>0.7</v>
      </c>
      <c r="N1984">
        <v>10</v>
      </c>
      <c r="O1984">
        <v>689</v>
      </c>
      <c r="P1984">
        <v>0</v>
      </c>
      <c r="Q1984">
        <v>98.57</v>
      </c>
      <c r="R1984" t="s">
        <v>296</v>
      </c>
      <c r="S1984">
        <v>2.4900000000000002</v>
      </c>
      <c r="T1984">
        <v>2.75</v>
      </c>
    </row>
    <row r="1985" spans="1:21" ht="15" customHeight="1" x14ac:dyDescent="0.25">
      <c r="A1985" t="s">
        <v>19</v>
      </c>
      <c r="B1985" t="s">
        <v>20</v>
      </c>
      <c r="C1985" t="s">
        <v>308</v>
      </c>
      <c r="D1985">
        <v>3</v>
      </c>
      <c r="E1985" t="s">
        <v>160</v>
      </c>
      <c r="F1985" t="s">
        <v>388</v>
      </c>
      <c r="G1985">
        <v>1</v>
      </c>
      <c r="H1985">
        <v>2</v>
      </c>
      <c r="I1985">
        <f>G1985+H1985</f>
        <v>3</v>
      </c>
      <c r="J1985">
        <f>100-G1985-H1985</f>
        <v>97</v>
      </c>
      <c r="K1985" t="s">
        <v>19</v>
      </c>
      <c r="L1985" t="s">
        <v>19</v>
      </c>
      <c r="M1985" t="s">
        <v>19</v>
      </c>
      <c r="N1985" t="s">
        <v>19</v>
      </c>
      <c r="O1985" t="s">
        <v>19</v>
      </c>
      <c r="P1985" t="s">
        <v>19</v>
      </c>
      <c r="Q1985">
        <f>I1985</f>
        <v>3</v>
      </c>
      <c r="R1985" t="s">
        <v>19</v>
      </c>
      <c r="S1985" t="s">
        <v>19</v>
      </c>
      <c r="T1985" t="s">
        <v>19</v>
      </c>
    </row>
    <row r="1986" spans="1:21" ht="15" customHeight="1" x14ac:dyDescent="0.25">
      <c r="A1986" t="s">
        <v>19</v>
      </c>
      <c r="B1986" t="s">
        <v>20</v>
      </c>
      <c r="C1986" t="s">
        <v>22</v>
      </c>
      <c r="D1986">
        <v>3</v>
      </c>
      <c r="E1986" t="s">
        <v>160</v>
      </c>
      <c r="F1986" t="s">
        <v>388</v>
      </c>
      <c r="G1986">
        <v>5</v>
      </c>
      <c r="H1986">
        <v>0</v>
      </c>
      <c r="I1986">
        <f>G1986+H1986</f>
        <v>5</v>
      </c>
      <c r="J1986">
        <f>100-G1986-H1986</f>
        <v>95</v>
      </c>
      <c r="K1986" t="s">
        <v>19</v>
      </c>
      <c r="L1986" t="s">
        <v>19</v>
      </c>
      <c r="M1986" t="s">
        <v>19</v>
      </c>
      <c r="N1986" t="s">
        <v>19</v>
      </c>
      <c r="O1986" t="s">
        <v>19</v>
      </c>
      <c r="P1986" t="s">
        <v>19</v>
      </c>
      <c r="Q1986">
        <f>I1986</f>
        <v>5</v>
      </c>
      <c r="R1986" t="s">
        <v>19</v>
      </c>
      <c r="S1986" t="s">
        <v>19</v>
      </c>
      <c r="T1986" t="s">
        <v>19</v>
      </c>
    </row>
    <row r="1987" spans="1:21" ht="15" customHeight="1" x14ac:dyDescent="0.25">
      <c r="A1987" t="s">
        <v>19</v>
      </c>
      <c r="B1987" t="s">
        <v>20</v>
      </c>
      <c r="C1987" t="s">
        <v>305</v>
      </c>
      <c r="D1987">
        <v>3</v>
      </c>
      <c r="E1987" t="s">
        <v>160</v>
      </c>
      <c r="F1987" t="s">
        <v>388</v>
      </c>
      <c r="G1987">
        <v>5</v>
      </c>
      <c r="H1987">
        <v>0</v>
      </c>
      <c r="I1987">
        <f>G1987+H1987</f>
        <v>5</v>
      </c>
      <c r="J1987">
        <f>100-G1987-H1987</f>
        <v>95</v>
      </c>
      <c r="K1987" t="s">
        <v>19</v>
      </c>
      <c r="L1987" t="s">
        <v>19</v>
      </c>
      <c r="M1987" t="s">
        <v>19</v>
      </c>
      <c r="N1987" t="s">
        <v>19</v>
      </c>
      <c r="O1987" t="s">
        <v>19</v>
      </c>
      <c r="P1987" t="s">
        <v>19</v>
      </c>
      <c r="Q1987">
        <f>I1987</f>
        <v>5</v>
      </c>
      <c r="R1987" t="s">
        <v>19</v>
      </c>
      <c r="S1987" t="s">
        <v>19</v>
      </c>
      <c r="T1987" t="s">
        <v>19</v>
      </c>
    </row>
    <row r="1988" spans="1:21" ht="15" customHeight="1" x14ac:dyDescent="0.25">
      <c r="A1988" t="s">
        <v>19</v>
      </c>
      <c r="B1988" t="s">
        <v>20</v>
      </c>
      <c r="C1988" t="s">
        <v>307</v>
      </c>
      <c r="D1988">
        <v>3</v>
      </c>
      <c r="E1988" t="s">
        <v>160</v>
      </c>
      <c r="F1988" t="s">
        <v>388</v>
      </c>
      <c r="G1988">
        <v>1</v>
      </c>
      <c r="H1988">
        <v>0</v>
      </c>
      <c r="I1988">
        <f>G1988+H1988</f>
        <v>1</v>
      </c>
      <c r="J1988">
        <f>100-G1988-H1988</f>
        <v>99</v>
      </c>
      <c r="K1988" t="s">
        <v>19</v>
      </c>
      <c r="L1988" t="s">
        <v>19</v>
      </c>
      <c r="M1988" t="s">
        <v>19</v>
      </c>
      <c r="N1988" t="s">
        <v>19</v>
      </c>
      <c r="O1988" t="s">
        <v>19</v>
      </c>
      <c r="P1988" t="s">
        <v>19</v>
      </c>
      <c r="Q1988">
        <f>I1988</f>
        <v>1</v>
      </c>
      <c r="R1988" t="s">
        <v>19</v>
      </c>
      <c r="S1988" t="s">
        <v>19</v>
      </c>
      <c r="T1988" t="s">
        <v>19</v>
      </c>
    </row>
    <row r="1989" spans="1:21" ht="15" customHeight="1" x14ac:dyDescent="0.25">
      <c r="A1989" s="2">
        <v>45253.615972222222</v>
      </c>
      <c r="B1989" t="s">
        <v>309</v>
      </c>
      <c r="C1989" t="s">
        <v>213</v>
      </c>
      <c r="D1989">
        <v>3</v>
      </c>
      <c r="E1989" t="s">
        <v>160</v>
      </c>
      <c r="F1989" t="s">
        <v>388</v>
      </c>
      <c r="G1989">
        <v>1.1647254579999999</v>
      </c>
      <c r="H1989">
        <v>0.83194675500000004</v>
      </c>
      <c r="I1989">
        <v>1.9966722130000001</v>
      </c>
      <c r="J1989">
        <v>98.00332779</v>
      </c>
      <c r="K1989">
        <v>0.8</v>
      </c>
      <c r="L1989">
        <v>0.2</v>
      </c>
      <c r="M1989">
        <v>0.7</v>
      </c>
      <c r="N1989">
        <v>589</v>
      </c>
      <c r="O1989">
        <v>7</v>
      </c>
      <c r="P1989">
        <v>5</v>
      </c>
      <c r="Q1989">
        <v>2</v>
      </c>
      <c r="R1989" t="s">
        <v>284</v>
      </c>
      <c r="S1989">
        <v>2.83</v>
      </c>
      <c r="T1989">
        <v>3.32</v>
      </c>
    </row>
    <row r="1990" spans="1:21" ht="15" customHeight="1" x14ac:dyDescent="0.25">
      <c r="A1990" s="2">
        <v>45253.874305555553</v>
      </c>
      <c r="B1990" t="s">
        <v>309</v>
      </c>
      <c r="C1990" t="s">
        <v>215</v>
      </c>
      <c r="D1990">
        <v>2</v>
      </c>
      <c r="E1990" t="s">
        <v>160</v>
      </c>
      <c r="F1990" t="s">
        <v>388</v>
      </c>
      <c r="G1990">
        <v>2.7960526319999999</v>
      </c>
      <c r="H1990">
        <v>0</v>
      </c>
      <c r="I1990">
        <v>2.7960526319999999</v>
      </c>
      <c r="J1990">
        <v>97.203947369999995</v>
      </c>
      <c r="K1990">
        <v>0.8</v>
      </c>
      <c r="L1990">
        <v>0.2</v>
      </c>
      <c r="M1990">
        <v>0.7</v>
      </c>
      <c r="N1990">
        <v>591</v>
      </c>
      <c r="O1990">
        <v>17</v>
      </c>
      <c r="P1990">
        <v>0</v>
      </c>
      <c r="Q1990">
        <v>2.8</v>
      </c>
      <c r="R1990" t="s">
        <v>257</v>
      </c>
      <c r="S1990">
        <v>0.09</v>
      </c>
      <c r="T1990">
        <v>0.1</v>
      </c>
    </row>
    <row r="1991" spans="1:21" ht="15" customHeight="1" x14ac:dyDescent="0.25">
      <c r="A1991" s="2">
        <v>45254.044444444444</v>
      </c>
      <c r="B1991" t="s">
        <v>309</v>
      </c>
      <c r="C1991" t="s">
        <v>217</v>
      </c>
      <c r="D1991">
        <v>2</v>
      </c>
      <c r="E1991" t="s">
        <v>160</v>
      </c>
      <c r="F1991" t="s">
        <v>388</v>
      </c>
      <c r="G1991">
        <v>7.4</v>
      </c>
      <c r="H1991">
        <v>0</v>
      </c>
      <c r="I1991">
        <v>7.4</v>
      </c>
      <c r="J1991">
        <v>92.6</v>
      </c>
      <c r="K1991">
        <v>0.8</v>
      </c>
      <c r="L1991">
        <v>0.2</v>
      </c>
      <c r="M1991">
        <v>0.7</v>
      </c>
      <c r="N1991">
        <v>463</v>
      </c>
      <c r="O1991">
        <v>37</v>
      </c>
      <c r="P1991">
        <v>0</v>
      </c>
      <c r="Q1991">
        <v>7.4</v>
      </c>
      <c r="R1991" t="s">
        <v>231</v>
      </c>
      <c r="S1991">
        <v>0.25</v>
      </c>
      <c r="T1991">
        <v>0.26</v>
      </c>
    </row>
    <row r="1992" spans="1:21" ht="15" customHeight="1" x14ac:dyDescent="0.25">
      <c r="A1992" s="2">
        <v>45316.554166666669</v>
      </c>
      <c r="B1992" t="s">
        <v>309</v>
      </c>
      <c r="C1992" t="s">
        <v>219</v>
      </c>
      <c r="D1992">
        <v>3</v>
      </c>
      <c r="E1992" t="s">
        <v>160</v>
      </c>
      <c r="F1992" t="s">
        <v>388</v>
      </c>
      <c r="G1992">
        <v>0.57251908399999996</v>
      </c>
      <c r="H1992">
        <v>1.526717557</v>
      </c>
      <c r="I1992">
        <v>2.0992366410000001</v>
      </c>
      <c r="J1992">
        <v>97.900763359999999</v>
      </c>
      <c r="K1992">
        <v>0.8</v>
      </c>
      <c r="L1992">
        <v>0.2</v>
      </c>
      <c r="M1992">
        <v>0.7</v>
      </c>
      <c r="N1992">
        <v>513</v>
      </c>
      <c r="O1992">
        <v>3</v>
      </c>
      <c r="P1992">
        <v>8</v>
      </c>
      <c r="Q1992">
        <v>2.1</v>
      </c>
      <c r="R1992" t="s">
        <v>290</v>
      </c>
      <c r="S1992">
        <v>3.2</v>
      </c>
      <c r="T1992">
        <v>4.53</v>
      </c>
    </row>
    <row r="1993" spans="1:21" ht="15" customHeight="1" x14ac:dyDescent="0.25">
      <c r="A1993" s="2">
        <v>45320.897916666669</v>
      </c>
      <c r="B1993" t="s">
        <v>309</v>
      </c>
      <c r="C1993" t="s">
        <v>221</v>
      </c>
      <c r="D1993">
        <v>2</v>
      </c>
      <c r="E1993" t="s">
        <v>160</v>
      </c>
      <c r="F1993" t="s">
        <v>388</v>
      </c>
      <c r="G1993">
        <v>3.4545454549999999</v>
      </c>
      <c r="H1993">
        <v>0</v>
      </c>
      <c r="I1993">
        <v>3.4545454549999999</v>
      </c>
      <c r="J1993">
        <v>96.545454550000002</v>
      </c>
      <c r="K1993">
        <v>0.8</v>
      </c>
      <c r="L1993">
        <v>0.3</v>
      </c>
      <c r="M1993">
        <v>0.7</v>
      </c>
      <c r="N1993">
        <v>531</v>
      </c>
      <c r="O1993">
        <v>19</v>
      </c>
      <c r="P1993">
        <v>0</v>
      </c>
      <c r="Q1993">
        <v>3.45</v>
      </c>
      <c r="R1993" t="s">
        <v>218</v>
      </c>
      <c r="S1993">
        <v>0.13</v>
      </c>
      <c r="T1993">
        <v>0.14000000000000001</v>
      </c>
    </row>
    <row r="1994" spans="1:21" ht="15" customHeight="1" x14ac:dyDescent="0.25">
      <c r="A1994" t="s">
        <v>19</v>
      </c>
      <c r="B1994" t="s">
        <v>20</v>
      </c>
      <c r="C1994" t="s">
        <v>306</v>
      </c>
      <c r="D1994">
        <v>3</v>
      </c>
      <c r="E1994" t="s">
        <v>160</v>
      </c>
      <c r="F1994" t="s">
        <v>388</v>
      </c>
      <c r="G1994">
        <v>9</v>
      </c>
      <c r="H1994">
        <v>1</v>
      </c>
      <c r="I1994">
        <f>G1994+H1994</f>
        <v>10</v>
      </c>
      <c r="J1994">
        <f>100-G1994-H1994</f>
        <v>90</v>
      </c>
      <c r="K1994" t="s">
        <v>19</v>
      </c>
      <c r="L1994" t="s">
        <v>19</v>
      </c>
      <c r="M1994" t="s">
        <v>19</v>
      </c>
      <c r="N1994" t="s">
        <v>19</v>
      </c>
      <c r="O1994" t="s">
        <v>19</v>
      </c>
      <c r="P1994" t="s">
        <v>19</v>
      </c>
      <c r="Q1994">
        <f>I1994</f>
        <v>10</v>
      </c>
      <c r="R1994" t="s">
        <v>19</v>
      </c>
      <c r="S1994" t="s">
        <v>19</v>
      </c>
      <c r="T1994" t="s">
        <v>19</v>
      </c>
    </row>
    <row r="1995" spans="1:21" ht="15" customHeight="1" x14ac:dyDescent="0.25">
      <c r="A1995" t="s">
        <v>19</v>
      </c>
      <c r="B1995" t="s">
        <v>20</v>
      </c>
      <c r="C1995" t="s">
        <v>320</v>
      </c>
      <c r="D1995">
        <v>3</v>
      </c>
      <c r="E1995" t="s">
        <v>160</v>
      </c>
      <c r="F1995" t="s">
        <v>388</v>
      </c>
      <c r="G1995">
        <v>0</v>
      </c>
      <c r="H1995">
        <v>0</v>
      </c>
      <c r="I1995">
        <f>100-J1995</f>
        <v>0</v>
      </c>
      <c r="J1995">
        <f>100-G1995-H1995</f>
        <v>100</v>
      </c>
      <c r="K1995" t="s">
        <v>19</v>
      </c>
      <c r="L1995" t="s">
        <v>19</v>
      </c>
      <c r="M1995" t="s">
        <v>19</v>
      </c>
      <c r="N1995" t="s">
        <v>19</v>
      </c>
      <c r="O1995" t="s">
        <v>19</v>
      </c>
      <c r="P1995" t="s">
        <v>19</v>
      </c>
      <c r="Q1995">
        <f>I1995</f>
        <v>0</v>
      </c>
      <c r="R1995" t="s">
        <v>19</v>
      </c>
      <c r="S1995" t="s">
        <v>19</v>
      </c>
      <c r="T1995" t="s">
        <v>19</v>
      </c>
    </row>
    <row r="1996" spans="1:21" ht="15" customHeight="1" x14ac:dyDescent="0.25">
      <c r="A1996" s="2">
        <v>45323.628703703704</v>
      </c>
      <c r="B1996" t="s">
        <v>309</v>
      </c>
      <c r="C1996" t="s">
        <v>322</v>
      </c>
      <c r="D1996">
        <v>3</v>
      </c>
      <c r="E1996" t="s">
        <v>160</v>
      </c>
      <c r="F1996" t="s">
        <v>388</v>
      </c>
      <c r="G1996">
        <f>(O1996/(N1996+O1996+P1996))*100</f>
        <v>1.6187050359712229</v>
      </c>
      <c r="H1996">
        <f>(P1996/(O1996+P1996+N1996))*100</f>
        <v>0</v>
      </c>
      <c r="I1996">
        <v>1.62</v>
      </c>
      <c r="J1996">
        <f>(N1996/(P1996+O1996+N1996))*100</f>
        <v>98.381294964028783</v>
      </c>
      <c r="K1996">
        <v>0.8</v>
      </c>
      <c r="L1996">
        <v>0.3</v>
      </c>
      <c r="M1996">
        <v>0.7</v>
      </c>
      <c r="N1996">
        <v>547</v>
      </c>
      <c r="O1996">
        <v>9</v>
      </c>
      <c r="P1996">
        <v>0</v>
      </c>
      <c r="Q1996">
        <v>1.62</v>
      </c>
      <c r="R1996" t="s">
        <v>279</v>
      </c>
      <c r="S1996">
        <v>2.52</v>
      </c>
      <c r="T1996">
        <v>3.13</v>
      </c>
      <c r="U1996">
        <v>16</v>
      </c>
    </row>
    <row r="1997" spans="1:21" ht="15" customHeight="1" x14ac:dyDescent="0.25">
      <c r="A1997" s="2">
        <v>45323.624745370369</v>
      </c>
      <c r="B1997" t="s">
        <v>309</v>
      </c>
      <c r="C1997" t="s">
        <v>322</v>
      </c>
      <c r="D1997">
        <v>3</v>
      </c>
      <c r="E1997" t="s">
        <v>160</v>
      </c>
      <c r="F1997" t="s">
        <v>388</v>
      </c>
      <c r="G1997" t="e">
        <f>(O1997/(N1997+O1997+P1997))*100</f>
        <v>#VALUE!</v>
      </c>
      <c r="H1997" t="e">
        <f>(P1997/(O1997+P1997+N1997))*100</f>
        <v>#VALUE!</v>
      </c>
      <c r="I1997">
        <v>1.97</v>
      </c>
      <c r="J1997" t="e">
        <f>(N1997/(P1997+O1997+N1997))*100</f>
        <v>#VALUE!</v>
      </c>
      <c r="K1997">
        <v>0.7</v>
      </c>
      <c r="L1997">
        <v>0.3</v>
      </c>
      <c r="M1997">
        <v>0.7</v>
      </c>
      <c r="N1997">
        <v>547</v>
      </c>
      <c r="O1997" t="s">
        <v>266</v>
      </c>
      <c r="P1997" t="s">
        <v>266</v>
      </c>
      <c r="Q1997">
        <v>1.97</v>
      </c>
      <c r="R1997" t="s">
        <v>275</v>
      </c>
      <c r="S1997">
        <v>2.52</v>
      </c>
      <c r="T1997">
        <v>3.13</v>
      </c>
      <c r="U1997">
        <v>14</v>
      </c>
    </row>
    <row r="1998" spans="1:21" ht="15" customHeight="1" x14ac:dyDescent="0.25">
      <c r="A1998" s="2">
        <v>45325.042280092595</v>
      </c>
      <c r="B1998" t="s">
        <v>309</v>
      </c>
      <c r="C1998" t="s">
        <v>368</v>
      </c>
      <c r="D1998">
        <v>2</v>
      </c>
      <c r="E1998" t="s">
        <v>160</v>
      </c>
      <c r="F1998" t="s">
        <v>388</v>
      </c>
      <c r="G1998">
        <f>(O1998/(N1998+O1998+P1998))*100</f>
        <v>2.3809523809523809</v>
      </c>
      <c r="H1998">
        <f>(P1998/(O1998+P1998+N1998))*100</f>
        <v>0</v>
      </c>
      <c r="I1998">
        <v>2.38</v>
      </c>
      <c r="J1998">
        <f>(N1998/(P1998+O1998+N1998))*100</f>
        <v>97.61904761904762</v>
      </c>
      <c r="K1998">
        <v>0.8</v>
      </c>
      <c r="L1998">
        <v>0.3</v>
      </c>
      <c r="M1998">
        <v>0.7</v>
      </c>
      <c r="N1998">
        <v>533</v>
      </c>
      <c r="O1998">
        <v>13</v>
      </c>
      <c r="P1998">
        <v>0</v>
      </c>
      <c r="Q1998">
        <v>2.38</v>
      </c>
      <c r="R1998" t="s">
        <v>272</v>
      </c>
      <c r="S1998">
        <v>0.08</v>
      </c>
      <c r="T1998">
        <v>0.09</v>
      </c>
    </row>
    <row r="1999" spans="1:21" ht="15" customHeight="1" x14ac:dyDescent="0.25">
      <c r="A1999" t="s">
        <v>19</v>
      </c>
      <c r="B1999" t="s">
        <v>20</v>
      </c>
      <c r="C1999" t="s">
        <v>306</v>
      </c>
      <c r="D1999">
        <v>3</v>
      </c>
      <c r="E1999" t="s">
        <v>161</v>
      </c>
      <c r="F1999" t="s">
        <v>373</v>
      </c>
      <c r="G1999">
        <v>20</v>
      </c>
      <c r="H1999">
        <v>0</v>
      </c>
      <c r="I1999">
        <f>G1999+H1999</f>
        <v>20</v>
      </c>
      <c r="J1999">
        <f>100-G1999-H1999</f>
        <v>80</v>
      </c>
      <c r="K1999" t="s">
        <v>19</v>
      </c>
      <c r="L1999" t="s">
        <v>19</v>
      </c>
      <c r="M1999" t="s">
        <v>19</v>
      </c>
      <c r="N1999" t="s">
        <v>19</v>
      </c>
      <c r="O1999" t="s">
        <v>19</v>
      </c>
      <c r="P1999" t="s">
        <v>19</v>
      </c>
      <c r="Q1999">
        <f>I1999</f>
        <v>20</v>
      </c>
      <c r="R1999" t="s">
        <v>19</v>
      </c>
      <c r="S1999" t="s">
        <v>19</v>
      </c>
      <c r="T1999" t="s">
        <v>19</v>
      </c>
    </row>
    <row r="2000" spans="1:21" ht="15" customHeight="1" x14ac:dyDescent="0.25">
      <c r="A2000" t="s">
        <v>19</v>
      </c>
      <c r="B2000" t="s">
        <v>20</v>
      </c>
      <c r="C2000" t="s">
        <v>308</v>
      </c>
      <c r="D2000">
        <v>3</v>
      </c>
      <c r="E2000" t="s">
        <v>161</v>
      </c>
      <c r="F2000" t="s">
        <v>373</v>
      </c>
      <c r="G2000">
        <v>29</v>
      </c>
      <c r="H2000">
        <v>2</v>
      </c>
      <c r="I2000">
        <f>G2000+H2000</f>
        <v>31</v>
      </c>
      <c r="J2000">
        <f>100-G2000-H2000</f>
        <v>69</v>
      </c>
      <c r="K2000" t="s">
        <v>19</v>
      </c>
      <c r="L2000" t="s">
        <v>19</v>
      </c>
      <c r="M2000" t="s">
        <v>19</v>
      </c>
      <c r="N2000" t="s">
        <v>19</v>
      </c>
      <c r="O2000" t="s">
        <v>19</v>
      </c>
      <c r="P2000" t="s">
        <v>19</v>
      </c>
      <c r="Q2000">
        <f>I2000</f>
        <v>31</v>
      </c>
      <c r="R2000" t="s">
        <v>19</v>
      </c>
      <c r="S2000" t="s">
        <v>19</v>
      </c>
      <c r="T2000" t="s">
        <v>19</v>
      </c>
    </row>
    <row r="2001" spans="1:21" ht="15" customHeight="1" x14ac:dyDescent="0.25">
      <c r="A2001" t="s">
        <v>19</v>
      </c>
      <c r="B2001" t="s">
        <v>20</v>
      </c>
      <c r="C2001" t="s">
        <v>22</v>
      </c>
      <c r="D2001">
        <v>3</v>
      </c>
      <c r="E2001" t="s">
        <v>161</v>
      </c>
      <c r="F2001" t="s">
        <v>373</v>
      </c>
      <c r="G2001">
        <v>20</v>
      </c>
      <c r="H2001">
        <v>0</v>
      </c>
      <c r="I2001">
        <f>G2001+H2001</f>
        <v>20</v>
      </c>
      <c r="J2001">
        <f>100-G2001-H2001</f>
        <v>80</v>
      </c>
      <c r="K2001" t="s">
        <v>19</v>
      </c>
      <c r="L2001" t="s">
        <v>19</v>
      </c>
      <c r="M2001" t="s">
        <v>19</v>
      </c>
      <c r="N2001" t="s">
        <v>19</v>
      </c>
      <c r="O2001" t="s">
        <v>19</v>
      </c>
      <c r="P2001" t="s">
        <v>19</v>
      </c>
      <c r="Q2001">
        <f>I2001</f>
        <v>20</v>
      </c>
      <c r="R2001" t="s">
        <v>19</v>
      </c>
      <c r="S2001" t="s">
        <v>19</v>
      </c>
      <c r="T2001" t="s">
        <v>19</v>
      </c>
    </row>
    <row r="2002" spans="1:21" ht="15" customHeight="1" x14ac:dyDescent="0.25">
      <c r="A2002" t="s">
        <v>19</v>
      </c>
      <c r="B2002" t="s">
        <v>20</v>
      </c>
      <c r="C2002" t="s">
        <v>305</v>
      </c>
      <c r="D2002">
        <v>3</v>
      </c>
      <c r="E2002" t="s">
        <v>161</v>
      </c>
      <c r="F2002" t="s">
        <v>373</v>
      </c>
      <c r="G2002">
        <v>8</v>
      </c>
      <c r="H2002">
        <v>0</v>
      </c>
      <c r="I2002">
        <f>G2002+H2002</f>
        <v>8</v>
      </c>
      <c r="J2002">
        <f>100-G2002-H2002</f>
        <v>92</v>
      </c>
      <c r="K2002" t="s">
        <v>19</v>
      </c>
      <c r="L2002" t="s">
        <v>19</v>
      </c>
      <c r="M2002" t="s">
        <v>19</v>
      </c>
      <c r="N2002" t="s">
        <v>19</v>
      </c>
      <c r="O2002" t="s">
        <v>19</v>
      </c>
      <c r="P2002" t="s">
        <v>19</v>
      </c>
      <c r="Q2002">
        <f>I2002</f>
        <v>8</v>
      </c>
      <c r="R2002" t="s">
        <v>19</v>
      </c>
      <c r="S2002" t="s">
        <v>19</v>
      </c>
      <c r="T2002" t="s">
        <v>19</v>
      </c>
    </row>
    <row r="2003" spans="1:21" ht="15" customHeight="1" x14ac:dyDescent="0.25">
      <c r="A2003" t="s">
        <v>19</v>
      </c>
      <c r="B2003" t="s">
        <v>20</v>
      </c>
      <c r="C2003" t="s">
        <v>307</v>
      </c>
      <c r="D2003">
        <v>3</v>
      </c>
      <c r="E2003" t="s">
        <v>161</v>
      </c>
      <c r="F2003" t="s">
        <v>373</v>
      </c>
      <c r="G2003">
        <v>2</v>
      </c>
      <c r="H2003">
        <v>0</v>
      </c>
      <c r="I2003">
        <f>G2003+H2003</f>
        <v>2</v>
      </c>
      <c r="J2003">
        <f>100-G2003-H2003</f>
        <v>98</v>
      </c>
      <c r="K2003" t="s">
        <v>19</v>
      </c>
      <c r="L2003" t="s">
        <v>19</v>
      </c>
      <c r="M2003" t="s">
        <v>19</v>
      </c>
      <c r="N2003" t="s">
        <v>19</v>
      </c>
      <c r="O2003" t="s">
        <v>19</v>
      </c>
      <c r="P2003" t="s">
        <v>19</v>
      </c>
      <c r="Q2003">
        <f>I2003</f>
        <v>2</v>
      </c>
      <c r="R2003" t="s">
        <v>19</v>
      </c>
      <c r="S2003" t="s">
        <v>19</v>
      </c>
      <c r="T2003" t="s">
        <v>19</v>
      </c>
    </row>
    <row r="2004" spans="1:21" ht="15" customHeight="1" x14ac:dyDescent="0.25">
      <c r="A2004" s="2">
        <v>45253.771527777775</v>
      </c>
      <c r="B2004" t="s">
        <v>309</v>
      </c>
      <c r="C2004" t="s">
        <v>213</v>
      </c>
      <c r="D2004">
        <v>3</v>
      </c>
      <c r="E2004" t="s">
        <v>161</v>
      </c>
      <c r="F2004" t="s">
        <v>373</v>
      </c>
      <c r="G2004">
        <v>6.6561014260000002</v>
      </c>
      <c r="H2004">
        <v>0</v>
      </c>
      <c r="I2004">
        <v>6.6561014260000002</v>
      </c>
      <c r="J2004">
        <v>93.343898569999993</v>
      </c>
      <c r="K2004">
        <v>0.8</v>
      </c>
      <c r="L2004">
        <v>0.2</v>
      </c>
      <c r="M2004">
        <v>0.7</v>
      </c>
      <c r="N2004">
        <v>589</v>
      </c>
      <c r="O2004">
        <v>42</v>
      </c>
      <c r="P2004">
        <v>0</v>
      </c>
      <c r="Q2004">
        <v>6.66</v>
      </c>
      <c r="R2004" t="s">
        <v>214</v>
      </c>
      <c r="S2004">
        <v>2.96</v>
      </c>
      <c r="T2004">
        <v>3.25</v>
      </c>
    </row>
    <row r="2005" spans="1:21" ht="15" customHeight="1" x14ac:dyDescent="0.25">
      <c r="A2005" s="2">
        <v>45253.956944444442</v>
      </c>
      <c r="B2005" t="s">
        <v>309</v>
      </c>
      <c r="C2005" t="s">
        <v>215</v>
      </c>
      <c r="D2005">
        <v>2</v>
      </c>
      <c r="E2005" t="s">
        <v>161</v>
      </c>
      <c r="F2005" t="s">
        <v>373</v>
      </c>
      <c r="G2005">
        <v>1.217861976</v>
      </c>
      <c r="H2005">
        <v>0</v>
      </c>
      <c r="I2005">
        <v>1.217861976</v>
      </c>
      <c r="J2005">
        <v>98.782138020000005</v>
      </c>
      <c r="K2005">
        <v>0.8</v>
      </c>
      <c r="L2005">
        <v>0.2</v>
      </c>
      <c r="M2005">
        <v>0.7</v>
      </c>
      <c r="N2005">
        <v>730</v>
      </c>
      <c r="O2005">
        <v>9</v>
      </c>
      <c r="P2005">
        <v>0</v>
      </c>
      <c r="Q2005">
        <v>1.22</v>
      </c>
      <c r="R2005" t="s">
        <v>243</v>
      </c>
      <c r="S2005">
        <v>7.0000000000000007E-2</v>
      </c>
      <c r="T2005">
        <v>0.08</v>
      </c>
    </row>
    <row r="2006" spans="1:21" ht="15" customHeight="1" x14ac:dyDescent="0.25">
      <c r="A2006" s="2">
        <v>45254.133333333331</v>
      </c>
      <c r="B2006" t="s">
        <v>309</v>
      </c>
      <c r="C2006" t="s">
        <v>217</v>
      </c>
      <c r="D2006">
        <v>2</v>
      </c>
      <c r="E2006" t="s">
        <v>161</v>
      </c>
      <c r="F2006" t="s">
        <v>373</v>
      </c>
      <c r="G2006">
        <v>3.9780521260000001</v>
      </c>
      <c r="H2006">
        <v>0</v>
      </c>
      <c r="I2006">
        <v>3.9780521260000001</v>
      </c>
      <c r="J2006">
        <v>96.021947870000005</v>
      </c>
      <c r="K2006">
        <v>0.8</v>
      </c>
      <c r="L2006">
        <v>0.2</v>
      </c>
      <c r="M2006">
        <v>0.7</v>
      </c>
      <c r="N2006">
        <v>700</v>
      </c>
      <c r="O2006">
        <v>29</v>
      </c>
      <c r="P2006">
        <v>0</v>
      </c>
      <c r="Q2006">
        <v>3.98</v>
      </c>
      <c r="R2006" t="s">
        <v>231</v>
      </c>
      <c r="S2006">
        <v>0.13</v>
      </c>
      <c r="T2006">
        <v>0.14000000000000001</v>
      </c>
    </row>
    <row r="2007" spans="1:21" ht="15" customHeight="1" x14ac:dyDescent="0.25">
      <c r="A2007" s="2">
        <v>45316.46875</v>
      </c>
      <c r="B2007" t="s">
        <v>309</v>
      </c>
      <c r="C2007" t="s">
        <v>219</v>
      </c>
      <c r="D2007">
        <v>3</v>
      </c>
      <c r="E2007" t="s">
        <v>161</v>
      </c>
      <c r="F2007" t="s">
        <v>373</v>
      </c>
      <c r="G2007">
        <v>2.3041474649999998</v>
      </c>
      <c r="H2007">
        <v>0.153609831</v>
      </c>
      <c r="I2007">
        <v>2.457757296</v>
      </c>
      <c r="J2007">
        <v>97.542242700000003</v>
      </c>
      <c r="K2007">
        <v>0.8</v>
      </c>
      <c r="L2007">
        <v>0.2</v>
      </c>
      <c r="M2007">
        <v>0.7</v>
      </c>
      <c r="N2007">
        <v>635</v>
      </c>
      <c r="O2007">
        <v>15</v>
      </c>
      <c r="P2007">
        <v>1</v>
      </c>
      <c r="Q2007">
        <v>2.46</v>
      </c>
      <c r="R2007" t="s">
        <v>218</v>
      </c>
      <c r="S2007">
        <v>3.08</v>
      </c>
      <c r="T2007">
        <v>4.1399999999999997</v>
      </c>
    </row>
    <row r="2008" spans="1:21" ht="15" customHeight="1" x14ac:dyDescent="0.25">
      <c r="A2008" s="2">
        <v>45320.994444444441</v>
      </c>
      <c r="B2008" t="s">
        <v>309</v>
      </c>
      <c r="C2008" t="s">
        <v>221</v>
      </c>
      <c r="D2008">
        <v>2</v>
      </c>
      <c r="E2008" t="s">
        <v>161</v>
      </c>
      <c r="F2008" t="s">
        <v>373</v>
      </c>
      <c r="G2008">
        <v>6.1366806140000003</v>
      </c>
      <c r="H2008">
        <v>0</v>
      </c>
      <c r="I2008">
        <v>6.1366806140000003</v>
      </c>
      <c r="J2008">
        <v>93.863319390000001</v>
      </c>
      <c r="K2008">
        <v>0.8</v>
      </c>
      <c r="L2008">
        <v>0.3</v>
      </c>
      <c r="M2008">
        <v>0.7</v>
      </c>
      <c r="N2008">
        <v>673</v>
      </c>
      <c r="O2008">
        <v>44</v>
      </c>
      <c r="P2008">
        <v>0</v>
      </c>
      <c r="Q2008">
        <v>6.14</v>
      </c>
      <c r="R2008" t="s">
        <v>229</v>
      </c>
      <c r="S2008">
        <v>0.22</v>
      </c>
      <c r="T2008">
        <v>0.23</v>
      </c>
    </row>
    <row r="2009" spans="1:21" ht="15" customHeight="1" x14ac:dyDescent="0.25">
      <c r="A2009" t="s">
        <v>19</v>
      </c>
      <c r="B2009" t="s">
        <v>20</v>
      </c>
      <c r="C2009" t="s">
        <v>320</v>
      </c>
      <c r="D2009">
        <v>3</v>
      </c>
      <c r="E2009" t="s">
        <v>161</v>
      </c>
      <c r="F2009" t="s">
        <v>373</v>
      </c>
      <c r="G2009">
        <v>0</v>
      </c>
      <c r="H2009">
        <v>0</v>
      </c>
      <c r="I2009">
        <f>100-J2009</f>
        <v>0</v>
      </c>
      <c r="J2009">
        <f>100-G2009-H2009</f>
        <v>100</v>
      </c>
      <c r="K2009" t="s">
        <v>19</v>
      </c>
      <c r="L2009" t="s">
        <v>19</v>
      </c>
      <c r="M2009" t="s">
        <v>19</v>
      </c>
      <c r="N2009" t="s">
        <v>19</v>
      </c>
      <c r="O2009" t="s">
        <v>19</v>
      </c>
      <c r="P2009" t="s">
        <v>19</v>
      </c>
      <c r="Q2009">
        <f>I2009</f>
        <v>0</v>
      </c>
      <c r="R2009" t="s">
        <v>19</v>
      </c>
      <c r="S2009" t="s">
        <v>19</v>
      </c>
      <c r="T2009" t="s">
        <v>19</v>
      </c>
    </row>
    <row r="2010" spans="1:21" ht="15" customHeight="1" x14ac:dyDescent="0.25">
      <c r="A2010" s="2">
        <v>45323.621724537035</v>
      </c>
      <c r="B2010" t="s">
        <v>309</v>
      </c>
      <c r="C2010" t="s">
        <v>322</v>
      </c>
      <c r="D2010">
        <v>3</v>
      </c>
      <c r="E2010" t="s">
        <v>161</v>
      </c>
      <c r="F2010" t="s">
        <v>373</v>
      </c>
      <c r="G2010">
        <f>(O2010/(N2010+O2010+P2010))*100</f>
        <v>5.9743954480796582</v>
      </c>
      <c r="H2010">
        <f>(P2010/(O2010+P2010+N2010))*100</f>
        <v>0</v>
      </c>
      <c r="I2010">
        <f>((O2010+P2010)/(P2010+O2010+N2010))*100</f>
        <v>5.9743954480796582</v>
      </c>
      <c r="J2010">
        <f>(N2010/(P2010+O2010+N2010))*100</f>
        <v>94.025604551920338</v>
      </c>
      <c r="K2010">
        <v>0.8</v>
      </c>
      <c r="L2010">
        <v>0.3</v>
      </c>
      <c r="M2010">
        <v>0.7</v>
      </c>
      <c r="N2010">
        <v>661</v>
      </c>
      <c r="O2010">
        <v>42</v>
      </c>
      <c r="P2010">
        <v>0</v>
      </c>
      <c r="Q2010">
        <v>5.97</v>
      </c>
      <c r="R2010" t="s">
        <v>342</v>
      </c>
      <c r="S2010">
        <v>2.79</v>
      </c>
      <c r="T2010">
        <v>3</v>
      </c>
      <c r="U2010">
        <v>49</v>
      </c>
    </row>
    <row r="2011" spans="1:21" ht="15" customHeight="1" x14ac:dyDescent="0.25">
      <c r="A2011" s="2">
        <v>45323.626226851855</v>
      </c>
      <c r="B2011" t="s">
        <v>309</v>
      </c>
      <c r="C2011" t="s">
        <v>322</v>
      </c>
      <c r="D2011">
        <v>3</v>
      </c>
      <c r="E2011" t="s">
        <v>161</v>
      </c>
      <c r="F2011" t="s">
        <v>373</v>
      </c>
      <c r="G2011">
        <f>(O2011/(N2011+O2011+P2011))*100</f>
        <v>7.1629213483146064</v>
      </c>
      <c r="H2011">
        <f>(P2011/(O2011+P2011+N2011))*100</f>
        <v>0</v>
      </c>
      <c r="I2011">
        <f>((O2011+P2011)/(P2011+O2011+N2011))*100</f>
        <v>7.1629213483146064</v>
      </c>
      <c r="J2011">
        <f>(N2011/(P2011+O2011+N2011))*100</f>
        <v>92.837078651685388</v>
      </c>
      <c r="K2011">
        <v>0.7</v>
      </c>
      <c r="L2011">
        <v>0.3</v>
      </c>
      <c r="M2011">
        <v>0.7</v>
      </c>
      <c r="N2011">
        <v>661</v>
      </c>
      <c r="O2011">
        <v>51</v>
      </c>
      <c r="P2011">
        <v>0</v>
      </c>
      <c r="Q2011">
        <v>7.16</v>
      </c>
      <c r="R2011" t="s">
        <v>333</v>
      </c>
      <c r="S2011">
        <v>2.79</v>
      </c>
      <c r="T2011">
        <v>3</v>
      </c>
      <c r="U2011">
        <v>40</v>
      </c>
    </row>
    <row r="2012" spans="1:21" ht="15" customHeight="1" x14ac:dyDescent="0.25">
      <c r="A2012" s="2">
        <v>45325.184618055559</v>
      </c>
      <c r="B2012" t="s">
        <v>309</v>
      </c>
      <c r="C2012" t="s">
        <v>368</v>
      </c>
      <c r="D2012">
        <v>2</v>
      </c>
      <c r="E2012" t="s">
        <v>161</v>
      </c>
      <c r="F2012" t="s">
        <v>373</v>
      </c>
      <c r="G2012">
        <f>(O2012/(N2012+O2012+P2012))*100</f>
        <v>5.1966292134831464</v>
      </c>
      <c r="H2012">
        <f>(P2012/(O2012+P2012+N2012))*100</f>
        <v>0</v>
      </c>
      <c r="I2012">
        <v>5.2</v>
      </c>
      <c r="J2012">
        <f>(N2012/(P2012+O2012+N2012))*100</f>
        <v>94.803370786516851</v>
      </c>
      <c r="K2012">
        <v>0.8</v>
      </c>
      <c r="L2012">
        <v>0.3</v>
      </c>
      <c r="M2012">
        <v>0.7</v>
      </c>
      <c r="N2012">
        <v>675</v>
      </c>
      <c r="O2012">
        <v>37</v>
      </c>
      <c r="P2012">
        <v>0</v>
      </c>
      <c r="Q2012">
        <v>5.2</v>
      </c>
      <c r="R2012" t="s">
        <v>367</v>
      </c>
      <c r="S2012">
        <v>0.19</v>
      </c>
      <c r="T2012">
        <v>0.2</v>
      </c>
    </row>
    <row r="2013" spans="1:21" ht="15" customHeight="1" x14ac:dyDescent="0.25">
      <c r="A2013" t="s">
        <v>19</v>
      </c>
      <c r="B2013" t="s">
        <v>20</v>
      </c>
      <c r="C2013" t="s">
        <v>306</v>
      </c>
      <c r="D2013">
        <v>3</v>
      </c>
      <c r="E2013" t="s">
        <v>162</v>
      </c>
      <c r="F2013" t="s">
        <v>373</v>
      </c>
      <c r="G2013">
        <v>1</v>
      </c>
      <c r="H2013">
        <v>0</v>
      </c>
      <c r="I2013">
        <f>G2013+H2013</f>
        <v>1</v>
      </c>
      <c r="J2013">
        <f>100-G2013-H2013</f>
        <v>99</v>
      </c>
      <c r="K2013" t="s">
        <v>19</v>
      </c>
      <c r="L2013" t="s">
        <v>19</v>
      </c>
      <c r="M2013" t="s">
        <v>19</v>
      </c>
      <c r="N2013" t="s">
        <v>19</v>
      </c>
      <c r="O2013" t="s">
        <v>19</v>
      </c>
      <c r="P2013" t="s">
        <v>19</v>
      </c>
      <c r="Q2013">
        <f>I2013</f>
        <v>1</v>
      </c>
      <c r="R2013" t="s">
        <v>19</v>
      </c>
      <c r="S2013" t="s">
        <v>19</v>
      </c>
      <c r="T2013" t="s">
        <v>19</v>
      </c>
    </row>
    <row r="2014" spans="1:21" ht="15" customHeight="1" x14ac:dyDescent="0.25">
      <c r="A2014" t="s">
        <v>19</v>
      </c>
      <c r="B2014" t="s">
        <v>20</v>
      </c>
      <c r="C2014" t="s">
        <v>308</v>
      </c>
      <c r="D2014">
        <v>3</v>
      </c>
      <c r="E2014" t="s">
        <v>162</v>
      </c>
      <c r="F2014" t="s">
        <v>373</v>
      </c>
      <c r="G2014">
        <v>4</v>
      </c>
      <c r="H2014">
        <v>1</v>
      </c>
      <c r="I2014">
        <f>G2014+H2014</f>
        <v>5</v>
      </c>
      <c r="J2014">
        <f>100-G2014-H2014</f>
        <v>95</v>
      </c>
      <c r="K2014" t="s">
        <v>19</v>
      </c>
      <c r="L2014" t="s">
        <v>19</v>
      </c>
      <c r="M2014" t="s">
        <v>19</v>
      </c>
      <c r="N2014" t="s">
        <v>19</v>
      </c>
      <c r="O2014" t="s">
        <v>19</v>
      </c>
      <c r="P2014" t="s">
        <v>19</v>
      </c>
      <c r="Q2014">
        <f>I2014</f>
        <v>5</v>
      </c>
      <c r="R2014" t="s">
        <v>19</v>
      </c>
      <c r="S2014" t="s">
        <v>19</v>
      </c>
      <c r="T2014" t="s">
        <v>19</v>
      </c>
    </row>
    <row r="2015" spans="1:21" ht="15" customHeight="1" x14ac:dyDescent="0.25">
      <c r="A2015" t="s">
        <v>19</v>
      </c>
      <c r="B2015" t="s">
        <v>20</v>
      </c>
      <c r="C2015" t="s">
        <v>22</v>
      </c>
      <c r="D2015">
        <v>3</v>
      </c>
      <c r="E2015" t="s">
        <v>162</v>
      </c>
      <c r="F2015" t="s">
        <v>373</v>
      </c>
      <c r="G2015">
        <v>0</v>
      </c>
      <c r="H2015">
        <v>0</v>
      </c>
      <c r="I2015">
        <f>G2015+H2015</f>
        <v>0</v>
      </c>
      <c r="J2015">
        <f>100-G2015-H2015</f>
        <v>100</v>
      </c>
      <c r="K2015" t="s">
        <v>19</v>
      </c>
      <c r="L2015" t="s">
        <v>19</v>
      </c>
      <c r="M2015" t="s">
        <v>19</v>
      </c>
      <c r="N2015" t="s">
        <v>19</v>
      </c>
      <c r="O2015" t="s">
        <v>19</v>
      </c>
      <c r="P2015" t="s">
        <v>19</v>
      </c>
      <c r="Q2015">
        <f>I2015</f>
        <v>0</v>
      </c>
      <c r="R2015" t="s">
        <v>19</v>
      </c>
      <c r="S2015" t="s">
        <v>19</v>
      </c>
      <c r="T2015" t="s">
        <v>19</v>
      </c>
    </row>
    <row r="2016" spans="1:21" ht="15" customHeight="1" x14ac:dyDescent="0.25">
      <c r="A2016" t="s">
        <v>19</v>
      </c>
      <c r="B2016" t="s">
        <v>20</v>
      </c>
      <c r="C2016" t="s">
        <v>305</v>
      </c>
      <c r="D2016">
        <v>3</v>
      </c>
      <c r="E2016" t="s">
        <v>162</v>
      </c>
      <c r="F2016" t="s">
        <v>373</v>
      </c>
      <c r="G2016">
        <v>1</v>
      </c>
      <c r="H2016">
        <v>0</v>
      </c>
      <c r="I2016">
        <f>G2016+H2016</f>
        <v>1</v>
      </c>
      <c r="J2016">
        <f>100-G2016-H2016</f>
        <v>99</v>
      </c>
      <c r="K2016" t="s">
        <v>19</v>
      </c>
      <c r="L2016" t="s">
        <v>19</v>
      </c>
      <c r="M2016" t="s">
        <v>19</v>
      </c>
      <c r="N2016" t="s">
        <v>19</v>
      </c>
      <c r="O2016" t="s">
        <v>19</v>
      </c>
      <c r="P2016" t="s">
        <v>19</v>
      </c>
      <c r="Q2016">
        <f>I2016</f>
        <v>1</v>
      </c>
      <c r="R2016" t="s">
        <v>19</v>
      </c>
      <c r="S2016" t="s">
        <v>19</v>
      </c>
      <c r="T2016" t="s">
        <v>19</v>
      </c>
    </row>
    <row r="2017" spans="1:21" ht="15" customHeight="1" x14ac:dyDescent="0.25">
      <c r="A2017" t="s">
        <v>19</v>
      </c>
      <c r="B2017" t="s">
        <v>20</v>
      </c>
      <c r="C2017" t="s">
        <v>307</v>
      </c>
      <c r="D2017">
        <v>3</v>
      </c>
      <c r="E2017" t="s">
        <v>162</v>
      </c>
      <c r="F2017" t="s">
        <v>373</v>
      </c>
      <c r="G2017">
        <v>1</v>
      </c>
      <c r="H2017">
        <v>0</v>
      </c>
      <c r="I2017">
        <f>G2017+H2017</f>
        <v>1</v>
      </c>
      <c r="J2017">
        <f>100-G2017-H2017</f>
        <v>99</v>
      </c>
      <c r="K2017" t="s">
        <v>19</v>
      </c>
      <c r="L2017" t="s">
        <v>19</v>
      </c>
      <c r="M2017" t="s">
        <v>19</v>
      </c>
      <c r="N2017" t="s">
        <v>19</v>
      </c>
      <c r="O2017" t="s">
        <v>19</v>
      </c>
      <c r="P2017" t="s">
        <v>19</v>
      </c>
      <c r="Q2017">
        <f>I2017</f>
        <v>1</v>
      </c>
      <c r="R2017" t="s">
        <v>19</v>
      </c>
      <c r="S2017" t="s">
        <v>19</v>
      </c>
      <c r="T2017" t="s">
        <v>19</v>
      </c>
    </row>
    <row r="2018" spans="1:21" ht="15" customHeight="1" x14ac:dyDescent="0.25">
      <c r="A2018" s="2">
        <v>45253.772916666669</v>
      </c>
      <c r="B2018" t="s">
        <v>309</v>
      </c>
      <c r="C2018" t="s">
        <v>213</v>
      </c>
      <c r="D2018">
        <v>3</v>
      </c>
      <c r="E2018" t="s">
        <v>162</v>
      </c>
      <c r="F2018" t="s">
        <v>373</v>
      </c>
      <c r="G2018">
        <v>2.9459901799999999</v>
      </c>
      <c r="H2018">
        <v>0.163666121</v>
      </c>
      <c r="I2018">
        <v>3.1096563009999998</v>
      </c>
      <c r="J2018">
        <v>96.890343700000003</v>
      </c>
      <c r="K2018">
        <v>0.8</v>
      </c>
      <c r="L2018">
        <v>0.2</v>
      </c>
      <c r="M2018">
        <v>0.7</v>
      </c>
      <c r="N2018">
        <v>592</v>
      </c>
      <c r="O2018">
        <v>18</v>
      </c>
      <c r="P2018">
        <v>1</v>
      </c>
      <c r="Q2018">
        <v>3.11</v>
      </c>
      <c r="R2018" t="s">
        <v>265</v>
      </c>
      <c r="S2018">
        <v>2.81</v>
      </c>
      <c r="T2018">
        <v>3.21</v>
      </c>
    </row>
    <row r="2019" spans="1:21" ht="15" customHeight="1" x14ac:dyDescent="0.25">
      <c r="A2019" s="2">
        <v>45253.957638888889</v>
      </c>
      <c r="B2019" t="s">
        <v>309</v>
      </c>
      <c r="C2019" t="s">
        <v>215</v>
      </c>
      <c r="D2019">
        <v>2</v>
      </c>
      <c r="E2019" t="s">
        <v>162</v>
      </c>
      <c r="F2019" t="s">
        <v>373</v>
      </c>
      <c r="G2019">
        <v>1.4598540149999999</v>
      </c>
      <c r="H2019">
        <v>0</v>
      </c>
      <c r="I2019">
        <v>1.4598540149999999</v>
      </c>
      <c r="J2019">
        <v>98.540145989999999</v>
      </c>
      <c r="K2019">
        <v>0.8</v>
      </c>
      <c r="L2019">
        <v>0.2</v>
      </c>
      <c r="M2019">
        <v>0.7</v>
      </c>
      <c r="N2019">
        <v>675</v>
      </c>
      <c r="O2019">
        <v>10</v>
      </c>
      <c r="P2019">
        <v>0</v>
      </c>
      <c r="Q2019">
        <v>1.46</v>
      </c>
      <c r="R2019" t="s">
        <v>257</v>
      </c>
      <c r="S2019">
        <v>0.04</v>
      </c>
      <c r="T2019">
        <v>0.04</v>
      </c>
    </row>
    <row r="2020" spans="1:21" ht="15" customHeight="1" x14ac:dyDescent="0.25">
      <c r="A2020" s="2">
        <v>45254.134027777778</v>
      </c>
      <c r="B2020" t="s">
        <v>309</v>
      </c>
      <c r="C2020" t="s">
        <v>217</v>
      </c>
      <c r="D2020">
        <v>2</v>
      </c>
      <c r="E2020" t="s">
        <v>162</v>
      </c>
      <c r="F2020" t="s">
        <v>373</v>
      </c>
      <c r="G2020">
        <v>2.9702970299999998</v>
      </c>
      <c r="H2020">
        <v>0</v>
      </c>
      <c r="I2020">
        <v>2.9702970299999998</v>
      </c>
      <c r="J2020">
        <v>97.029702970000002</v>
      </c>
      <c r="K2020">
        <v>0.8</v>
      </c>
      <c r="L2020">
        <v>0.2</v>
      </c>
      <c r="M2020">
        <v>0.7</v>
      </c>
      <c r="N2020">
        <v>588</v>
      </c>
      <c r="O2020">
        <v>18</v>
      </c>
      <c r="P2020">
        <v>0</v>
      </c>
      <c r="Q2020">
        <v>2.97</v>
      </c>
      <c r="R2020" t="s">
        <v>231</v>
      </c>
      <c r="S2020">
        <v>0.17</v>
      </c>
      <c r="T2020">
        <v>0.18</v>
      </c>
    </row>
    <row r="2021" spans="1:21" ht="15" customHeight="1" x14ac:dyDescent="0.25">
      <c r="A2021" s="2">
        <v>45316.470138888886</v>
      </c>
      <c r="B2021" t="s">
        <v>309</v>
      </c>
      <c r="C2021" t="s">
        <v>219</v>
      </c>
      <c r="D2021">
        <v>3</v>
      </c>
      <c r="E2021" t="s">
        <v>162</v>
      </c>
      <c r="F2021" t="s">
        <v>373</v>
      </c>
      <c r="G2021">
        <v>0.67796610199999996</v>
      </c>
      <c r="H2021">
        <v>0.50847457600000001</v>
      </c>
      <c r="I2021">
        <v>1.1864406780000001</v>
      </c>
      <c r="J2021">
        <v>98.813559319999996</v>
      </c>
      <c r="K2021">
        <v>0.8</v>
      </c>
      <c r="L2021">
        <v>0.2</v>
      </c>
      <c r="M2021">
        <v>0.7</v>
      </c>
      <c r="N2021">
        <v>583</v>
      </c>
      <c r="O2021">
        <v>4</v>
      </c>
      <c r="P2021">
        <v>3</v>
      </c>
      <c r="Q2021">
        <v>1.19</v>
      </c>
      <c r="R2021" t="s">
        <v>224</v>
      </c>
      <c r="S2021">
        <v>3.03</v>
      </c>
      <c r="T2021">
        <v>4.12</v>
      </c>
    </row>
    <row r="2022" spans="1:21" ht="15" customHeight="1" x14ac:dyDescent="0.25">
      <c r="A2022" s="2">
        <v>45320.995833333334</v>
      </c>
      <c r="B2022" t="s">
        <v>309</v>
      </c>
      <c r="C2022" t="s">
        <v>221</v>
      </c>
      <c r="D2022">
        <v>2</v>
      </c>
      <c r="E2022" t="s">
        <v>162</v>
      </c>
      <c r="F2022" t="s">
        <v>373</v>
      </c>
      <c r="G2022">
        <v>1.0339734119999999</v>
      </c>
      <c r="H2022">
        <v>0</v>
      </c>
      <c r="I2022">
        <v>1.0339734119999999</v>
      </c>
      <c r="J2022">
        <v>98.966026589999998</v>
      </c>
      <c r="K2022">
        <v>0.8</v>
      </c>
      <c r="L2022">
        <v>0.3</v>
      </c>
      <c r="M2022">
        <v>0.7</v>
      </c>
      <c r="N2022">
        <v>670</v>
      </c>
      <c r="O2022">
        <v>7</v>
      </c>
      <c r="P2022">
        <v>0</v>
      </c>
      <c r="Q2022">
        <v>1.03</v>
      </c>
      <c r="R2022" t="s">
        <v>235</v>
      </c>
      <c r="S2022">
        <v>0.05</v>
      </c>
      <c r="T2022">
        <v>0.06</v>
      </c>
    </row>
    <row r="2023" spans="1:21" ht="15" customHeight="1" x14ac:dyDescent="0.25">
      <c r="A2023" t="s">
        <v>19</v>
      </c>
      <c r="B2023" t="s">
        <v>20</v>
      </c>
      <c r="C2023" t="s">
        <v>320</v>
      </c>
      <c r="D2023">
        <v>3</v>
      </c>
      <c r="E2023" t="s">
        <v>162</v>
      </c>
      <c r="F2023" t="s">
        <v>373</v>
      </c>
      <c r="G2023">
        <v>0</v>
      </c>
      <c r="H2023">
        <v>0</v>
      </c>
      <c r="I2023">
        <f>100-J2023</f>
        <v>0</v>
      </c>
      <c r="J2023">
        <f>100-G2023-H2023</f>
        <v>100</v>
      </c>
      <c r="K2023" t="s">
        <v>19</v>
      </c>
      <c r="L2023" t="s">
        <v>19</v>
      </c>
      <c r="M2023" t="s">
        <v>19</v>
      </c>
      <c r="N2023" t="s">
        <v>19</v>
      </c>
      <c r="O2023" t="s">
        <v>19</v>
      </c>
      <c r="P2023" t="s">
        <v>19</v>
      </c>
      <c r="Q2023">
        <f>I2023</f>
        <v>0</v>
      </c>
      <c r="R2023" t="s">
        <v>19</v>
      </c>
      <c r="S2023" t="s">
        <v>19</v>
      </c>
      <c r="T2023" t="s">
        <v>19</v>
      </c>
    </row>
    <row r="2024" spans="1:21" ht="15" customHeight="1" x14ac:dyDescent="0.25">
      <c r="A2024" s="2">
        <v>45323.623425925929</v>
      </c>
      <c r="B2024" t="s">
        <v>309</v>
      </c>
      <c r="C2024" t="s">
        <v>322</v>
      </c>
      <c r="D2024">
        <v>3</v>
      </c>
      <c r="E2024" t="s">
        <v>162</v>
      </c>
      <c r="F2024" t="s">
        <v>373</v>
      </c>
      <c r="G2024">
        <f>(O2024/(N2024+O2024+P2024))*100</f>
        <v>0.73529411764705876</v>
      </c>
      <c r="H2024">
        <f>(P2024/(O2024+P2024+N2024))*100</f>
        <v>0</v>
      </c>
      <c r="I2024">
        <f>((O2024+P2024)/(P2024+O2024+N2024))*100</f>
        <v>0.73529411764705876</v>
      </c>
      <c r="J2024">
        <f>(N2024/(P2024+O2024+N2024))*100</f>
        <v>99.264705882352942</v>
      </c>
      <c r="K2024">
        <v>0.8</v>
      </c>
      <c r="L2024">
        <v>0.3</v>
      </c>
      <c r="M2024">
        <v>0.7</v>
      </c>
      <c r="N2024">
        <v>675</v>
      </c>
      <c r="O2024">
        <v>5</v>
      </c>
      <c r="P2024">
        <v>0</v>
      </c>
      <c r="Q2024">
        <v>0.74</v>
      </c>
      <c r="R2024" t="s">
        <v>296</v>
      </c>
      <c r="S2024">
        <v>2.62</v>
      </c>
      <c r="T2024">
        <v>2.86</v>
      </c>
      <c r="U2024">
        <v>13</v>
      </c>
    </row>
    <row r="2025" spans="1:21" ht="15" customHeight="1" x14ac:dyDescent="0.25">
      <c r="A2025" s="2">
        <v>45323.627939814818</v>
      </c>
      <c r="B2025" t="s">
        <v>309</v>
      </c>
      <c r="C2025" t="s">
        <v>322</v>
      </c>
      <c r="D2025">
        <v>3</v>
      </c>
      <c r="E2025" t="s">
        <v>162</v>
      </c>
      <c r="F2025" t="s">
        <v>373</v>
      </c>
      <c r="G2025">
        <f>(O2025/(N2025+O2025+P2025))*100</f>
        <v>0.73529411764705876</v>
      </c>
      <c r="H2025">
        <f>(P2025/(O2025+P2025+N2025))*100</f>
        <v>0</v>
      </c>
      <c r="I2025">
        <f>((O2025+P2025)/(P2025+O2025+N2025))*100</f>
        <v>0.73529411764705876</v>
      </c>
      <c r="J2025">
        <f>(N2025/(P2025+O2025+N2025))*100</f>
        <v>99.264705882352942</v>
      </c>
      <c r="K2025">
        <v>0.7</v>
      </c>
      <c r="L2025">
        <v>0.3</v>
      </c>
      <c r="M2025">
        <v>0.7</v>
      </c>
      <c r="N2025">
        <v>675</v>
      </c>
      <c r="O2025">
        <v>5</v>
      </c>
      <c r="P2025">
        <v>0</v>
      </c>
      <c r="Q2025">
        <v>0.74</v>
      </c>
      <c r="R2025" t="s">
        <v>332</v>
      </c>
      <c r="S2025">
        <v>2.62</v>
      </c>
      <c r="T2025">
        <v>2.86</v>
      </c>
      <c r="U2025">
        <v>13</v>
      </c>
    </row>
    <row r="2026" spans="1:21" ht="15" customHeight="1" x14ac:dyDescent="0.25">
      <c r="A2026" s="2">
        <v>45325.185972222222</v>
      </c>
      <c r="B2026" t="s">
        <v>309</v>
      </c>
      <c r="C2026" t="s">
        <v>368</v>
      </c>
      <c r="D2026">
        <v>2</v>
      </c>
      <c r="E2026" t="s">
        <v>162</v>
      </c>
      <c r="F2026" t="s">
        <v>373</v>
      </c>
      <c r="G2026">
        <f>(O2026/(N2026+O2026+P2026))*100</f>
        <v>0.89153046062407126</v>
      </c>
      <c r="H2026">
        <f>(P2026/(O2026+P2026+N2026))*100</f>
        <v>0</v>
      </c>
      <c r="I2026">
        <v>0.89</v>
      </c>
      <c r="J2026">
        <f>(N2026/(P2026+O2026+N2026))*100</f>
        <v>99.108469539375932</v>
      </c>
      <c r="K2026">
        <v>0.8</v>
      </c>
      <c r="L2026">
        <v>0.3</v>
      </c>
      <c r="M2026">
        <v>0.7</v>
      </c>
      <c r="N2026">
        <v>667</v>
      </c>
      <c r="O2026">
        <v>6</v>
      </c>
      <c r="P2026">
        <v>0</v>
      </c>
      <c r="Q2026">
        <v>0.89</v>
      </c>
      <c r="R2026" t="s">
        <v>268</v>
      </c>
      <c r="S2026">
        <v>0.03</v>
      </c>
      <c r="T2026">
        <v>0.03</v>
      </c>
    </row>
    <row r="2027" spans="1:21" ht="15" customHeight="1" x14ac:dyDescent="0.25">
      <c r="A2027" t="s">
        <v>19</v>
      </c>
      <c r="B2027" t="s">
        <v>20</v>
      </c>
      <c r="C2027" t="s">
        <v>306</v>
      </c>
      <c r="D2027">
        <v>3</v>
      </c>
      <c r="E2027" t="s">
        <v>163</v>
      </c>
      <c r="F2027" t="s">
        <v>373</v>
      </c>
      <c r="G2027">
        <v>25</v>
      </c>
      <c r="H2027">
        <v>0</v>
      </c>
      <c r="I2027">
        <f>G2027+H2027</f>
        <v>25</v>
      </c>
      <c r="J2027">
        <f>100-G2027-H2027</f>
        <v>75</v>
      </c>
      <c r="K2027" t="s">
        <v>19</v>
      </c>
      <c r="L2027" t="s">
        <v>19</v>
      </c>
      <c r="M2027" t="s">
        <v>19</v>
      </c>
      <c r="N2027" t="s">
        <v>19</v>
      </c>
      <c r="O2027" t="s">
        <v>19</v>
      </c>
      <c r="P2027" t="s">
        <v>19</v>
      </c>
      <c r="Q2027">
        <f>I2027</f>
        <v>25</v>
      </c>
      <c r="R2027" t="s">
        <v>19</v>
      </c>
      <c r="S2027" t="s">
        <v>19</v>
      </c>
      <c r="T2027" t="s">
        <v>19</v>
      </c>
    </row>
    <row r="2028" spans="1:21" ht="15" customHeight="1" x14ac:dyDescent="0.25">
      <c r="A2028" t="s">
        <v>19</v>
      </c>
      <c r="B2028" t="s">
        <v>20</v>
      </c>
      <c r="C2028" t="s">
        <v>308</v>
      </c>
      <c r="D2028">
        <v>3</v>
      </c>
      <c r="E2028" t="s">
        <v>163</v>
      </c>
      <c r="F2028" t="s">
        <v>373</v>
      </c>
      <c r="G2028">
        <v>10</v>
      </c>
      <c r="H2028">
        <v>0</v>
      </c>
      <c r="I2028">
        <f>G2028+H2028</f>
        <v>10</v>
      </c>
      <c r="J2028">
        <f>100-G2028-H2028</f>
        <v>90</v>
      </c>
      <c r="K2028" t="s">
        <v>19</v>
      </c>
      <c r="L2028" t="s">
        <v>19</v>
      </c>
      <c r="M2028" t="s">
        <v>19</v>
      </c>
      <c r="N2028" t="s">
        <v>19</v>
      </c>
      <c r="O2028" t="s">
        <v>19</v>
      </c>
      <c r="P2028" t="s">
        <v>19</v>
      </c>
      <c r="Q2028">
        <f>I2028</f>
        <v>10</v>
      </c>
      <c r="R2028" t="s">
        <v>19</v>
      </c>
      <c r="S2028" t="s">
        <v>19</v>
      </c>
      <c r="T2028" t="s">
        <v>19</v>
      </c>
    </row>
    <row r="2029" spans="1:21" ht="15" customHeight="1" x14ac:dyDescent="0.25">
      <c r="A2029" t="s">
        <v>19</v>
      </c>
      <c r="B2029" t="s">
        <v>20</v>
      </c>
      <c r="C2029" t="s">
        <v>22</v>
      </c>
      <c r="D2029">
        <v>3</v>
      </c>
      <c r="E2029" t="s">
        <v>163</v>
      </c>
      <c r="F2029" t="s">
        <v>373</v>
      </c>
      <c r="G2029">
        <v>5</v>
      </c>
      <c r="H2029">
        <v>0</v>
      </c>
      <c r="I2029">
        <f>G2029+H2029</f>
        <v>5</v>
      </c>
      <c r="J2029">
        <f>100-G2029-H2029</f>
        <v>95</v>
      </c>
      <c r="K2029" t="s">
        <v>19</v>
      </c>
      <c r="L2029" t="s">
        <v>19</v>
      </c>
      <c r="M2029" t="s">
        <v>19</v>
      </c>
      <c r="N2029" t="s">
        <v>19</v>
      </c>
      <c r="O2029" t="s">
        <v>19</v>
      </c>
      <c r="P2029" t="s">
        <v>19</v>
      </c>
      <c r="Q2029">
        <f>I2029</f>
        <v>5</v>
      </c>
      <c r="R2029" t="s">
        <v>19</v>
      </c>
      <c r="S2029" t="s">
        <v>19</v>
      </c>
      <c r="T2029" t="s">
        <v>19</v>
      </c>
    </row>
    <row r="2030" spans="1:21" ht="15" customHeight="1" x14ac:dyDescent="0.25">
      <c r="A2030" t="s">
        <v>19</v>
      </c>
      <c r="B2030" t="s">
        <v>20</v>
      </c>
      <c r="C2030" t="s">
        <v>305</v>
      </c>
      <c r="D2030">
        <v>3</v>
      </c>
      <c r="E2030" t="s">
        <v>163</v>
      </c>
      <c r="F2030" t="s">
        <v>373</v>
      </c>
      <c r="G2030">
        <v>3</v>
      </c>
      <c r="H2030">
        <v>0</v>
      </c>
      <c r="I2030">
        <f>G2030+H2030</f>
        <v>3</v>
      </c>
      <c r="J2030">
        <f>100-G2030-H2030</f>
        <v>97</v>
      </c>
      <c r="K2030" t="s">
        <v>19</v>
      </c>
      <c r="L2030" t="s">
        <v>19</v>
      </c>
      <c r="M2030" t="s">
        <v>19</v>
      </c>
      <c r="N2030" t="s">
        <v>19</v>
      </c>
      <c r="O2030" t="s">
        <v>19</v>
      </c>
      <c r="P2030" t="s">
        <v>19</v>
      </c>
      <c r="Q2030">
        <f>I2030</f>
        <v>3</v>
      </c>
      <c r="R2030" t="s">
        <v>19</v>
      </c>
      <c r="S2030" t="s">
        <v>19</v>
      </c>
      <c r="T2030" t="s">
        <v>19</v>
      </c>
    </row>
    <row r="2031" spans="1:21" ht="15" customHeight="1" x14ac:dyDescent="0.25">
      <c r="A2031" t="s">
        <v>19</v>
      </c>
      <c r="B2031" t="s">
        <v>20</v>
      </c>
      <c r="C2031" t="s">
        <v>307</v>
      </c>
      <c r="D2031">
        <v>3</v>
      </c>
      <c r="E2031" t="s">
        <v>163</v>
      </c>
      <c r="F2031" t="s">
        <v>373</v>
      </c>
      <c r="G2031">
        <v>1</v>
      </c>
      <c r="H2031">
        <v>0</v>
      </c>
      <c r="I2031">
        <f>G2031+H2031</f>
        <v>1</v>
      </c>
      <c r="J2031">
        <f>100-G2031-H2031</f>
        <v>99</v>
      </c>
      <c r="K2031" t="s">
        <v>19</v>
      </c>
      <c r="L2031" t="s">
        <v>19</v>
      </c>
      <c r="M2031" t="s">
        <v>19</v>
      </c>
      <c r="N2031" t="s">
        <v>19</v>
      </c>
      <c r="O2031" t="s">
        <v>19</v>
      </c>
      <c r="P2031" t="s">
        <v>19</v>
      </c>
      <c r="Q2031">
        <f>I2031</f>
        <v>1</v>
      </c>
      <c r="R2031" t="s">
        <v>19</v>
      </c>
      <c r="S2031" t="s">
        <v>19</v>
      </c>
      <c r="T2031" t="s">
        <v>19</v>
      </c>
    </row>
    <row r="2032" spans="1:21" ht="15" customHeight="1" x14ac:dyDescent="0.25">
      <c r="A2032" s="2">
        <v>45253.774305555555</v>
      </c>
      <c r="B2032" t="s">
        <v>309</v>
      </c>
      <c r="C2032" t="s">
        <v>213</v>
      </c>
      <c r="D2032">
        <v>3</v>
      </c>
      <c r="E2032" t="s">
        <v>163</v>
      </c>
      <c r="F2032" t="s">
        <v>373</v>
      </c>
      <c r="G2032">
        <v>5.8076225050000003</v>
      </c>
      <c r="H2032">
        <v>0.72595281300000003</v>
      </c>
      <c r="I2032">
        <v>6.5335753179999996</v>
      </c>
      <c r="J2032">
        <v>93.466424680000003</v>
      </c>
      <c r="K2032">
        <v>0.8</v>
      </c>
      <c r="L2032">
        <v>0.2</v>
      </c>
      <c r="M2032">
        <v>0.7</v>
      </c>
      <c r="N2032">
        <v>515</v>
      </c>
      <c r="O2032">
        <v>32</v>
      </c>
      <c r="P2032">
        <v>4</v>
      </c>
      <c r="Q2032">
        <v>6.53</v>
      </c>
      <c r="R2032" t="s">
        <v>279</v>
      </c>
      <c r="S2032">
        <v>2.71</v>
      </c>
      <c r="T2032">
        <v>3.14</v>
      </c>
    </row>
    <row r="2033" spans="1:21" ht="15" customHeight="1" x14ac:dyDescent="0.25">
      <c r="A2033" s="2">
        <v>45253.958333333336</v>
      </c>
      <c r="B2033" t="s">
        <v>309</v>
      </c>
      <c r="C2033" t="s">
        <v>215</v>
      </c>
      <c r="D2033">
        <v>2</v>
      </c>
      <c r="E2033" t="s">
        <v>163</v>
      </c>
      <c r="F2033" t="s">
        <v>373</v>
      </c>
      <c r="G2033">
        <v>10.034602080000001</v>
      </c>
      <c r="H2033">
        <v>0</v>
      </c>
      <c r="I2033">
        <v>10.034602080000001</v>
      </c>
      <c r="J2033">
        <v>89.965397920000001</v>
      </c>
      <c r="K2033">
        <v>0.8</v>
      </c>
      <c r="L2033">
        <v>0.2</v>
      </c>
      <c r="M2033">
        <v>0.7</v>
      </c>
      <c r="N2033">
        <v>520</v>
      </c>
      <c r="O2033">
        <v>58</v>
      </c>
      <c r="P2033">
        <v>0</v>
      </c>
      <c r="Q2033">
        <v>10.029999999999999</v>
      </c>
      <c r="R2033" t="s">
        <v>243</v>
      </c>
      <c r="S2033">
        <v>0.25</v>
      </c>
      <c r="T2033">
        <v>0.27</v>
      </c>
    </row>
    <row r="2034" spans="1:21" ht="15" customHeight="1" x14ac:dyDescent="0.25">
      <c r="A2034" s="2">
        <v>45254.134722222225</v>
      </c>
      <c r="B2034" t="s">
        <v>309</v>
      </c>
      <c r="C2034" t="s">
        <v>217</v>
      </c>
      <c r="D2034">
        <v>2</v>
      </c>
      <c r="E2034" t="s">
        <v>163</v>
      </c>
      <c r="F2034" t="s">
        <v>373</v>
      </c>
      <c r="G2034">
        <v>30.47619048</v>
      </c>
      <c r="H2034">
        <v>0</v>
      </c>
      <c r="I2034">
        <v>30.47619048</v>
      </c>
      <c r="J2034">
        <v>69.52380952</v>
      </c>
      <c r="K2034">
        <v>0.8</v>
      </c>
      <c r="L2034">
        <v>0.2</v>
      </c>
      <c r="M2034">
        <v>0.7</v>
      </c>
      <c r="N2034">
        <v>292</v>
      </c>
      <c r="O2034">
        <v>128</v>
      </c>
      <c r="P2034">
        <v>0</v>
      </c>
      <c r="Q2034">
        <v>30.48</v>
      </c>
      <c r="R2034" t="s">
        <v>235</v>
      </c>
      <c r="S2034">
        <v>0.73</v>
      </c>
      <c r="T2034">
        <v>0.79</v>
      </c>
    </row>
    <row r="2035" spans="1:21" ht="15" customHeight="1" x14ac:dyDescent="0.25">
      <c r="A2035" s="2">
        <v>45316.470833333333</v>
      </c>
      <c r="B2035" t="s">
        <v>309</v>
      </c>
      <c r="C2035" t="s">
        <v>219</v>
      </c>
      <c r="D2035">
        <v>3</v>
      </c>
      <c r="E2035" t="s">
        <v>163</v>
      </c>
      <c r="F2035" t="s">
        <v>373</v>
      </c>
      <c r="G2035">
        <v>3.341288783</v>
      </c>
      <c r="H2035">
        <v>0</v>
      </c>
      <c r="I2035">
        <v>3.341288783</v>
      </c>
      <c r="J2035">
        <v>96.658711220000001</v>
      </c>
      <c r="K2035">
        <v>0.8</v>
      </c>
      <c r="L2035">
        <v>0.2</v>
      </c>
      <c r="M2035">
        <v>0.7</v>
      </c>
      <c r="N2035">
        <v>405</v>
      </c>
      <c r="O2035">
        <v>14</v>
      </c>
      <c r="P2035">
        <v>0</v>
      </c>
      <c r="Q2035">
        <v>3.34</v>
      </c>
      <c r="R2035" t="s">
        <v>280</v>
      </c>
      <c r="S2035">
        <v>3.25</v>
      </c>
      <c r="T2035">
        <v>4.3899999999999997</v>
      </c>
    </row>
    <row r="2036" spans="1:21" ht="15" customHeight="1" x14ac:dyDescent="0.25">
      <c r="A2036" s="2">
        <v>45320.996527777781</v>
      </c>
      <c r="B2036" t="s">
        <v>309</v>
      </c>
      <c r="C2036" t="s">
        <v>221</v>
      </c>
      <c r="D2036">
        <v>2</v>
      </c>
      <c r="E2036" t="s">
        <v>163</v>
      </c>
      <c r="F2036" t="s">
        <v>373</v>
      </c>
      <c r="G2036">
        <v>7.0934256060000003</v>
      </c>
      <c r="H2036">
        <v>0</v>
      </c>
      <c r="I2036">
        <v>7.0934256060000003</v>
      </c>
      <c r="J2036">
        <v>92.906574390000003</v>
      </c>
      <c r="K2036">
        <v>0.8</v>
      </c>
      <c r="L2036">
        <v>0.3</v>
      </c>
      <c r="M2036">
        <v>0.7</v>
      </c>
      <c r="N2036">
        <v>537</v>
      </c>
      <c r="O2036">
        <v>41</v>
      </c>
      <c r="P2036">
        <v>0</v>
      </c>
      <c r="Q2036">
        <v>7.09</v>
      </c>
      <c r="R2036" t="s">
        <v>220</v>
      </c>
      <c r="S2036">
        <v>0.2</v>
      </c>
      <c r="T2036">
        <v>0.22</v>
      </c>
    </row>
    <row r="2037" spans="1:21" ht="15" customHeight="1" x14ac:dyDescent="0.25">
      <c r="A2037" t="s">
        <v>19</v>
      </c>
      <c r="B2037" t="s">
        <v>20</v>
      </c>
      <c r="C2037" t="s">
        <v>320</v>
      </c>
      <c r="D2037">
        <v>3</v>
      </c>
      <c r="E2037" t="s">
        <v>163</v>
      </c>
      <c r="F2037" t="s">
        <v>373</v>
      </c>
      <c r="G2037">
        <v>0</v>
      </c>
      <c r="H2037">
        <v>0</v>
      </c>
      <c r="I2037">
        <f>100-J2037</f>
        <v>0</v>
      </c>
      <c r="J2037">
        <f>100-G2037-H2037</f>
        <v>100</v>
      </c>
      <c r="K2037" t="s">
        <v>19</v>
      </c>
      <c r="L2037" t="s">
        <v>19</v>
      </c>
      <c r="M2037" t="s">
        <v>19</v>
      </c>
      <c r="N2037" t="s">
        <v>19</v>
      </c>
      <c r="O2037" t="s">
        <v>19</v>
      </c>
      <c r="P2037" t="s">
        <v>19</v>
      </c>
      <c r="Q2037">
        <f>I2037</f>
        <v>0</v>
      </c>
      <c r="R2037" t="s">
        <v>19</v>
      </c>
      <c r="S2037" t="s">
        <v>19</v>
      </c>
      <c r="T2037" t="s">
        <v>19</v>
      </c>
    </row>
    <row r="2038" spans="1:21" ht="15" customHeight="1" x14ac:dyDescent="0.25">
      <c r="A2038" s="2">
        <v>45323.625034722223</v>
      </c>
      <c r="B2038" t="s">
        <v>309</v>
      </c>
      <c r="C2038" t="s">
        <v>322</v>
      </c>
      <c r="D2038">
        <v>3</v>
      </c>
      <c r="E2038" t="s">
        <v>163</v>
      </c>
      <c r="F2038" t="s">
        <v>373</v>
      </c>
      <c r="G2038">
        <f t="shared" ref="G2038:G2046" si="12">(O2038/(N2038+O2038+P2038))*100</f>
        <v>7.9646017699115044</v>
      </c>
      <c r="H2038">
        <f t="shared" ref="H2038:H2046" si="13">(P2038/(O2038+P2038+N2038))*100</f>
        <v>0</v>
      </c>
      <c r="I2038">
        <f>((O2038+P2038)/(P2038+O2038+N2038))*100</f>
        <v>7.9646017699115044</v>
      </c>
      <c r="J2038">
        <f t="shared" ref="J2038:J2046" si="14">(N2038/(P2038+O2038+N2038))*100</f>
        <v>92.035398230088489</v>
      </c>
      <c r="K2038">
        <v>0.8</v>
      </c>
      <c r="L2038">
        <v>0.3</v>
      </c>
      <c r="M2038">
        <v>0.7</v>
      </c>
      <c r="N2038">
        <v>520</v>
      </c>
      <c r="O2038">
        <v>45</v>
      </c>
      <c r="P2038">
        <v>0</v>
      </c>
      <c r="Q2038">
        <v>7.96</v>
      </c>
      <c r="R2038" t="s">
        <v>265</v>
      </c>
      <c r="S2038">
        <v>2.4900000000000002</v>
      </c>
      <c r="T2038">
        <v>3.18</v>
      </c>
      <c r="U2038">
        <v>41</v>
      </c>
    </row>
    <row r="2039" spans="1:21" ht="15" customHeight="1" x14ac:dyDescent="0.25">
      <c r="A2039" s="2">
        <v>45323.629652777781</v>
      </c>
      <c r="B2039" t="s">
        <v>309</v>
      </c>
      <c r="C2039" t="s">
        <v>322</v>
      </c>
      <c r="D2039">
        <v>3</v>
      </c>
      <c r="E2039" t="s">
        <v>163</v>
      </c>
      <c r="F2039" t="s">
        <v>373</v>
      </c>
      <c r="G2039">
        <f t="shared" si="12"/>
        <v>8.9316987740805605</v>
      </c>
      <c r="H2039">
        <f t="shared" si="13"/>
        <v>0</v>
      </c>
      <c r="I2039">
        <f>((O2039+P2039)/(P2039+O2039+N2039))*100</f>
        <v>8.9316987740805605</v>
      </c>
      <c r="J2039">
        <f t="shared" si="14"/>
        <v>91.068301225919441</v>
      </c>
      <c r="K2039">
        <v>0.7</v>
      </c>
      <c r="L2039">
        <v>0.3</v>
      </c>
      <c r="M2039">
        <v>0.7</v>
      </c>
      <c r="N2039">
        <v>520</v>
      </c>
      <c r="O2039">
        <v>51</v>
      </c>
      <c r="P2039">
        <v>0</v>
      </c>
      <c r="Q2039">
        <v>8.93</v>
      </c>
      <c r="R2039" t="s">
        <v>256</v>
      </c>
      <c r="S2039">
        <v>2.4900000000000002</v>
      </c>
      <c r="T2039">
        <v>3.18</v>
      </c>
      <c r="U2039">
        <v>35</v>
      </c>
    </row>
    <row r="2040" spans="1:21" ht="15" customHeight="1" x14ac:dyDescent="0.25">
      <c r="A2040" s="2">
        <v>45325.187291666669</v>
      </c>
      <c r="B2040" t="s">
        <v>309</v>
      </c>
      <c r="C2040" t="s">
        <v>368</v>
      </c>
      <c r="D2040">
        <v>2</v>
      </c>
      <c r="E2040" t="s">
        <v>163</v>
      </c>
      <c r="F2040" t="s">
        <v>373</v>
      </c>
      <c r="G2040">
        <f t="shared" si="12"/>
        <v>8.2167832167832167</v>
      </c>
      <c r="H2040">
        <f t="shared" si="13"/>
        <v>0</v>
      </c>
      <c r="I2040">
        <v>8.2200000000000006</v>
      </c>
      <c r="J2040">
        <f t="shared" si="14"/>
        <v>91.783216783216787</v>
      </c>
      <c r="K2040">
        <v>0.8</v>
      </c>
      <c r="L2040">
        <v>0.3</v>
      </c>
      <c r="M2040">
        <v>0.7</v>
      </c>
      <c r="N2040">
        <v>525</v>
      </c>
      <c r="O2040">
        <v>47</v>
      </c>
      <c r="P2040">
        <v>0</v>
      </c>
      <c r="Q2040">
        <v>8.2200000000000006</v>
      </c>
      <c r="R2040" t="s">
        <v>259</v>
      </c>
      <c r="S2040">
        <v>0.25</v>
      </c>
      <c r="T2040">
        <v>0.27</v>
      </c>
    </row>
    <row r="2041" spans="1:21" ht="15" customHeight="1" x14ac:dyDescent="0.25">
      <c r="A2041" s="2">
        <v>45323.630104166667</v>
      </c>
      <c r="B2041" t="s">
        <v>309</v>
      </c>
      <c r="C2041" t="s">
        <v>322</v>
      </c>
      <c r="D2041">
        <v>3</v>
      </c>
      <c r="E2041" t="s">
        <v>325</v>
      </c>
      <c r="F2041" t="s">
        <v>388</v>
      </c>
      <c r="G2041">
        <f t="shared" si="12"/>
        <v>0.18115942028985507</v>
      </c>
      <c r="H2041">
        <f t="shared" si="13"/>
        <v>0</v>
      </c>
      <c r="I2041">
        <v>0.18</v>
      </c>
      <c r="J2041">
        <f t="shared" si="14"/>
        <v>99.818840579710141</v>
      </c>
      <c r="K2041">
        <v>0.8</v>
      </c>
      <c r="L2041">
        <v>0.3</v>
      </c>
      <c r="M2041">
        <v>0.7</v>
      </c>
      <c r="N2041">
        <v>551</v>
      </c>
      <c r="O2041">
        <v>1</v>
      </c>
      <c r="P2041">
        <v>0</v>
      </c>
      <c r="Q2041">
        <v>0.18</v>
      </c>
      <c r="R2041" t="s">
        <v>359</v>
      </c>
      <c r="S2041">
        <v>2.48</v>
      </c>
      <c r="T2041">
        <v>3.52</v>
      </c>
      <c r="U2041">
        <v>7</v>
      </c>
    </row>
    <row r="2042" spans="1:21" ht="15" customHeight="1" x14ac:dyDescent="0.25">
      <c r="A2042" s="2">
        <v>45323.62605324074</v>
      </c>
      <c r="B2042" t="s">
        <v>309</v>
      </c>
      <c r="C2042" t="s">
        <v>322</v>
      </c>
      <c r="D2042">
        <v>3</v>
      </c>
      <c r="E2042" t="s">
        <v>325</v>
      </c>
      <c r="F2042" t="s">
        <v>388</v>
      </c>
      <c r="G2042">
        <f t="shared" si="12"/>
        <v>0.36166365280289331</v>
      </c>
      <c r="H2042">
        <f t="shared" si="13"/>
        <v>0.18083182640144665</v>
      </c>
      <c r="I2042">
        <v>0.54</v>
      </c>
      <c r="J2042">
        <f t="shared" si="14"/>
        <v>99.457504520795652</v>
      </c>
      <c r="K2042">
        <v>0.7</v>
      </c>
      <c r="L2042">
        <v>0.3</v>
      </c>
      <c r="M2042">
        <v>0.7</v>
      </c>
      <c r="N2042">
        <v>550</v>
      </c>
      <c r="O2042">
        <v>2</v>
      </c>
      <c r="P2042">
        <v>1</v>
      </c>
      <c r="Q2042">
        <v>0.54</v>
      </c>
      <c r="R2042" t="s">
        <v>275</v>
      </c>
      <c r="S2042">
        <v>2.48</v>
      </c>
      <c r="T2042">
        <v>3.52</v>
      </c>
      <c r="U2042">
        <v>6</v>
      </c>
    </row>
    <row r="2043" spans="1:21" ht="15" customHeight="1" x14ac:dyDescent="0.25">
      <c r="A2043" s="2">
        <v>45325.043449074074</v>
      </c>
      <c r="B2043" t="s">
        <v>309</v>
      </c>
      <c r="C2043" t="s">
        <v>368</v>
      </c>
      <c r="D2043">
        <v>2</v>
      </c>
      <c r="E2043" t="s">
        <v>325</v>
      </c>
      <c r="F2043" t="s">
        <v>388</v>
      </c>
      <c r="G2043">
        <f t="shared" si="12"/>
        <v>2.9013539651837523</v>
      </c>
      <c r="H2043">
        <f t="shared" si="13"/>
        <v>0</v>
      </c>
      <c r="I2043">
        <v>2.9</v>
      </c>
      <c r="J2043">
        <f t="shared" si="14"/>
        <v>97.098646034816255</v>
      </c>
      <c r="K2043">
        <v>0.8</v>
      </c>
      <c r="L2043">
        <v>0.3</v>
      </c>
      <c r="M2043">
        <v>0.7</v>
      </c>
      <c r="N2043">
        <v>502</v>
      </c>
      <c r="O2043">
        <v>15</v>
      </c>
      <c r="P2043">
        <v>0</v>
      </c>
      <c r="Q2043">
        <v>2.9</v>
      </c>
      <c r="R2043" t="s">
        <v>276</v>
      </c>
      <c r="S2043">
        <v>0.16</v>
      </c>
      <c r="T2043">
        <v>0.18</v>
      </c>
    </row>
    <row r="2044" spans="1:21" ht="15" customHeight="1" x14ac:dyDescent="0.25">
      <c r="A2044" s="2">
        <v>45323.626481481479</v>
      </c>
      <c r="B2044" t="s">
        <v>309</v>
      </c>
      <c r="C2044" t="s">
        <v>322</v>
      </c>
      <c r="D2044">
        <v>3</v>
      </c>
      <c r="E2044" t="s">
        <v>325</v>
      </c>
      <c r="F2044" t="s">
        <v>373</v>
      </c>
      <c r="G2044">
        <f t="shared" si="12"/>
        <v>0.42372881355932202</v>
      </c>
      <c r="H2044">
        <f t="shared" si="13"/>
        <v>0</v>
      </c>
      <c r="I2044">
        <f>((O2044+P2044)/(P2044+O2044+N2044))*100</f>
        <v>0.42372881355932202</v>
      </c>
      <c r="J2044">
        <f t="shared" si="14"/>
        <v>99.576271186440678</v>
      </c>
      <c r="K2044">
        <v>0.8</v>
      </c>
      <c r="L2044">
        <v>0.3</v>
      </c>
      <c r="M2044">
        <v>0.7</v>
      </c>
      <c r="N2044">
        <v>470</v>
      </c>
      <c r="O2044">
        <v>2</v>
      </c>
      <c r="P2044">
        <v>0</v>
      </c>
      <c r="Q2044">
        <v>0.42</v>
      </c>
      <c r="R2044" t="s">
        <v>346</v>
      </c>
      <c r="S2044">
        <v>2.59</v>
      </c>
      <c r="T2044">
        <v>3.15</v>
      </c>
      <c r="U2044">
        <v>15</v>
      </c>
    </row>
    <row r="2045" spans="1:21" ht="15" customHeight="1" x14ac:dyDescent="0.25">
      <c r="A2045" s="2">
        <v>45323.631064814814</v>
      </c>
      <c r="B2045" t="s">
        <v>309</v>
      </c>
      <c r="C2045" t="s">
        <v>322</v>
      </c>
      <c r="D2045">
        <v>3</v>
      </c>
      <c r="E2045" t="s">
        <v>325</v>
      </c>
      <c r="F2045" t="s">
        <v>373</v>
      </c>
      <c r="G2045">
        <f t="shared" si="12"/>
        <v>0.63424947145877375</v>
      </c>
      <c r="H2045">
        <f t="shared" si="13"/>
        <v>0</v>
      </c>
      <c r="I2045">
        <f>((O2045+P2045)/(P2045+O2045+N2045))*100</f>
        <v>0.63424947145877375</v>
      </c>
      <c r="J2045">
        <f t="shared" si="14"/>
        <v>99.365750528541227</v>
      </c>
      <c r="K2045">
        <v>0.7</v>
      </c>
      <c r="L2045">
        <v>0.3</v>
      </c>
      <c r="M2045">
        <v>0.7</v>
      </c>
      <c r="N2045">
        <v>470</v>
      </c>
      <c r="O2045">
        <v>3</v>
      </c>
      <c r="P2045">
        <v>0</v>
      </c>
      <c r="Q2045">
        <v>0.63</v>
      </c>
      <c r="R2045" t="s">
        <v>346</v>
      </c>
      <c r="S2045">
        <v>2.59</v>
      </c>
      <c r="T2045">
        <v>3.15</v>
      </c>
      <c r="U2045">
        <v>14</v>
      </c>
    </row>
    <row r="2046" spans="1:21" ht="15" customHeight="1" x14ac:dyDescent="0.25">
      <c r="A2046" s="2">
        <v>45325.18854166667</v>
      </c>
      <c r="B2046" t="s">
        <v>309</v>
      </c>
      <c r="C2046" t="s">
        <v>368</v>
      </c>
      <c r="D2046">
        <v>2</v>
      </c>
      <c r="E2046" t="s">
        <v>325</v>
      </c>
      <c r="F2046" t="s">
        <v>373</v>
      </c>
      <c r="G2046">
        <f t="shared" si="12"/>
        <v>1.3215859030837005</v>
      </c>
      <c r="H2046">
        <f t="shared" si="13"/>
        <v>0</v>
      </c>
      <c r="I2046">
        <v>1.32</v>
      </c>
      <c r="J2046">
        <f t="shared" si="14"/>
        <v>98.678414096916299</v>
      </c>
      <c r="K2046">
        <v>0.8</v>
      </c>
      <c r="L2046">
        <v>0.3</v>
      </c>
      <c r="M2046">
        <v>0.7</v>
      </c>
      <c r="N2046">
        <v>448</v>
      </c>
      <c r="O2046">
        <v>6</v>
      </c>
      <c r="P2046">
        <v>0</v>
      </c>
      <c r="Q2046">
        <v>1.32</v>
      </c>
      <c r="R2046" t="s">
        <v>278</v>
      </c>
      <c r="S2046">
        <v>0.11</v>
      </c>
      <c r="T2046">
        <v>0.11</v>
      </c>
    </row>
    <row r="2047" spans="1:21" ht="15" customHeight="1" x14ac:dyDescent="0.25">
      <c r="A2047" t="s">
        <v>19</v>
      </c>
      <c r="B2047" t="s">
        <v>20</v>
      </c>
      <c r="C2047" t="s">
        <v>308</v>
      </c>
      <c r="D2047">
        <v>3</v>
      </c>
      <c r="E2047" t="s">
        <v>314</v>
      </c>
      <c r="F2047" t="s">
        <v>388</v>
      </c>
      <c r="G2047">
        <v>3</v>
      </c>
      <c r="H2047">
        <v>2</v>
      </c>
      <c r="I2047">
        <f>G2047+H2047</f>
        <v>5</v>
      </c>
      <c r="J2047">
        <f>100-G2047-H2047</f>
        <v>95</v>
      </c>
      <c r="K2047" t="s">
        <v>19</v>
      </c>
      <c r="L2047" t="s">
        <v>19</v>
      </c>
      <c r="M2047" t="s">
        <v>19</v>
      </c>
      <c r="N2047" t="s">
        <v>19</v>
      </c>
      <c r="O2047" t="s">
        <v>19</v>
      </c>
      <c r="P2047" t="s">
        <v>19</v>
      </c>
      <c r="Q2047">
        <f>I2047</f>
        <v>5</v>
      </c>
      <c r="R2047" t="s">
        <v>19</v>
      </c>
      <c r="S2047" t="s">
        <v>19</v>
      </c>
      <c r="T2047" t="s">
        <v>19</v>
      </c>
    </row>
    <row r="2048" spans="1:21" ht="15" customHeight="1" x14ac:dyDescent="0.25">
      <c r="A2048" t="s">
        <v>19</v>
      </c>
      <c r="B2048" t="s">
        <v>20</v>
      </c>
      <c r="C2048" t="s">
        <v>22</v>
      </c>
      <c r="D2048">
        <v>3</v>
      </c>
      <c r="E2048" t="s">
        <v>314</v>
      </c>
      <c r="F2048" t="s">
        <v>388</v>
      </c>
      <c r="G2048">
        <v>0</v>
      </c>
      <c r="H2048">
        <v>0</v>
      </c>
      <c r="I2048">
        <f>G2048+H2048</f>
        <v>0</v>
      </c>
      <c r="J2048">
        <f>100-G2048-H2048</f>
        <v>100</v>
      </c>
      <c r="K2048" t="s">
        <v>19</v>
      </c>
      <c r="L2048" t="s">
        <v>19</v>
      </c>
      <c r="M2048" t="s">
        <v>19</v>
      </c>
      <c r="N2048" t="s">
        <v>19</v>
      </c>
      <c r="O2048" t="s">
        <v>19</v>
      </c>
      <c r="P2048" t="s">
        <v>19</v>
      </c>
      <c r="Q2048">
        <f>I2048</f>
        <v>0</v>
      </c>
      <c r="R2048" t="s">
        <v>19</v>
      </c>
      <c r="S2048" t="s">
        <v>19</v>
      </c>
      <c r="T2048" t="s">
        <v>19</v>
      </c>
    </row>
    <row r="2049" spans="1:20" ht="15" customHeight="1" x14ac:dyDescent="0.25">
      <c r="A2049" t="s">
        <v>19</v>
      </c>
      <c r="B2049" t="s">
        <v>20</v>
      </c>
      <c r="C2049" t="s">
        <v>305</v>
      </c>
      <c r="D2049">
        <v>3</v>
      </c>
      <c r="E2049" t="s">
        <v>314</v>
      </c>
      <c r="F2049" t="s">
        <v>388</v>
      </c>
      <c r="G2049">
        <v>0</v>
      </c>
      <c r="H2049">
        <v>0</v>
      </c>
      <c r="I2049">
        <f>G2049+H2049</f>
        <v>0</v>
      </c>
      <c r="J2049">
        <f>100-G2049-H2049</f>
        <v>100</v>
      </c>
      <c r="K2049" t="s">
        <v>19</v>
      </c>
      <c r="L2049" t="s">
        <v>19</v>
      </c>
      <c r="M2049" t="s">
        <v>19</v>
      </c>
      <c r="N2049" t="s">
        <v>19</v>
      </c>
      <c r="O2049" t="s">
        <v>19</v>
      </c>
      <c r="P2049" t="s">
        <v>19</v>
      </c>
      <c r="Q2049">
        <f>I2049</f>
        <v>0</v>
      </c>
      <c r="R2049" t="s">
        <v>19</v>
      </c>
      <c r="S2049" t="s">
        <v>19</v>
      </c>
      <c r="T2049" t="s">
        <v>19</v>
      </c>
    </row>
    <row r="2050" spans="1:20" ht="15" customHeight="1" x14ac:dyDescent="0.25">
      <c r="A2050" t="s">
        <v>19</v>
      </c>
      <c r="B2050" t="s">
        <v>20</v>
      </c>
      <c r="C2050" t="s">
        <v>307</v>
      </c>
      <c r="D2050">
        <v>3</v>
      </c>
      <c r="E2050" t="s">
        <v>314</v>
      </c>
      <c r="F2050" t="s">
        <v>388</v>
      </c>
      <c r="G2050">
        <v>0</v>
      </c>
      <c r="H2050">
        <v>0</v>
      </c>
      <c r="I2050">
        <f>G2050+H2050</f>
        <v>0</v>
      </c>
      <c r="J2050">
        <f>100-G2050-H2050</f>
        <v>100</v>
      </c>
      <c r="K2050" t="s">
        <v>19</v>
      </c>
      <c r="L2050" t="s">
        <v>19</v>
      </c>
      <c r="M2050" t="s">
        <v>19</v>
      </c>
      <c r="N2050" t="s">
        <v>19</v>
      </c>
      <c r="O2050" t="s">
        <v>19</v>
      </c>
      <c r="P2050" t="s">
        <v>19</v>
      </c>
      <c r="Q2050">
        <f>I2050</f>
        <v>0</v>
      </c>
      <c r="R2050" t="s">
        <v>19</v>
      </c>
      <c r="S2050" t="s">
        <v>19</v>
      </c>
      <c r="T2050" t="s">
        <v>19</v>
      </c>
    </row>
    <row r="2051" spans="1:20" ht="15" customHeight="1" x14ac:dyDescent="0.25">
      <c r="A2051" s="2">
        <v>45253.617361111108</v>
      </c>
      <c r="B2051" t="s">
        <v>309</v>
      </c>
      <c r="C2051" t="s">
        <v>213</v>
      </c>
      <c r="D2051">
        <v>3</v>
      </c>
      <c r="E2051" t="s">
        <v>314</v>
      </c>
      <c r="F2051" t="s">
        <v>388</v>
      </c>
      <c r="G2051">
        <v>0.164203612</v>
      </c>
      <c r="H2051">
        <v>0.82101806200000005</v>
      </c>
      <c r="I2051">
        <v>0.98522167500000002</v>
      </c>
      <c r="J2051">
        <v>99.014778329999999</v>
      </c>
      <c r="K2051">
        <v>0.8</v>
      </c>
      <c r="L2051">
        <v>0.2</v>
      </c>
      <c r="M2051">
        <v>0.7</v>
      </c>
      <c r="N2051">
        <v>603</v>
      </c>
      <c r="O2051">
        <v>1</v>
      </c>
      <c r="P2051">
        <v>5</v>
      </c>
      <c r="Q2051">
        <v>0.99</v>
      </c>
      <c r="R2051" t="s">
        <v>248</v>
      </c>
      <c r="S2051">
        <v>2.73</v>
      </c>
      <c r="T2051">
        <v>3.6</v>
      </c>
    </row>
    <row r="2052" spans="1:20" ht="15" customHeight="1" x14ac:dyDescent="0.25">
      <c r="A2052" s="2">
        <v>45253.875</v>
      </c>
      <c r="B2052" t="s">
        <v>309</v>
      </c>
      <c r="C2052" t="s">
        <v>215</v>
      </c>
      <c r="D2052">
        <v>2</v>
      </c>
      <c r="E2052" t="s">
        <v>314</v>
      </c>
      <c r="F2052" t="s">
        <v>388</v>
      </c>
      <c r="G2052">
        <v>5.799373041</v>
      </c>
      <c r="H2052">
        <v>0</v>
      </c>
      <c r="I2052">
        <v>5.799373041</v>
      </c>
      <c r="J2052">
        <v>94.200626959999994</v>
      </c>
      <c r="K2052">
        <v>0.8</v>
      </c>
      <c r="L2052">
        <v>0.2</v>
      </c>
      <c r="M2052">
        <v>0.7</v>
      </c>
      <c r="N2052">
        <v>601</v>
      </c>
      <c r="O2052">
        <v>37</v>
      </c>
      <c r="P2052">
        <v>0</v>
      </c>
      <c r="Q2052">
        <v>5.8</v>
      </c>
      <c r="R2052" t="s">
        <v>243</v>
      </c>
      <c r="S2052">
        <v>0.14000000000000001</v>
      </c>
      <c r="T2052">
        <v>0.16</v>
      </c>
    </row>
    <row r="2053" spans="1:20" ht="15" customHeight="1" x14ac:dyDescent="0.25">
      <c r="A2053" s="2">
        <v>45254.045138888891</v>
      </c>
      <c r="B2053" t="s">
        <v>309</v>
      </c>
      <c r="C2053" t="s">
        <v>217</v>
      </c>
      <c r="D2053">
        <v>2</v>
      </c>
      <c r="E2053" t="s">
        <v>314</v>
      </c>
      <c r="F2053" t="s">
        <v>388</v>
      </c>
      <c r="G2053">
        <v>11.26760563</v>
      </c>
      <c r="H2053">
        <v>0</v>
      </c>
      <c r="I2053">
        <v>11.26760563</v>
      </c>
      <c r="J2053">
        <v>88.732394369999994</v>
      </c>
      <c r="K2053">
        <v>0.8</v>
      </c>
      <c r="L2053">
        <v>0.2</v>
      </c>
      <c r="M2053">
        <v>0.7</v>
      </c>
      <c r="N2053">
        <v>441</v>
      </c>
      <c r="O2053">
        <v>56</v>
      </c>
      <c r="P2053">
        <v>0</v>
      </c>
      <c r="Q2053">
        <v>11.27</v>
      </c>
      <c r="R2053" t="s">
        <v>218</v>
      </c>
      <c r="S2053">
        <v>0.45</v>
      </c>
      <c r="T2053">
        <v>0.51</v>
      </c>
    </row>
    <row r="2054" spans="1:20" ht="15" customHeight="1" x14ac:dyDescent="0.25">
      <c r="A2054" s="2">
        <v>45316.554861111108</v>
      </c>
      <c r="B2054" t="s">
        <v>309</v>
      </c>
      <c r="C2054" t="s">
        <v>219</v>
      </c>
      <c r="D2054">
        <v>3</v>
      </c>
      <c r="E2054" t="s">
        <v>314</v>
      </c>
      <c r="F2054" t="s">
        <v>388</v>
      </c>
      <c r="G2054">
        <v>0</v>
      </c>
      <c r="H2054">
        <v>1.289134438</v>
      </c>
      <c r="I2054">
        <v>1.289134438</v>
      </c>
      <c r="J2054">
        <v>98.710865560000002</v>
      </c>
      <c r="K2054">
        <v>0.8</v>
      </c>
      <c r="L2054">
        <v>0.2</v>
      </c>
      <c r="M2054">
        <v>0.7</v>
      </c>
      <c r="N2054">
        <v>536</v>
      </c>
      <c r="O2054">
        <v>0</v>
      </c>
      <c r="P2054">
        <v>7</v>
      </c>
      <c r="Q2054">
        <v>1.29</v>
      </c>
      <c r="R2054" t="s">
        <v>216</v>
      </c>
      <c r="S2054">
        <v>3.22</v>
      </c>
      <c r="T2054">
        <v>4.8</v>
      </c>
    </row>
    <row r="2055" spans="1:20" ht="15" customHeight="1" x14ac:dyDescent="0.25">
      <c r="A2055" s="2">
        <v>45320.898611111108</v>
      </c>
      <c r="B2055" t="s">
        <v>309</v>
      </c>
      <c r="C2055" t="s">
        <v>221</v>
      </c>
      <c r="D2055">
        <v>2</v>
      </c>
      <c r="E2055" t="s">
        <v>314</v>
      </c>
      <c r="F2055" t="s">
        <v>388</v>
      </c>
      <c r="G2055">
        <v>0.37593985000000002</v>
      </c>
      <c r="H2055">
        <v>0</v>
      </c>
      <c r="I2055">
        <v>0.37593985000000002</v>
      </c>
      <c r="J2055">
        <v>99.624060150000005</v>
      </c>
      <c r="K2055">
        <v>0.8</v>
      </c>
      <c r="L2055">
        <v>0.3</v>
      </c>
      <c r="M2055">
        <v>0.7</v>
      </c>
      <c r="N2055">
        <v>530</v>
      </c>
      <c r="O2055">
        <v>2</v>
      </c>
      <c r="P2055">
        <v>0</v>
      </c>
      <c r="Q2055">
        <v>0.38</v>
      </c>
      <c r="R2055" t="s">
        <v>226</v>
      </c>
      <c r="S2055">
        <v>7.0000000000000007E-2</v>
      </c>
      <c r="T2055">
        <v>0.08</v>
      </c>
    </row>
    <row r="2056" spans="1:20" ht="15" customHeight="1" x14ac:dyDescent="0.25">
      <c r="A2056" t="s">
        <v>19</v>
      </c>
      <c r="B2056" t="s">
        <v>20</v>
      </c>
      <c r="C2056" t="s">
        <v>306</v>
      </c>
      <c r="D2056">
        <v>3</v>
      </c>
      <c r="E2056" t="s">
        <v>314</v>
      </c>
      <c r="F2056" t="s">
        <v>388</v>
      </c>
      <c r="G2056">
        <v>3</v>
      </c>
      <c r="H2056">
        <v>1</v>
      </c>
      <c r="I2056">
        <f>G2056+H2056</f>
        <v>4</v>
      </c>
      <c r="J2056">
        <f t="shared" ref="J2056:J2062" si="15">100-G2056-H2056</f>
        <v>96</v>
      </c>
      <c r="K2056" t="s">
        <v>19</v>
      </c>
      <c r="L2056" t="s">
        <v>19</v>
      </c>
      <c r="M2056" t="s">
        <v>19</v>
      </c>
      <c r="N2056" t="s">
        <v>19</v>
      </c>
      <c r="O2056" t="s">
        <v>19</v>
      </c>
      <c r="P2056" t="s">
        <v>19</v>
      </c>
      <c r="Q2056">
        <f t="shared" ref="Q2056:Q2062" si="16">I2056</f>
        <v>4</v>
      </c>
      <c r="R2056" t="s">
        <v>19</v>
      </c>
      <c r="S2056" t="s">
        <v>19</v>
      </c>
      <c r="T2056" t="s">
        <v>19</v>
      </c>
    </row>
    <row r="2057" spans="1:20" ht="15" customHeight="1" x14ac:dyDescent="0.25">
      <c r="A2057" t="s">
        <v>19</v>
      </c>
      <c r="B2057" t="s">
        <v>20</v>
      </c>
      <c r="C2057" t="s">
        <v>320</v>
      </c>
      <c r="D2057">
        <v>3</v>
      </c>
      <c r="E2057" t="s">
        <v>314</v>
      </c>
      <c r="F2057" t="s">
        <v>388</v>
      </c>
      <c r="G2057">
        <v>0</v>
      </c>
      <c r="H2057">
        <v>0</v>
      </c>
      <c r="I2057">
        <f>100-J2057</f>
        <v>0</v>
      </c>
      <c r="J2057">
        <f t="shared" si="15"/>
        <v>100</v>
      </c>
      <c r="K2057" t="s">
        <v>19</v>
      </c>
      <c r="L2057" t="s">
        <v>19</v>
      </c>
      <c r="M2057" t="s">
        <v>19</v>
      </c>
      <c r="N2057" t="s">
        <v>19</v>
      </c>
      <c r="O2057" t="s">
        <v>19</v>
      </c>
      <c r="P2057" t="s">
        <v>19</v>
      </c>
      <c r="Q2057">
        <f t="shared" si="16"/>
        <v>0</v>
      </c>
      <c r="R2057" t="s">
        <v>19</v>
      </c>
      <c r="S2057" t="s">
        <v>19</v>
      </c>
      <c r="T2057" t="s">
        <v>19</v>
      </c>
    </row>
    <row r="2058" spans="1:20" ht="15" customHeight="1" x14ac:dyDescent="0.25">
      <c r="A2058" t="s">
        <v>19</v>
      </c>
      <c r="B2058" t="s">
        <v>20</v>
      </c>
      <c r="C2058" t="s">
        <v>306</v>
      </c>
      <c r="D2058">
        <v>3</v>
      </c>
      <c r="E2058" t="s">
        <v>315</v>
      </c>
      <c r="F2058" t="s">
        <v>373</v>
      </c>
      <c r="G2058">
        <v>1</v>
      </c>
      <c r="H2058">
        <v>0</v>
      </c>
      <c r="I2058">
        <f>G2058+H2058</f>
        <v>1</v>
      </c>
      <c r="J2058">
        <f t="shared" si="15"/>
        <v>99</v>
      </c>
      <c r="K2058" t="s">
        <v>19</v>
      </c>
      <c r="L2058" t="s">
        <v>19</v>
      </c>
      <c r="M2058" t="s">
        <v>19</v>
      </c>
      <c r="N2058" t="s">
        <v>19</v>
      </c>
      <c r="O2058" t="s">
        <v>19</v>
      </c>
      <c r="P2058" t="s">
        <v>19</v>
      </c>
      <c r="Q2058">
        <f t="shared" si="16"/>
        <v>1</v>
      </c>
      <c r="R2058" t="s">
        <v>19</v>
      </c>
      <c r="S2058" t="s">
        <v>19</v>
      </c>
      <c r="T2058" t="s">
        <v>19</v>
      </c>
    </row>
    <row r="2059" spans="1:20" ht="15" customHeight="1" x14ac:dyDescent="0.25">
      <c r="A2059" t="s">
        <v>19</v>
      </c>
      <c r="B2059" t="s">
        <v>20</v>
      </c>
      <c r="C2059" t="s">
        <v>308</v>
      </c>
      <c r="D2059">
        <v>3</v>
      </c>
      <c r="E2059" t="s">
        <v>315</v>
      </c>
      <c r="F2059" t="s">
        <v>373</v>
      </c>
      <c r="G2059">
        <v>2</v>
      </c>
      <c r="H2059">
        <v>0</v>
      </c>
      <c r="I2059">
        <f>G2059+H2059</f>
        <v>2</v>
      </c>
      <c r="J2059">
        <f t="shared" si="15"/>
        <v>98</v>
      </c>
      <c r="K2059" t="s">
        <v>19</v>
      </c>
      <c r="L2059" t="s">
        <v>19</v>
      </c>
      <c r="M2059" t="s">
        <v>19</v>
      </c>
      <c r="N2059" t="s">
        <v>19</v>
      </c>
      <c r="O2059" t="s">
        <v>19</v>
      </c>
      <c r="P2059" t="s">
        <v>19</v>
      </c>
      <c r="Q2059">
        <f t="shared" si="16"/>
        <v>2</v>
      </c>
      <c r="R2059" t="s">
        <v>19</v>
      </c>
      <c r="S2059" t="s">
        <v>19</v>
      </c>
      <c r="T2059" t="s">
        <v>19</v>
      </c>
    </row>
    <row r="2060" spans="1:20" ht="15" customHeight="1" x14ac:dyDescent="0.25">
      <c r="A2060" t="s">
        <v>19</v>
      </c>
      <c r="B2060" t="s">
        <v>20</v>
      </c>
      <c r="C2060" t="s">
        <v>22</v>
      </c>
      <c r="D2060">
        <v>3</v>
      </c>
      <c r="E2060" t="s">
        <v>315</v>
      </c>
      <c r="F2060" t="s">
        <v>373</v>
      </c>
      <c r="G2060">
        <v>0</v>
      </c>
      <c r="H2060">
        <v>0</v>
      </c>
      <c r="I2060">
        <f>G2060+H2060</f>
        <v>0</v>
      </c>
      <c r="J2060">
        <f t="shared" si="15"/>
        <v>100</v>
      </c>
      <c r="K2060" t="s">
        <v>19</v>
      </c>
      <c r="L2060" t="s">
        <v>19</v>
      </c>
      <c r="M2060" t="s">
        <v>19</v>
      </c>
      <c r="N2060" t="s">
        <v>19</v>
      </c>
      <c r="O2060" t="s">
        <v>19</v>
      </c>
      <c r="P2060" t="s">
        <v>19</v>
      </c>
      <c r="Q2060">
        <f t="shared" si="16"/>
        <v>0</v>
      </c>
      <c r="R2060" t="s">
        <v>19</v>
      </c>
      <c r="S2060" t="s">
        <v>19</v>
      </c>
      <c r="T2060" t="s">
        <v>19</v>
      </c>
    </row>
    <row r="2061" spans="1:20" ht="15" customHeight="1" x14ac:dyDescent="0.25">
      <c r="A2061" t="s">
        <v>19</v>
      </c>
      <c r="B2061" t="s">
        <v>20</v>
      </c>
      <c r="C2061" t="s">
        <v>305</v>
      </c>
      <c r="D2061">
        <v>3</v>
      </c>
      <c r="E2061" t="s">
        <v>315</v>
      </c>
      <c r="F2061" t="s">
        <v>373</v>
      </c>
      <c r="G2061">
        <v>1</v>
      </c>
      <c r="H2061">
        <v>0</v>
      </c>
      <c r="I2061">
        <f>G2061+H2061</f>
        <v>1</v>
      </c>
      <c r="J2061">
        <f t="shared" si="15"/>
        <v>99</v>
      </c>
      <c r="K2061" t="s">
        <v>19</v>
      </c>
      <c r="L2061" t="s">
        <v>19</v>
      </c>
      <c r="M2061" t="s">
        <v>19</v>
      </c>
      <c r="N2061" t="s">
        <v>19</v>
      </c>
      <c r="O2061" t="s">
        <v>19</v>
      </c>
      <c r="P2061" t="s">
        <v>19</v>
      </c>
      <c r="Q2061">
        <f t="shared" si="16"/>
        <v>1</v>
      </c>
      <c r="R2061" t="s">
        <v>19</v>
      </c>
      <c r="S2061" t="s">
        <v>19</v>
      </c>
      <c r="T2061" t="s">
        <v>19</v>
      </c>
    </row>
    <row r="2062" spans="1:20" ht="15" customHeight="1" x14ac:dyDescent="0.25">
      <c r="A2062" t="s">
        <v>19</v>
      </c>
      <c r="B2062" t="s">
        <v>20</v>
      </c>
      <c r="C2062" t="s">
        <v>307</v>
      </c>
      <c r="D2062">
        <v>3</v>
      </c>
      <c r="E2062" t="s">
        <v>315</v>
      </c>
      <c r="F2062" t="s">
        <v>373</v>
      </c>
      <c r="G2062">
        <v>0</v>
      </c>
      <c r="H2062">
        <v>0</v>
      </c>
      <c r="I2062">
        <f>G2062+H2062</f>
        <v>0</v>
      </c>
      <c r="J2062">
        <f t="shared" si="15"/>
        <v>100</v>
      </c>
      <c r="K2062" t="s">
        <v>19</v>
      </c>
      <c r="L2062" t="s">
        <v>19</v>
      </c>
      <c r="M2062" t="s">
        <v>19</v>
      </c>
      <c r="N2062" t="s">
        <v>19</v>
      </c>
      <c r="O2062" t="s">
        <v>19</v>
      </c>
      <c r="P2062" t="s">
        <v>19</v>
      </c>
      <c r="Q2062">
        <f t="shared" si="16"/>
        <v>0</v>
      </c>
      <c r="R2062" t="s">
        <v>19</v>
      </c>
      <c r="S2062" t="s">
        <v>19</v>
      </c>
      <c r="T2062" t="s">
        <v>19</v>
      </c>
    </row>
    <row r="2063" spans="1:20" ht="15" customHeight="1" x14ac:dyDescent="0.25">
      <c r="A2063" s="2">
        <v>45253.775694444441</v>
      </c>
      <c r="B2063" t="s">
        <v>309</v>
      </c>
      <c r="C2063" t="s">
        <v>213</v>
      </c>
      <c r="D2063">
        <v>3</v>
      </c>
      <c r="E2063" t="s">
        <v>315</v>
      </c>
      <c r="F2063" t="s">
        <v>373</v>
      </c>
      <c r="G2063">
        <v>0.222717149</v>
      </c>
      <c r="H2063">
        <v>0</v>
      </c>
      <c r="I2063">
        <v>0.222717149</v>
      </c>
      <c r="J2063">
        <v>99.777282850000006</v>
      </c>
      <c r="K2063">
        <v>0.8</v>
      </c>
      <c r="L2063">
        <v>0.2</v>
      </c>
      <c r="M2063">
        <v>0.7</v>
      </c>
      <c r="N2063">
        <v>448</v>
      </c>
      <c r="O2063">
        <v>1</v>
      </c>
      <c r="P2063">
        <v>0</v>
      </c>
      <c r="Q2063">
        <v>0.22</v>
      </c>
      <c r="R2063" t="s">
        <v>271</v>
      </c>
      <c r="S2063">
        <v>2.79</v>
      </c>
      <c r="T2063">
        <v>3.34</v>
      </c>
    </row>
    <row r="2064" spans="1:20" ht="15" customHeight="1" x14ac:dyDescent="0.25">
      <c r="A2064" s="2">
        <v>45253.959027777775</v>
      </c>
      <c r="B2064" t="s">
        <v>309</v>
      </c>
      <c r="C2064" t="s">
        <v>215</v>
      </c>
      <c r="D2064">
        <v>2</v>
      </c>
      <c r="E2064" t="s">
        <v>315</v>
      </c>
      <c r="F2064" t="s">
        <v>373</v>
      </c>
      <c r="G2064">
        <v>2.6548672569999998</v>
      </c>
      <c r="H2064">
        <v>0</v>
      </c>
      <c r="I2064">
        <v>2.6548672569999998</v>
      </c>
      <c r="J2064">
        <v>97.345132739999997</v>
      </c>
      <c r="K2064">
        <v>0.8</v>
      </c>
      <c r="L2064">
        <v>0.2</v>
      </c>
      <c r="M2064">
        <v>0.7</v>
      </c>
      <c r="N2064">
        <v>440</v>
      </c>
      <c r="O2064">
        <v>12</v>
      </c>
      <c r="P2064">
        <v>0</v>
      </c>
      <c r="Q2064">
        <v>2.65</v>
      </c>
      <c r="R2064" t="s">
        <v>290</v>
      </c>
      <c r="S2064">
        <v>0.11</v>
      </c>
      <c r="T2064">
        <v>0.12</v>
      </c>
    </row>
    <row r="2065" spans="1:21" ht="15" customHeight="1" x14ac:dyDescent="0.25">
      <c r="A2065" s="2">
        <v>45254.136111111111</v>
      </c>
      <c r="B2065" t="s">
        <v>309</v>
      </c>
      <c r="C2065" t="s">
        <v>217</v>
      </c>
      <c r="D2065">
        <v>2</v>
      </c>
      <c r="E2065" t="s">
        <v>315</v>
      </c>
      <c r="F2065" t="s">
        <v>373</v>
      </c>
      <c r="G2065">
        <v>13.47962382</v>
      </c>
      <c r="H2065">
        <v>0</v>
      </c>
      <c r="I2065">
        <v>13.47962382</v>
      </c>
      <c r="J2065">
        <v>86.52037618</v>
      </c>
      <c r="K2065">
        <v>0.8</v>
      </c>
      <c r="L2065">
        <v>0.2</v>
      </c>
      <c r="M2065">
        <v>0.7</v>
      </c>
      <c r="N2065">
        <v>276</v>
      </c>
      <c r="O2065">
        <v>43</v>
      </c>
      <c r="P2065">
        <v>0</v>
      </c>
      <c r="Q2065">
        <v>13.48</v>
      </c>
      <c r="R2065" t="s">
        <v>227</v>
      </c>
      <c r="S2065">
        <v>0.53</v>
      </c>
      <c r="T2065">
        <v>0.57999999999999996</v>
      </c>
    </row>
    <row r="2066" spans="1:21" ht="15" customHeight="1" x14ac:dyDescent="0.25">
      <c r="A2066" s="2">
        <v>45316.47152777778</v>
      </c>
      <c r="B2066" t="s">
        <v>309</v>
      </c>
      <c r="C2066" t="s">
        <v>219</v>
      </c>
      <c r="D2066">
        <v>3</v>
      </c>
      <c r="E2066" t="s">
        <v>315</v>
      </c>
      <c r="F2066" t="s">
        <v>373</v>
      </c>
      <c r="G2066">
        <v>1.4749262540000001</v>
      </c>
      <c r="H2066">
        <v>0.294985251</v>
      </c>
      <c r="I2066">
        <v>1.769911504</v>
      </c>
      <c r="J2066">
        <v>98.230088499999994</v>
      </c>
      <c r="K2066">
        <v>0.8</v>
      </c>
      <c r="L2066">
        <v>0.2</v>
      </c>
      <c r="M2066">
        <v>0.7</v>
      </c>
      <c r="N2066">
        <v>333</v>
      </c>
      <c r="O2066">
        <v>5</v>
      </c>
      <c r="P2066">
        <v>1</v>
      </c>
      <c r="Q2066">
        <v>1.77</v>
      </c>
      <c r="R2066" t="s">
        <v>298</v>
      </c>
      <c r="S2066">
        <v>3.2</v>
      </c>
      <c r="T2066">
        <v>4.5199999999999996</v>
      </c>
    </row>
    <row r="2067" spans="1:21" ht="15" customHeight="1" x14ac:dyDescent="0.25">
      <c r="A2067" s="2">
        <v>45320.99722222222</v>
      </c>
      <c r="B2067" t="s">
        <v>309</v>
      </c>
      <c r="C2067" t="s">
        <v>221</v>
      </c>
      <c r="D2067">
        <v>2</v>
      </c>
      <c r="E2067" t="s">
        <v>315</v>
      </c>
      <c r="F2067" t="s">
        <v>373</v>
      </c>
      <c r="G2067">
        <v>0.63424947099999995</v>
      </c>
      <c r="H2067">
        <v>0</v>
      </c>
      <c r="I2067">
        <v>0.63424947099999995</v>
      </c>
      <c r="J2067">
        <v>99.36575053</v>
      </c>
      <c r="K2067">
        <v>0.8</v>
      </c>
      <c r="L2067">
        <v>0.3</v>
      </c>
      <c r="M2067">
        <v>0.7</v>
      </c>
      <c r="N2067">
        <v>470</v>
      </c>
      <c r="O2067">
        <v>3</v>
      </c>
      <c r="P2067">
        <v>0</v>
      </c>
      <c r="Q2067">
        <v>0.63</v>
      </c>
      <c r="R2067" t="s">
        <v>231</v>
      </c>
      <c r="S2067">
        <v>0.03</v>
      </c>
      <c r="T2067">
        <v>0.03</v>
      </c>
    </row>
    <row r="2068" spans="1:21" ht="15" customHeight="1" x14ac:dyDescent="0.25">
      <c r="A2068" t="s">
        <v>19</v>
      </c>
      <c r="B2068" t="s">
        <v>20</v>
      </c>
      <c r="C2068" t="s">
        <v>320</v>
      </c>
      <c r="D2068">
        <v>3</v>
      </c>
      <c r="E2068" t="s">
        <v>315</v>
      </c>
      <c r="F2068" t="s">
        <v>373</v>
      </c>
      <c r="G2068">
        <v>0</v>
      </c>
      <c r="H2068">
        <v>0</v>
      </c>
      <c r="I2068">
        <f>100-J2068</f>
        <v>0</v>
      </c>
      <c r="J2068">
        <f t="shared" ref="J2068:J2073" si="17">100-G2068-H2068</f>
        <v>100</v>
      </c>
      <c r="K2068" t="s">
        <v>19</v>
      </c>
      <c r="L2068" t="s">
        <v>19</v>
      </c>
      <c r="M2068" t="s">
        <v>19</v>
      </c>
      <c r="N2068" t="s">
        <v>19</v>
      </c>
      <c r="O2068" t="s">
        <v>19</v>
      </c>
      <c r="P2068" t="s">
        <v>19</v>
      </c>
      <c r="Q2068">
        <f t="shared" ref="Q2068:Q2073" si="18">I2068</f>
        <v>0</v>
      </c>
      <c r="R2068" t="s">
        <v>19</v>
      </c>
      <c r="S2068" t="s">
        <v>19</v>
      </c>
      <c r="T2068" t="s">
        <v>19</v>
      </c>
    </row>
    <row r="2069" spans="1:21" ht="15" customHeight="1" x14ac:dyDescent="0.25">
      <c r="A2069" t="s">
        <v>19</v>
      </c>
      <c r="B2069" t="s">
        <v>20</v>
      </c>
      <c r="C2069" t="s">
        <v>306</v>
      </c>
      <c r="D2069">
        <v>3</v>
      </c>
      <c r="E2069" t="s">
        <v>164</v>
      </c>
      <c r="F2069" t="s">
        <v>373</v>
      </c>
      <c r="G2069">
        <v>12</v>
      </c>
      <c r="H2069">
        <v>0</v>
      </c>
      <c r="I2069">
        <f>G2069+H2069</f>
        <v>12</v>
      </c>
      <c r="J2069">
        <f t="shared" si="17"/>
        <v>88</v>
      </c>
      <c r="K2069" t="s">
        <v>19</v>
      </c>
      <c r="L2069" t="s">
        <v>19</v>
      </c>
      <c r="M2069" t="s">
        <v>19</v>
      </c>
      <c r="N2069" t="s">
        <v>19</v>
      </c>
      <c r="O2069" t="s">
        <v>19</v>
      </c>
      <c r="P2069" t="s">
        <v>19</v>
      </c>
      <c r="Q2069">
        <f t="shared" si="18"/>
        <v>12</v>
      </c>
      <c r="R2069" t="s">
        <v>19</v>
      </c>
      <c r="S2069" t="s">
        <v>19</v>
      </c>
      <c r="T2069" t="s">
        <v>19</v>
      </c>
    </row>
    <row r="2070" spans="1:21" ht="15" customHeight="1" x14ac:dyDescent="0.25">
      <c r="A2070" t="s">
        <v>19</v>
      </c>
      <c r="B2070" t="s">
        <v>20</v>
      </c>
      <c r="C2070" t="s">
        <v>308</v>
      </c>
      <c r="D2070">
        <v>3</v>
      </c>
      <c r="E2070" t="s">
        <v>164</v>
      </c>
      <c r="F2070" t="s">
        <v>373</v>
      </c>
      <c r="G2070">
        <v>7</v>
      </c>
      <c r="H2070">
        <v>0</v>
      </c>
      <c r="I2070">
        <f>G2070+H2070</f>
        <v>7</v>
      </c>
      <c r="J2070">
        <f t="shared" si="17"/>
        <v>93</v>
      </c>
      <c r="K2070" t="s">
        <v>19</v>
      </c>
      <c r="L2070" t="s">
        <v>19</v>
      </c>
      <c r="M2070" t="s">
        <v>19</v>
      </c>
      <c r="N2070" t="s">
        <v>19</v>
      </c>
      <c r="O2070" t="s">
        <v>19</v>
      </c>
      <c r="P2070" t="s">
        <v>19</v>
      </c>
      <c r="Q2070">
        <f t="shared" si="18"/>
        <v>7</v>
      </c>
      <c r="R2070" t="s">
        <v>19</v>
      </c>
      <c r="S2070" t="s">
        <v>19</v>
      </c>
      <c r="T2070" t="s">
        <v>19</v>
      </c>
    </row>
    <row r="2071" spans="1:21" ht="15" customHeight="1" x14ac:dyDescent="0.25">
      <c r="A2071" t="s">
        <v>19</v>
      </c>
      <c r="B2071" t="s">
        <v>20</v>
      </c>
      <c r="C2071" t="s">
        <v>22</v>
      </c>
      <c r="D2071">
        <v>3</v>
      </c>
      <c r="E2071" t="s">
        <v>164</v>
      </c>
      <c r="F2071" t="s">
        <v>373</v>
      </c>
      <c r="G2071">
        <v>5</v>
      </c>
      <c r="H2071">
        <v>0</v>
      </c>
      <c r="I2071">
        <f>G2071+H2071</f>
        <v>5</v>
      </c>
      <c r="J2071">
        <f t="shared" si="17"/>
        <v>95</v>
      </c>
      <c r="K2071" t="s">
        <v>19</v>
      </c>
      <c r="L2071" t="s">
        <v>19</v>
      </c>
      <c r="M2071" t="s">
        <v>19</v>
      </c>
      <c r="N2071" t="s">
        <v>19</v>
      </c>
      <c r="O2071" t="s">
        <v>19</v>
      </c>
      <c r="P2071" t="s">
        <v>19</v>
      </c>
      <c r="Q2071">
        <f t="shared" si="18"/>
        <v>5</v>
      </c>
      <c r="R2071" t="s">
        <v>19</v>
      </c>
      <c r="S2071" t="s">
        <v>19</v>
      </c>
      <c r="T2071" t="s">
        <v>19</v>
      </c>
    </row>
    <row r="2072" spans="1:21" ht="15" customHeight="1" x14ac:dyDescent="0.25">
      <c r="A2072" t="s">
        <v>19</v>
      </c>
      <c r="B2072" t="s">
        <v>20</v>
      </c>
      <c r="C2072" t="s">
        <v>305</v>
      </c>
      <c r="D2072">
        <v>3</v>
      </c>
      <c r="E2072" t="s">
        <v>164</v>
      </c>
      <c r="F2072" t="s">
        <v>373</v>
      </c>
      <c r="G2072">
        <v>3</v>
      </c>
      <c r="H2072">
        <v>0</v>
      </c>
      <c r="I2072">
        <f>G2072+H2072</f>
        <v>3</v>
      </c>
      <c r="J2072">
        <f t="shared" si="17"/>
        <v>97</v>
      </c>
      <c r="K2072" t="s">
        <v>19</v>
      </c>
      <c r="L2072" t="s">
        <v>19</v>
      </c>
      <c r="M2072" t="s">
        <v>19</v>
      </c>
      <c r="N2072" t="s">
        <v>19</v>
      </c>
      <c r="O2072" t="s">
        <v>19</v>
      </c>
      <c r="P2072" t="s">
        <v>19</v>
      </c>
      <c r="Q2072">
        <f t="shared" si="18"/>
        <v>3</v>
      </c>
      <c r="R2072" t="s">
        <v>19</v>
      </c>
      <c r="S2072" t="s">
        <v>19</v>
      </c>
      <c r="T2072" t="s">
        <v>19</v>
      </c>
    </row>
    <row r="2073" spans="1:21" ht="15" customHeight="1" x14ac:dyDescent="0.25">
      <c r="A2073" t="s">
        <v>19</v>
      </c>
      <c r="B2073" t="s">
        <v>20</v>
      </c>
      <c r="C2073" t="s">
        <v>307</v>
      </c>
      <c r="D2073">
        <v>3</v>
      </c>
      <c r="E2073" t="s">
        <v>164</v>
      </c>
      <c r="F2073" t="s">
        <v>373</v>
      </c>
      <c r="G2073">
        <v>0</v>
      </c>
      <c r="H2073">
        <v>0</v>
      </c>
      <c r="I2073">
        <f>G2073+H2073</f>
        <v>0</v>
      </c>
      <c r="J2073">
        <f t="shared" si="17"/>
        <v>100</v>
      </c>
      <c r="K2073" t="s">
        <v>19</v>
      </c>
      <c r="L2073" t="s">
        <v>19</v>
      </c>
      <c r="M2073" t="s">
        <v>19</v>
      </c>
      <c r="N2073" t="s">
        <v>19</v>
      </c>
      <c r="O2073" t="s">
        <v>19</v>
      </c>
      <c r="P2073" t="s">
        <v>19</v>
      </c>
      <c r="Q2073">
        <f t="shared" si="18"/>
        <v>0</v>
      </c>
      <c r="R2073" t="s">
        <v>19</v>
      </c>
      <c r="S2073" t="s">
        <v>19</v>
      </c>
      <c r="T2073" t="s">
        <v>19</v>
      </c>
    </row>
    <row r="2074" spans="1:21" ht="15" customHeight="1" x14ac:dyDescent="0.25">
      <c r="A2074" s="2">
        <v>45253.777083333334</v>
      </c>
      <c r="B2074" t="s">
        <v>309</v>
      </c>
      <c r="C2074" t="s">
        <v>213</v>
      </c>
      <c r="D2074">
        <v>3</v>
      </c>
      <c r="E2074" t="s">
        <v>164</v>
      </c>
      <c r="F2074" t="s">
        <v>373</v>
      </c>
      <c r="G2074">
        <v>7.0671378090000001</v>
      </c>
      <c r="H2074">
        <v>0</v>
      </c>
      <c r="I2074">
        <v>7.0671378090000001</v>
      </c>
      <c r="J2074">
        <v>92.932862189999994</v>
      </c>
      <c r="K2074">
        <v>0.8</v>
      </c>
      <c r="L2074">
        <v>0.2</v>
      </c>
      <c r="M2074">
        <v>0.7</v>
      </c>
      <c r="N2074">
        <v>526</v>
      </c>
      <c r="O2074">
        <v>40</v>
      </c>
      <c r="P2074">
        <v>0</v>
      </c>
      <c r="Q2074">
        <v>7.07</v>
      </c>
      <c r="R2074" t="s">
        <v>248</v>
      </c>
      <c r="S2074">
        <v>2.78</v>
      </c>
      <c r="T2074">
        <v>3.12</v>
      </c>
    </row>
    <row r="2075" spans="1:21" ht="15" customHeight="1" x14ac:dyDescent="0.25">
      <c r="A2075" s="2">
        <v>45253.959722222222</v>
      </c>
      <c r="B2075" t="s">
        <v>309</v>
      </c>
      <c r="C2075" t="s">
        <v>215</v>
      </c>
      <c r="D2075">
        <v>2</v>
      </c>
      <c r="E2075" t="s">
        <v>164</v>
      </c>
      <c r="F2075" t="s">
        <v>373</v>
      </c>
      <c r="G2075">
        <v>0.14265335200000001</v>
      </c>
      <c r="H2075">
        <v>0</v>
      </c>
      <c r="I2075">
        <v>0.14265335200000001</v>
      </c>
      <c r="J2075">
        <v>99.857346649999997</v>
      </c>
      <c r="K2075">
        <v>0.8</v>
      </c>
      <c r="L2075">
        <v>0.2</v>
      </c>
      <c r="M2075">
        <v>0.7</v>
      </c>
      <c r="N2075">
        <v>700</v>
      </c>
      <c r="O2075">
        <v>1</v>
      </c>
      <c r="P2075">
        <v>0</v>
      </c>
      <c r="Q2075">
        <v>0.14000000000000001</v>
      </c>
      <c r="R2075" t="s">
        <v>257</v>
      </c>
      <c r="S2075">
        <v>0.02</v>
      </c>
      <c r="T2075">
        <v>0.02</v>
      </c>
    </row>
    <row r="2076" spans="1:21" ht="15" customHeight="1" x14ac:dyDescent="0.25">
      <c r="A2076" s="2">
        <v>45254.136805555558</v>
      </c>
      <c r="B2076" t="s">
        <v>309</v>
      </c>
      <c r="C2076" t="s">
        <v>217</v>
      </c>
      <c r="D2076">
        <v>2</v>
      </c>
      <c r="E2076" t="s">
        <v>164</v>
      </c>
      <c r="F2076" t="s">
        <v>373</v>
      </c>
      <c r="G2076">
        <v>2.0497803810000002</v>
      </c>
      <c r="H2076">
        <v>0</v>
      </c>
      <c r="I2076">
        <v>2.0497803810000002</v>
      </c>
      <c r="J2076">
        <v>97.950219619999999</v>
      </c>
      <c r="K2076">
        <v>0.8</v>
      </c>
      <c r="L2076">
        <v>0.2</v>
      </c>
      <c r="M2076">
        <v>0.7</v>
      </c>
      <c r="N2076">
        <v>669</v>
      </c>
      <c r="O2076">
        <v>14</v>
      </c>
      <c r="P2076">
        <v>0</v>
      </c>
      <c r="Q2076">
        <v>2.0499999999999998</v>
      </c>
      <c r="R2076" t="s">
        <v>231</v>
      </c>
      <c r="S2076">
        <v>0.09</v>
      </c>
      <c r="T2076">
        <v>0.09</v>
      </c>
    </row>
    <row r="2077" spans="1:21" ht="15" customHeight="1" x14ac:dyDescent="0.25">
      <c r="A2077" s="2">
        <v>45316.472222222219</v>
      </c>
      <c r="B2077" t="s">
        <v>309</v>
      </c>
      <c r="C2077" t="s">
        <v>219</v>
      </c>
      <c r="D2077">
        <v>3</v>
      </c>
      <c r="E2077" t="s">
        <v>164</v>
      </c>
      <c r="F2077" t="s">
        <v>373</v>
      </c>
      <c r="G2077">
        <v>16.16915423</v>
      </c>
      <c r="H2077">
        <v>0.248756219</v>
      </c>
      <c r="I2077">
        <v>16.417910450000001</v>
      </c>
      <c r="J2077">
        <v>83.582089550000006</v>
      </c>
      <c r="K2077">
        <v>0.8</v>
      </c>
      <c r="L2077">
        <v>0.2</v>
      </c>
      <c r="M2077">
        <v>0.7</v>
      </c>
      <c r="N2077">
        <v>336</v>
      </c>
      <c r="O2077">
        <v>65</v>
      </c>
      <c r="P2077">
        <v>1</v>
      </c>
      <c r="Q2077">
        <v>16.420000000000002</v>
      </c>
      <c r="R2077" t="s">
        <v>227</v>
      </c>
      <c r="S2077">
        <v>3.2</v>
      </c>
      <c r="T2077">
        <v>4.3899999999999997</v>
      </c>
    </row>
    <row r="2078" spans="1:21" ht="15" customHeight="1" x14ac:dyDescent="0.25">
      <c r="A2078" s="2">
        <v>45320.997916666667</v>
      </c>
      <c r="B2078" t="s">
        <v>309</v>
      </c>
      <c r="C2078" t="s">
        <v>221</v>
      </c>
      <c r="D2078">
        <v>2</v>
      </c>
      <c r="E2078" t="s">
        <v>164</v>
      </c>
      <c r="F2078" t="s">
        <v>373</v>
      </c>
      <c r="G2078">
        <v>5.4635761589999996</v>
      </c>
      <c r="H2078">
        <v>0</v>
      </c>
      <c r="I2078">
        <v>5.4635761589999996</v>
      </c>
      <c r="J2078">
        <v>94.536423839999998</v>
      </c>
      <c r="K2078">
        <v>0.8</v>
      </c>
      <c r="L2078">
        <v>0.3</v>
      </c>
      <c r="M2078">
        <v>0.7</v>
      </c>
      <c r="N2078">
        <v>571</v>
      </c>
      <c r="O2078">
        <v>33</v>
      </c>
      <c r="P2078">
        <v>0</v>
      </c>
      <c r="Q2078">
        <v>5.46</v>
      </c>
      <c r="R2078" t="s">
        <v>222</v>
      </c>
      <c r="S2078">
        <v>0.25</v>
      </c>
      <c r="T2078">
        <v>0.26</v>
      </c>
    </row>
    <row r="2079" spans="1:21" ht="15" customHeight="1" x14ac:dyDescent="0.25">
      <c r="A2079" t="s">
        <v>19</v>
      </c>
      <c r="B2079" t="s">
        <v>20</v>
      </c>
      <c r="C2079" t="s">
        <v>320</v>
      </c>
      <c r="D2079">
        <v>3</v>
      </c>
      <c r="E2079" t="s">
        <v>164</v>
      </c>
      <c r="F2079" t="s">
        <v>373</v>
      </c>
      <c r="G2079">
        <v>0</v>
      </c>
      <c r="H2079">
        <v>0</v>
      </c>
      <c r="I2079">
        <f>100-J2079</f>
        <v>0</v>
      </c>
      <c r="J2079">
        <f>100-G2079-H2079</f>
        <v>100</v>
      </c>
      <c r="K2079" t="s">
        <v>19</v>
      </c>
      <c r="L2079" t="s">
        <v>19</v>
      </c>
      <c r="M2079" t="s">
        <v>19</v>
      </c>
      <c r="N2079" t="s">
        <v>19</v>
      </c>
      <c r="O2079" t="s">
        <v>19</v>
      </c>
      <c r="P2079" t="s">
        <v>19</v>
      </c>
      <c r="Q2079">
        <f>I2079</f>
        <v>0</v>
      </c>
      <c r="R2079" t="s">
        <v>19</v>
      </c>
      <c r="S2079" t="s">
        <v>19</v>
      </c>
      <c r="T2079" t="s">
        <v>19</v>
      </c>
    </row>
    <row r="2080" spans="1:21" ht="15" customHeight="1" x14ac:dyDescent="0.25">
      <c r="A2080" s="2">
        <v>45323.627708333333</v>
      </c>
      <c r="B2080" t="s">
        <v>309</v>
      </c>
      <c r="C2080" t="s">
        <v>322</v>
      </c>
      <c r="D2080">
        <v>3</v>
      </c>
      <c r="E2080" t="s">
        <v>164</v>
      </c>
      <c r="F2080" t="s">
        <v>373</v>
      </c>
      <c r="G2080">
        <f>(O2080/(N2080+O2080+P2080))*100</f>
        <v>3.064516129032258</v>
      </c>
      <c r="H2080">
        <f>(P2080/(O2080+P2080+N2080))*100</f>
        <v>0</v>
      </c>
      <c r="I2080">
        <f>((O2080+P2080)/(P2080+O2080+N2080))*100</f>
        <v>3.064516129032258</v>
      </c>
      <c r="J2080">
        <f>(N2080/(P2080+O2080+N2080))*100</f>
        <v>96.935483870967744</v>
      </c>
      <c r="K2080">
        <v>0.8</v>
      </c>
      <c r="L2080">
        <v>0.3</v>
      </c>
      <c r="M2080">
        <v>0.7</v>
      </c>
      <c r="N2080">
        <v>601</v>
      </c>
      <c r="O2080">
        <v>19</v>
      </c>
      <c r="P2080">
        <v>0</v>
      </c>
      <c r="Q2080">
        <v>3.06</v>
      </c>
      <c r="R2080" t="s">
        <v>330</v>
      </c>
      <c r="S2080">
        <v>2.57</v>
      </c>
      <c r="T2080">
        <v>2.9</v>
      </c>
      <c r="U2080">
        <v>42</v>
      </c>
    </row>
    <row r="2081" spans="1:21" ht="15" customHeight="1" x14ac:dyDescent="0.25">
      <c r="A2081" s="2">
        <v>45323.632280092592</v>
      </c>
      <c r="B2081" t="s">
        <v>309</v>
      </c>
      <c r="C2081" t="s">
        <v>322</v>
      </c>
      <c r="D2081">
        <v>3</v>
      </c>
      <c r="E2081" t="s">
        <v>164</v>
      </c>
      <c r="F2081" t="s">
        <v>373</v>
      </c>
      <c r="G2081">
        <f>(O2081/(N2081+O2081+P2081))*100</f>
        <v>5.0552922590837284</v>
      </c>
      <c r="H2081">
        <f>(P2081/(O2081+P2081+N2081))*100</f>
        <v>0</v>
      </c>
      <c r="I2081">
        <f>((O2081+P2081)/(P2081+O2081+N2081))*100</f>
        <v>5.0552922590837284</v>
      </c>
      <c r="J2081">
        <f>(N2081/(P2081+O2081+N2081))*100</f>
        <v>94.944707740916272</v>
      </c>
      <c r="K2081">
        <v>0.7</v>
      </c>
      <c r="L2081">
        <v>0.3</v>
      </c>
      <c r="M2081">
        <v>0.7</v>
      </c>
      <c r="N2081">
        <v>601</v>
      </c>
      <c r="O2081">
        <v>32</v>
      </c>
      <c r="P2081">
        <v>0</v>
      </c>
      <c r="Q2081">
        <v>5.0599999999999996</v>
      </c>
      <c r="R2081" t="s">
        <v>245</v>
      </c>
      <c r="S2081">
        <v>2.57</v>
      </c>
      <c r="T2081">
        <v>2.9</v>
      </c>
      <c r="U2081">
        <v>29</v>
      </c>
    </row>
    <row r="2082" spans="1:21" ht="15" customHeight="1" x14ac:dyDescent="0.25">
      <c r="A2082" s="2">
        <v>45325.189768518518</v>
      </c>
      <c r="B2082" t="s">
        <v>309</v>
      </c>
      <c r="C2082" t="s">
        <v>368</v>
      </c>
      <c r="D2082">
        <v>2</v>
      </c>
      <c r="E2082" t="s">
        <v>164</v>
      </c>
      <c r="F2082" t="s">
        <v>373</v>
      </c>
      <c r="G2082">
        <f>(O2082/(N2082+O2082+P2082))*100</f>
        <v>14.699792960662524</v>
      </c>
      <c r="H2082">
        <f>(P2082/(O2082+P2082+N2082))*100</f>
        <v>0</v>
      </c>
      <c r="I2082">
        <v>14.7</v>
      </c>
      <c r="J2082">
        <f>(N2082/(P2082+O2082+N2082))*100</f>
        <v>85.300207039337465</v>
      </c>
      <c r="K2082">
        <v>0.8</v>
      </c>
      <c r="L2082">
        <v>0.3</v>
      </c>
      <c r="M2082">
        <v>0.7</v>
      </c>
      <c r="N2082">
        <v>412</v>
      </c>
      <c r="O2082">
        <v>71</v>
      </c>
      <c r="P2082">
        <v>0</v>
      </c>
      <c r="Q2082">
        <v>14.7</v>
      </c>
      <c r="R2082" t="s">
        <v>276</v>
      </c>
      <c r="S2082">
        <v>0.6</v>
      </c>
      <c r="T2082">
        <v>0.63</v>
      </c>
    </row>
    <row r="2083" spans="1:21" ht="15" customHeight="1" x14ac:dyDescent="0.25">
      <c r="A2083" t="s">
        <v>19</v>
      </c>
      <c r="B2083" t="s">
        <v>20</v>
      </c>
      <c r="C2083" t="s">
        <v>308</v>
      </c>
      <c r="D2083">
        <v>3</v>
      </c>
      <c r="E2083" t="s">
        <v>165</v>
      </c>
      <c r="F2083" t="s">
        <v>388</v>
      </c>
      <c r="G2083">
        <v>15</v>
      </c>
      <c r="H2083">
        <v>60</v>
      </c>
      <c r="I2083">
        <f>G2083+H2083</f>
        <v>75</v>
      </c>
      <c r="J2083">
        <f>100-G2083-H2083</f>
        <v>25</v>
      </c>
      <c r="K2083" t="s">
        <v>19</v>
      </c>
      <c r="L2083" t="s">
        <v>19</v>
      </c>
      <c r="M2083" t="s">
        <v>19</v>
      </c>
      <c r="N2083" t="s">
        <v>19</v>
      </c>
      <c r="O2083" t="s">
        <v>19</v>
      </c>
      <c r="P2083" t="s">
        <v>19</v>
      </c>
      <c r="Q2083">
        <f>I2083</f>
        <v>75</v>
      </c>
      <c r="R2083" t="s">
        <v>19</v>
      </c>
      <c r="S2083" t="s">
        <v>19</v>
      </c>
      <c r="T2083" t="s">
        <v>19</v>
      </c>
    </row>
    <row r="2084" spans="1:21" ht="15" customHeight="1" x14ac:dyDescent="0.25">
      <c r="A2084" t="s">
        <v>19</v>
      </c>
      <c r="B2084" t="s">
        <v>20</v>
      </c>
      <c r="C2084" t="s">
        <v>22</v>
      </c>
      <c r="D2084">
        <v>3</v>
      </c>
      <c r="E2084" t="s">
        <v>165</v>
      </c>
      <c r="F2084" t="s">
        <v>388</v>
      </c>
      <c r="G2084">
        <v>35</v>
      </c>
      <c r="H2084">
        <v>50</v>
      </c>
      <c r="I2084">
        <f>G2084+H2084</f>
        <v>85</v>
      </c>
      <c r="J2084">
        <f>100-G2084-H2084</f>
        <v>15</v>
      </c>
      <c r="K2084" t="s">
        <v>19</v>
      </c>
      <c r="L2084" t="s">
        <v>19</v>
      </c>
      <c r="M2084" t="s">
        <v>19</v>
      </c>
      <c r="N2084" t="s">
        <v>19</v>
      </c>
      <c r="O2084" t="s">
        <v>19</v>
      </c>
      <c r="P2084" t="s">
        <v>19</v>
      </c>
      <c r="Q2084">
        <f>I2084</f>
        <v>85</v>
      </c>
      <c r="R2084" t="s">
        <v>19</v>
      </c>
      <c r="S2084" t="s">
        <v>19</v>
      </c>
      <c r="T2084" t="s">
        <v>19</v>
      </c>
    </row>
    <row r="2085" spans="1:21" ht="15" customHeight="1" x14ac:dyDescent="0.25">
      <c r="A2085" t="s">
        <v>19</v>
      </c>
      <c r="B2085" t="s">
        <v>20</v>
      </c>
      <c r="C2085" t="s">
        <v>305</v>
      </c>
      <c r="D2085">
        <v>3</v>
      </c>
      <c r="E2085" t="s">
        <v>165</v>
      </c>
      <c r="F2085" t="s">
        <v>388</v>
      </c>
      <c r="G2085">
        <v>25</v>
      </c>
      <c r="H2085">
        <v>35</v>
      </c>
      <c r="I2085">
        <f>G2085+H2085</f>
        <v>60</v>
      </c>
      <c r="J2085">
        <f>100-G2085-H2085</f>
        <v>40</v>
      </c>
      <c r="K2085" t="s">
        <v>19</v>
      </c>
      <c r="L2085" t="s">
        <v>19</v>
      </c>
      <c r="M2085" t="s">
        <v>19</v>
      </c>
      <c r="N2085" t="s">
        <v>19</v>
      </c>
      <c r="O2085" t="s">
        <v>19</v>
      </c>
      <c r="P2085" t="s">
        <v>19</v>
      </c>
      <c r="Q2085">
        <f>I2085</f>
        <v>60</v>
      </c>
      <c r="R2085" t="s">
        <v>19</v>
      </c>
      <c r="S2085" t="s">
        <v>19</v>
      </c>
      <c r="T2085" t="s">
        <v>19</v>
      </c>
    </row>
    <row r="2086" spans="1:21" ht="15" customHeight="1" x14ac:dyDescent="0.25">
      <c r="A2086" t="s">
        <v>19</v>
      </c>
      <c r="B2086" t="s">
        <v>20</v>
      </c>
      <c r="C2086" t="s">
        <v>307</v>
      </c>
      <c r="D2086">
        <v>3</v>
      </c>
      <c r="E2086" t="s">
        <v>165</v>
      </c>
      <c r="F2086" t="s">
        <v>388</v>
      </c>
      <c r="G2086">
        <v>15</v>
      </c>
      <c r="H2086">
        <v>15</v>
      </c>
      <c r="I2086">
        <f>G2086+H2086</f>
        <v>30</v>
      </c>
      <c r="J2086">
        <f>100-G2086-H2086</f>
        <v>70</v>
      </c>
      <c r="K2086" t="s">
        <v>19</v>
      </c>
      <c r="L2086" t="s">
        <v>19</v>
      </c>
      <c r="M2086" t="s">
        <v>19</v>
      </c>
      <c r="N2086" t="s">
        <v>19</v>
      </c>
      <c r="O2086" t="s">
        <v>19</v>
      </c>
      <c r="P2086" t="s">
        <v>19</v>
      </c>
      <c r="Q2086">
        <f>I2086</f>
        <v>30</v>
      </c>
      <c r="R2086" t="s">
        <v>19</v>
      </c>
      <c r="S2086" t="s">
        <v>19</v>
      </c>
      <c r="T2086" t="s">
        <v>19</v>
      </c>
    </row>
    <row r="2087" spans="1:21" ht="15" customHeight="1" x14ac:dyDescent="0.25">
      <c r="A2087" s="2">
        <v>45253.618750000001</v>
      </c>
      <c r="B2087" t="s">
        <v>309</v>
      </c>
      <c r="C2087" t="s">
        <v>213</v>
      </c>
      <c r="D2087">
        <v>3</v>
      </c>
      <c r="E2087" t="s">
        <v>165</v>
      </c>
      <c r="F2087" t="s">
        <v>388</v>
      </c>
      <c r="G2087">
        <v>3.9855072460000001</v>
      </c>
      <c r="H2087">
        <v>61.231884059999999</v>
      </c>
      <c r="I2087">
        <v>65.217391300000003</v>
      </c>
      <c r="J2087">
        <v>34.782608699999997</v>
      </c>
      <c r="K2087">
        <v>0.8</v>
      </c>
      <c r="L2087">
        <v>0.2</v>
      </c>
      <c r="M2087">
        <v>0.7</v>
      </c>
      <c r="N2087">
        <v>192</v>
      </c>
      <c r="O2087">
        <v>22</v>
      </c>
      <c r="P2087">
        <v>338</v>
      </c>
      <c r="Q2087">
        <v>65.22</v>
      </c>
      <c r="R2087" t="s">
        <v>223</v>
      </c>
      <c r="S2087">
        <v>2.88</v>
      </c>
      <c r="T2087">
        <v>3.59</v>
      </c>
    </row>
    <row r="2088" spans="1:21" ht="15" customHeight="1" x14ac:dyDescent="0.25">
      <c r="A2088" s="2">
        <v>45253.875694444447</v>
      </c>
      <c r="B2088" t="s">
        <v>309</v>
      </c>
      <c r="C2088" t="s">
        <v>215</v>
      </c>
      <c r="D2088">
        <v>2</v>
      </c>
      <c r="E2088" t="s">
        <v>165</v>
      </c>
      <c r="F2088" t="s">
        <v>388</v>
      </c>
      <c r="G2088">
        <v>14.51612903</v>
      </c>
      <c r="H2088">
        <v>0</v>
      </c>
      <c r="I2088">
        <v>14.51612903</v>
      </c>
      <c r="J2088">
        <v>85.483870969999998</v>
      </c>
      <c r="K2088">
        <v>0.8</v>
      </c>
      <c r="L2088">
        <v>0.2</v>
      </c>
      <c r="M2088">
        <v>0.7</v>
      </c>
      <c r="N2088">
        <v>477</v>
      </c>
      <c r="O2088">
        <v>81</v>
      </c>
      <c r="P2088">
        <v>0</v>
      </c>
      <c r="Q2088">
        <v>14.52</v>
      </c>
      <c r="R2088" t="s">
        <v>224</v>
      </c>
      <c r="S2088">
        <v>0.47</v>
      </c>
      <c r="T2088">
        <v>0.51</v>
      </c>
    </row>
    <row r="2089" spans="1:21" ht="15" customHeight="1" x14ac:dyDescent="0.25">
      <c r="A2089" s="2">
        <v>45254.046527777777</v>
      </c>
      <c r="B2089" t="s">
        <v>309</v>
      </c>
      <c r="C2089" t="s">
        <v>217</v>
      </c>
      <c r="D2089">
        <v>2</v>
      </c>
      <c r="E2089" t="s">
        <v>165</v>
      </c>
      <c r="F2089" t="s">
        <v>388</v>
      </c>
      <c r="G2089">
        <v>15.28013582</v>
      </c>
      <c r="H2089">
        <v>0</v>
      </c>
      <c r="I2089">
        <v>15.28013582</v>
      </c>
      <c r="J2089">
        <v>84.719864180000002</v>
      </c>
      <c r="K2089">
        <v>0.8</v>
      </c>
      <c r="L2089">
        <v>0.2</v>
      </c>
      <c r="M2089">
        <v>0.7</v>
      </c>
      <c r="N2089">
        <v>499</v>
      </c>
      <c r="O2089">
        <v>90</v>
      </c>
      <c r="P2089">
        <v>0</v>
      </c>
      <c r="Q2089">
        <v>15.28</v>
      </c>
      <c r="R2089" t="s">
        <v>218</v>
      </c>
      <c r="S2089">
        <v>0.48</v>
      </c>
      <c r="T2089">
        <v>0.52</v>
      </c>
    </row>
    <row r="2090" spans="1:21" ht="15" customHeight="1" x14ac:dyDescent="0.25">
      <c r="A2090" s="2">
        <v>45316.555555555555</v>
      </c>
      <c r="B2090" t="s">
        <v>309</v>
      </c>
      <c r="C2090" t="s">
        <v>219</v>
      </c>
      <c r="D2090">
        <v>3</v>
      </c>
      <c r="E2090" t="s">
        <v>165</v>
      </c>
      <c r="F2090" t="s">
        <v>388</v>
      </c>
      <c r="G2090">
        <v>7.2765072770000003</v>
      </c>
      <c r="H2090">
        <v>57.380457380000003</v>
      </c>
      <c r="I2090">
        <v>64.65696466</v>
      </c>
      <c r="J2090">
        <v>35.34303534</v>
      </c>
      <c r="K2090">
        <v>0.8</v>
      </c>
      <c r="L2090">
        <v>0.2</v>
      </c>
      <c r="M2090">
        <v>0.7</v>
      </c>
      <c r="N2090">
        <v>170</v>
      </c>
      <c r="O2090">
        <v>35</v>
      </c>
      <c r="P2090">
        <v>276</v>
      </c>
      <c r="Q2090">
        <v>64.66</v>
      </c>
      <c r="R2090" t="s">
        <v>227</v>
      </c>
      <c r="S2090">
        <v>3.14</v>
      </c>
      <c r="T2090">
        <v>4.5999999999999996</v>
      </c>
    </row>
    <row r="2091" spans="1:21" ht="15" customHeight="1" x14ac:dyDescent="0.25">
      <c r="A2091" s="2">
        <v>45320.899305555555</v>
      </c>
      <c r="B2091" t="s">
        <v>309</v>
      </c>
      <c r="C2091" t="s">
        <v>221</v>
      </c>
      <c r="D2091">
        <v>2</v>
      </c>
      <c r="E2091" t="s">
        <v>165</v>
      </c>
      <c r="F2091" t="s">
        <v>388</v>
      </c>
      <c r="G2091">
        <v>85.66552901</v>
      </c>
      <c r="H2091">
        <v>0</v>
      </c>
      <c r="I2091">
        <v>85.66552901</v>
      </c>
      <c r="J2091">
        <v>14.33447099</v>
      </c>
      <c r="K2091">
        <v>0.8</v>
      </c>
      <c r="L2091">
        <v>0.3</v>
      </c>
      <c r="M2091">
        <v>0.7</v>
      </c>
      <c r="N2091">
        <v>84</v>
      </c>
      <c r="O2091">
        <v>502</v>
      </c>
      <c r="P2091">
        <v>0</v>
      </c>
      <c r="Q2091">
        <v>85.67</v>
      </c>
      <c r="R2091" t="s">
        <v>233</v>
      </c>
      <c r="S2091">
        <v>2.29</v>
      </c>
      <c r="T2091">
        <v>2.42</v>
      </c>
    </row>
    <row r="2092" spans="1:21" ht="15" customHeight="1" x14ac:dyDescent="0.25">
      <c r="A2092" t="s">
        <v>19</v>
      </c>
      <c r="B2092" t="s">
        <v>20</v>
      </c>
      <c r="C2092" t="s">
        <v>306</v>
      </c>
      <c r="D2092">
        <v>3</v>
      </c>
      <c r="E2092" t="s">
        <v>165</v>
      </c>
      <c r="F2092" t="s">
        <v>388</v>
      </c>
      <c r="G2092">
        <v>40</v>
      </c>
      <c r="H2092">
        <v>55</v>
      </c>
      <c r="I2092">
        <f>G2092+H2092</f>
        <v>95</v>
      </c>
      <c r="J2092">
        <f>100-G2092-H2092</f>
        <v>5</v>
      </c>
      <c r="K2092" t="s">
        <v>19</v>
      </c>
      <c r="L2092" t="s">
        <v>19</v>
      </c>
      <c r="M2092" t="s">
        <v>19</v>
      </c>
      <c r="N2092" t="s">
        <v>19</v>
      </c>
      <c r="O2092" t="s">
        <v>19</v>
      </c>
      <c r="P2092" t="s">
        <v>19</v>
      </c>
      <c r="Q2092">
        <f>I2092</f>
        <v>95</v>
      </c>
      <c r="R2092" t="s">
        <v>19</v>
      </c>
      <c r="S2092" t="s">
        <v>19</v>
      </c>
      <c r="T2092" t="s">
        <v>19</v>
      </c>
    </row>
    <row r="2093" spans="1:21" ht="15" customHeight="1" x14ac:dyDescent="0.25">
      <c r="A2093" t="s">
        <v>19</v>
      </c>
      <c r="B2093" t="s">
        <v>20</v>
      </c>
      <c r="C2093" t="s">
        <v>320</v>
      </c>
      <c r="D2093">
        <v>3</v>
      </c>
      <c r="E2093" t="s">
        <v>165</v>
      </c>
      <c r="F2093" t="s">
        <v>388</v>
      </c>
      <c r="G2093">
        <v>30</v>
      </c>
      <c r="H2093">
        <v>60</v>
      </c>
      <c r="I2093">
        <f>100-J2093</f>
        <v>90</v>
      </c>
      <c r="J2093">
        <f>100-G2093-H2093</f>
        <v>10</v>
      </c>
      <c r="K2093" t="s">
        <v>19</v>
      </c>
      <c r="L2093" t="s">
        <v>19</v>
      </c>
      <c r="M2093" t="s">
        <v>19</v>
      </c>
      <c r="N2093" t="s">
        <v>19</v>
      </c>
      <c r="O2093" t="s">
        <v>19</v>
      </c>
      <c r="P2093" t="s">
        <v>19</v>
      </c>
      <c r="Q2093">
        <f>I2093</f>
        <v>90</v>
      </c>
      <c r="R2093" t="s">
        <v>19</v>
      </c>
      <c r="S2093" t="s">
        <v>19</v>
      </c>
      <c r="T2093" t="s">
        <v>19</v>
      </c>
    </row>
    <row r="2094" spans="1:21" ht="15" customHeight="1" x14ac:dyDescent="0.25">
      <c r="A2094" s="2">
        <v>45323.631388888891</v>
      </c>
      <c r="B2094" t="s">
        <v>309</v>
      </c>
      <c r="C2094" t="s">
        <v>322</v>
      </c>
      <c r="D2094">
        <v>3</v>
      </c>
      <c r="E2094" t="s">
        <v>165</v>
      </c>
      <c r="F2094" t="s">
        <v>388</v>
      </c>
      <c r="G2094">
        <f>(O2094/(N2094+O2094+P2094))*100</f>
        <v>26.136363636363637</v>
      </c>
      <c r="H2094">
        <f>(P2094/(O2094+P2094+N2094))*100</f>
        <v>46.780303030303031</v>
      </c>
      <c r="I2094">
        <v>72.92</v>
      </c>
      <c r="J2094">
        <f>(N2094/(P2094+O2094+N2094))*100</f>
        <v>27.083333333333332</v>
      </c>
      <c r="K2094">
        <v>0.8</v>
      </c>
      <c r="L2094">
        <v>0.3</v>
      </c>
      <c r="M2094">
        <v>0.7</v>
      </c>
      <c r="N2094">
        <v>143</v>
      </c>
      <c r="O2094">
        <v>138</v>
      </c>
      <c r="P2094">
        <v>247</v>
      </c>
      <c r="Q2094">
        <v>72.92</v>
      </c>
      <c r="R2094" t="s">
        <v>260</v>
      </c>
      <c r="S2094">
        <v>2.71</v>
      </c>
      <c r="T2094">
        <v>3.83</v>
      </c>
      <c r="U2094">
        <v>110</v>
      </c>
    </row>
    <row r="2095" spans="1:21" ht="15" customHeight="1" x14ac:dyDescent="0.25">
      <c r="A2095" s="2">
        <v>45323.62736111111</v>
      </c>
      <c r="B2095" t="s">
        <v>309</v>
      </c>
      <c r="C2095" t="s">
        <v>322</v>
      </c>
      <c r="D2095">
        <v>3</v>
      </c>
      <c r="E2095" t="s">
        <v>165</v>
      </c>
      <c r="F2095" t="s">
        <v>388</v>
      </c>
      <c r="G2095">
        <f>(O2095/(N2095+O2095+P2095))*100</f>
        <v>30.357142857142854</v>
      </c>
      <c r="H2095">
        <f>(P2095/(O2095+P2095+N2095))*100</f>
        <v>48.392857142857146</v>
      </c>
      <c r="I2095">
        <v>78.75</v>
      </c>
      <c r="J2095">
        <f>(N2095/(P2095+O2095+N2095))*100</f>
        <v>21.25</v>
      </c>
      <c r="K2095">
        <v>0.7</v>
      </c>
      <c r="L2095">
        <v>0.3</v>
      </c>
      <c r="M2095">
        <v>0.7</v>
      </c>
      <c r="N2095">
        <v>119</v>
      </c>
      <c r="O2095">
        <v>170</v>
      </c>
      <c r="P2095">
        <v>271</v>
      </c>
      <c r="Q2095">
        <v>78.75</v>
      </c>
      <c r="R2095" t="s">
        <v>255</v>
      </c>
      <c r="S2095">
        <v>2.71</v>
      </c>
      <c r="T2095">
        <v>3.83</v>
      </c>
      <c r="U2095">
        <v>78</v>
      </c>
    </row>
    <row r="2096" spans="1:21" ht="15" customHeight="1" x14ac:dyDescent="0.25">
      <c r="A2096" s="2">
        <v>45325.044733796298</v>
      </c>
      <c r="B2096" t="s">
        <v>309</v>
      </c>
      <c r="C2096" t="s">
        <v>368</v>
      </c>
      <c r="D2096">
        <v>2</v>
      </c>
      <c r="E2096" t="s">
        <v>165</v>
      </c>
      <c r="F2096" t="s">
        <v>388</v>
      </c>
      <c r="G2096">
        <f>(O2096/(N2096+O2096+P2096))*100</f>
        <v>87.352445193929171</v>
      </c>
      <c r="H2096">
        <f>(P2096/(O2096+P2096+N2096))*100</f>
        <v>0</v>
      </c>
      <c r="I2096">
        <v>87.35</v>
      </c>
      <c r="J2096">
        <f>(N2096/(P2096+O2096+N2096))*100</f>
        <v>12.647554806070826</v>
      </c>
      <c r="K2096">
        <v>0.8</v>
      </c>
      <c r="L2096">
        <v>0.3</v>
      </c>
      <c r="M2096">
        <v>0.7</v>
      </c>
      <c r="N2096">
        <v>75</v>
      </c>
      <c r="O2096">
        <v>518</v>
      </c>
      <c r="P2096">
        <v>0</v>
      </c>
      <c r="Q2096">
        <v>87.35</v>
      </c>
      <c r="R2096" t="s">
        <v>289</v>
      </c>
      <c r="S2096">
        <v>2.17</v>
      </c>
      <c r="T2096">
        <v>2.36</v>
      </c>
    </row>
    <row r="2097" spans="1:21" ht="15" customHeight="1" x14ac:dyDescent="0.25">
      <c r="A2097" t="s">
        <v>19</v>
      </c>
      <c r="B2097" t="s">
        <v>20</v>
      </c>
      <c r="C2097" t="s">
        <v>308</v>
      </c>
      <c r="D2097">
        <v>3</v>
      </c>
      <c r="E2097" t="s">
        <v>166</v>
      </c>
      <c r="F2097" t="s">
        <v>388</v>
      </c>
      <c r="G2097">
        <v>4</v>
      </c>
      <c r="H2097">
        <v>1</v>
      </c>
      <c r="I2097">
        <f>G2097+H2097</f>
        <v>5</v>
      </c>
      <c r="J2097">
        <f>100-G2097-H2097</f>
        <v>95</v>
      </c>
      <c r="K2097" t="s">
        <v>19</v>
      </c>
      <c r="L2097" t="s">
        <v>19</v>
      </c>
      <c r="M2097" t="s">
        <v>19</v>
      </c>
      <c r="N2097" t="s">
        <v>19</v>
      </c>
      <c r="O2097" t="s">
        <v>19</v>
      </c>
      <c r="P2097" t="s">
        <v>19</v>
      </c>
      <c r="Q2097">
        <f>I2097</f>
        <v>5</v>
      </c>
      <c r="R2097" t="s">
        <v>19</v>
      </c>
      <c r="S2097" t="s">
        <v>19</v>
      </c>
      <c r="T2097" t="s">
        <v>19</v>
      </c>
    </row>
    <row r="2098" spans="1:21" ht="15" customHeight="1" x14ac:dyDescent="0.25">
      <c r="A2098" t="s">
        <v>19</v>
      </c>
      <c r="B2098" t="s">
        <v>20</v>
      </c>
      <c r="C2098" t="s">
        <v>22</v>
      </c>
      <c r="D2098">
        <v>3</v>
      </c>
      <c r="E2098" t="s">
        <v>166</v>
      </c>
      <c r="F2098" t="s">
        <v>388</v>
      </c>
      <c r="G2098">
        <v>1</v>
      </c>
      <c r="H2098">
        <v>1</v>
      </c>
      <c r="I2098">
        <f>G2098+H2098</f>
        <v>2</v>
      </c>
      <c r="J2098">
        <f>100-G2098-H2098</f>
        <v>98</v>
      </c>
      <c r="K2098" t="s">
        <v>19</v>
      </c>
      <c r="L2098" t="s">
        <v>19</v>
      </c>
      <c r="M2098" t="s">
        <v>19</v>
      </c>
      <c r="N2098" t="s">
        <v>19</v>
      </c>
      <c r="O2098" t="s">
        <v>19</v>
      </c>
      <c r="P2098" t="s">
        <v>19</v>
      </c>
      <c r="Q2098">
        <f>I2098</f>
        <v>2</v>
      </c>
      <c r="R2098" t="s">
        <v>19</v>
      </c>
      <c r="S2098" t="s">
        <v>19</v>
      </c>
      <c r="T2098" t="s">
        <v>19</v>
      </c>
    </row>
    <row r="2099" spans="1:21" ht="15" customHeight="1" x14ac:dyDescent="0.25">
      <c r="A2099" t="s">
        <v>19</v>
      </c>
      <c r="B2099" t="s">
        <v>20</v>
      </c>
      <c r="C2099" t="s">
        <v>305</v>
      </c>
      <c r="D2099">
        <v>3</v>
      </c>
      <c r="E2099" t="s">
        <v>166</v>
      </c>
      <c r="F2099" t="s">
        <v>388</v>
      </c>
      <c r="G2099">
        <v>4</v>
      </c>
      <c r="H2099">
        <v>1</v>
      </c>
      <c r="I2099">
        <f>G2099+H2099</f>
        <v>5</v>
      </c>
      <c r="J2099">
        <f>100-G2099-H2099</f>
        <v>95</v>
      </c>
      <c r="K2099" t="s">
        <v>19</v>
      </c>
      <c r="L2099" t="s">
        <v>19</v>
      </c>
      <c r="M2099" t="s">
        <v>19</v>
      </c>
      <c r="N2099" t="s">
        <v>19</v>
      </c>
      <c r="O2099" t="s">
        <v>19</v>
      </c>
      <c r="P2099" t="s">
        <v>19</v>
      </c>
      <c r="Q2099">
        <f>I2099</f>
        <v>5</v>
      </c>
      <c r="R2099" t="s">
        <v>19</v>
      </c>
      <c r="S2099" t="s">
        <v>19</v>
      </c>
      <c r="T2099" t="s">
        <v>19</v>
      </c>
    </row>
    <row r="2100" spans="1:21" ht="15" customHeight="1" x14ac:dyDescent="0.25">
      <c r="A2100" t="s">
        <v>19</v>
      </c>
      <c r="B2100" t="s">
        <v>20</v>
      </c>
      <c r="C2100" t="s">
        <v>307</v>
      </c>
      <c r="D2100">
        <v>3</v>
      </c>
      <c r="E2100" t="s">
        <v>166</v>
      </c>
      <c r="F2100" t="s">
        <v>388</v>
      </c>
      <c r="G2100">
        <v>0</v>
      </c>
      <c r="H2100">
        <v>0</v>
      </c>
      <c r="I2100">
        <f>G2100+H2100</f>
        <v>0</v>
      </c>
      <c r="J2100">
        <f>100-G2100-H2100</f>
        <v>100</v>
      </c>
      <c r="K2100" t="s">
        <v>19</v>
      </c>
      <c r="L2100" t="s">
        <v>19</v>
      </c>
      <c r="M2100" t="s">
        <v>19</v>
      </c>
      <c r="N2100" t="s">
        <v>19</v>
      </c>
      <c r="O2100" t="s">
        <v>19</v>
      </c>
      <c r="P2100" t="s">
        <v>19</v>
      </c>
      <c r="Q2100">
        <f>I2100</f>
        <v>0</v>
      </c>
      <c r="R2100" t="s">
        <v>19</v>
      </c>
      <c r="S2100" t="s">
        <v>19</v>
      </c>
      <c r="T2100" t="s">
        <v>19</v>
      </c>
    </row>
    <row r="2101" spans="1:21" ht="15" customHeight="1" x14ac:dyDescent="0.25">
      <c r="A2101" s="2">
        <v>45253.620138888888</v>
      </c>
      <c r="B2101" t="s">
        <v>309</v>
      </c>
      <c r="C2101" t="s">
        <v>213</v>
      </c>
      <c r="D2101">
        <v>3</v>
      </c>
      <c r="E2101" t="s">
        <v>166</v>
      </c>
      <c r="F2101" t="s">
        <v>388</v>
      </c>
      <c r="G2101">
        <v>0.758725341</v>
      </c>
      <c r="H2101">
        <v>0.60698027300000001</v>
      </c>
      <c r="I2101">
        <v>1.365705615</v>
      </c>
      <c r="J2101">
        <v>98.634294389999994</v>
      </c>
      <c r="K2101">
        <v>0.8</v>
      </c>
      <c r="L2101">
        <v>0.2</v>
      </c>
      <c r="M2101">
        <v>0.7</v>
      </c>
      <c r="N2101">
        <v>650</v>
      </c>
      <c r="O2101">
        <v>5</v>
      </c>
      <c r="P2101">
        <v>4</v>
      </c>
      <c r="Q2101">
        <v>1.37</v>
      </c>
      <c r="R2101" t="s">
        <v>240</v>
      </c>
      <c r="S2101">
        <v>2.54</v>
      </c>
      <c r="T2101">
        <v>3.46</v>
      </c>
    </row>
    <row r="2102" spans="1:21" ht="15" customHeight="1" x14ac:dyDescent="0.25">
      <c r="A2102" s="2">
        <v>45253.877083333333</v>
      </c>
      <c r="B2102" t="s">
        <v>309</v>
      </c>
      <c r="C2102" t="s">
        <v>215</v>
      </c>
      <c r="D2102">
        <v>2</v>
      </c>
      <c r="E2102" t="s">
        <v>166</v>
      </c>
      <c r="F2102" t="s">
        <v>388</v>
      </c>
      <c r="G2102">
        <v>2.0202020200000002</v>
      </c>
      <c r="H2102">
        <v>0</v>
      </c>
      <c r="I2102">
        <v>2.0202020200000002</v>
      </c>
      <c r="J2102">
        <v>97.979797980000001</v>
      </c>
      <c r="K2102">
        <v>0.8</v>
      </c>
      <c r="L2102">
        <v>0.2</v>
      </c>
      <c r="M2102">
        <v>0.7</v>
      </c>
      <c r="N2102">
        <v>679</v>
      </c>
      <c r="O2102">
        <v>14</v>
      </c>
      <c r="P2102">
        <v>0</v>
      </c>
      <c r="Q2102">
        <v>2.02</v>
      </c>
      <c r="R2102" t="s">
        <v>243</v>
      </c>
      <c r="S2102">
        <v>0.06</v>
      </c>
      <c r="T2102">
        <v>0.06</v>
      </c>
    </row>
    <row r="2103" spans="1:21" ht="15" customHeight="1" x14ac:dyDescent="0.25">
      <c r="A2103" s="2">
        <v>45254.047222222223</v>
      </c>
      <c r="B2103" t="s">
        <v>309</v>
      </c>
      <c r="C2103" t="s">
        <v>217</v>
      </c>
      <c r="D2103">
        <v>2</v>
      </c>
      <c r="E2103" t="s">
        <v>166</v>
      </c>
      <c r="F2103" t="s">
        <v>388</v>
      </c>
      <c r="G2103">
        <v>1.1444921320000001</v>
      </c>
      <c r="H2103">
        <v>0</v>
      </c>
      <c r="I2103">
        <v>1.1444921320000001</v>
      </c>
      <c r="J2103">
        <v>98.855507869999997</v>
      </c>
      <c r="K2103">
        <v>0.8</v>
      </c>
      <c r="L2103">
        <v>0.2</v>
      </c>
      <c r="M2103">
        <v>0.7</v>
      </c>
      <c r="N2103">
        <v>691</v>
      </c>
      <c r="O2103">
        <v>8</v>
      </c>
      <c r="P2103">
        <v>0</v>
      </c>
      <c r="Q2103">
        <v>1.1399999999999999</v>
      </c>
      <c r="R2103" t="s">
        <v>227</v>
      </c>
      <c r="S2103">
        <v>0.04</v>
      </c>
      <c r="T2103">
        <v>0.04</v>
      </c>
    </row>
    <row r="2104" spans="1:21" ht="15" customHeight="1" x14ac:dyDescent="0.25">
      <c r="A2104" s="2">
        <v>45316.556944444441</v>
      </c>
      <c r="B2104" t="s">
        <v>309</v>
      </c>
      <c r="C2104" t="s">
        <v>219</v>
      </c>
      <c r="D2104">
        <v>3</v>
      </c>
      <c r="E2104" t="s">
        <v>166</v>
      </c>
      <c r="F2104" t="s">
        <v>388</v>
      </c>
      <c r="G2104">
        <v>0.22779043299999999</v>
      </c>
      <c r="H2104">
        <v>2.505694761</v>
      </c>
      <c r="I2104">
        <v>2.733485194</v>
      </c>
      <c r="J2104">
        <v>97.266514810000004</v>
      </c>
      <c r="K2104">
        <v>0.8</v>
      </c>
      <c r="L2104">
        <v>0.2</v>
      </c>
      <c r="M2104">
        <v>0.7</v>
      </c>
      <c r="N2104">
        <v>427</v>
      </c>
      <c r="O2104">
        <v>1</v>
      </c>
      <c r="P2104">
        <v>11</v>
      </c>
      <c r="Q2104">
        <v>2.73</v>
      </c>
      <c r="R2104" t="s">
        <v>231</v>
      </c>
      <c r="S2104">
        <v>3.09</v>
      </c>
      <c r="T2104">
        <v>4.2</v>
      </c>
    </row>
    <row r="2105" spans="1:21" ht="15" customHeight="1" x14ac:dyDescent="0.25">
      <c r="A2105" s="2">
        <v>45320.900694444441</v>
      </c>
      <c r="B2105" t="s">
        <v>309</v>
      </c>
      <c r="C2105" t="s">
        <v>221</v>
      </c>
      <c r="D2105">
        <v>2</v>
      </c>
      <c r="E2105" t="s">
        <v>166</v>
      </c>
      <c r="F2105" t="s">
        <v>388</v>
      </c>
      <c r="G2105">
        <v>4.3760129660000002</v>
      </c>
      <c r="H2105">
        <v>0</v>
      </c>
      <c r="I2105">
        <v>4.3760129660000002</v>
      </c>
      <c r="J2105">
        <v>95.623987029999995</v>
      </c>
      <c r="K2105">
        <v>0.8</v>
      </c>
      <c r="L2105">
        <v>0.3</v>
      </c>
      <c r="M2105">
        <v>0.7</v>
      </c>
      <c r="N2105">
        <v>590</v>
      </c>
      <c r="O2105">
        <v>27</v>
      </c>
      <c r="P2105">
        <v>0</v>
      </c>
      <c r="Q2105">
        <v>4.38</v>
      </c>
      <c r="R2105" t="s">
        <v>235</v>
      </c>
      <c r="S2105">
        <v>0.18</v>
      </c>
      <c r="T2105">
        <v>0.2</v>
      </c>
    </row>
    <row r="2106" spans="1:21" ht="15" customHeight="1" x14ac:dyDescent="0.25">
      <c r="A2106" t="s">
        <v>19</v>
      </c>
      <c r="B2106" t="s">
        <v>20</v>
      </c>
      <c r="C2106" t="s">
        <v>306</v>
      </c>
      <c r="D2106">
        <v>3</v>
      </c>
      <c r="E2106" t="s">
        <v>166</v>
      </c>
      <c r="F2106" t="s">
        <v>388</v>
      </c>
      <c r="G2106">
        <v>10</v>
      </c>
      <c r="H2106">
        <v>5</v>
      </c>
      <c r="I2106">
        <f>G2106+H2106</f>
        <v>15</v>
      </c>
      <c r="J2106">
        <f>100-G2106-H2106</f>
        <v>85</v>
      </c>
      <c r="K2106" t="s">
        <v>19</v>
      </c>
      <c r="L2106" t="s">
        <v>19</v>
      </c>
      <c r="M2106" t="s">
        <v>19</v>
      </c>
      <c r="N2106" t="s">
        <v>19</v>
      </c>
      <c r="O2106" t="s">
        <v>19</v>
      </c>
      <c r="P2106" t="s">
        <v>19</v>
      </c>
      <c r="Q2106">
        <f>I2106</f>
        <v>15</v>
      </c>
      <c r="R2106" t="s">
        <v>19</v>
      </c>
      <c r="S2106" t="s">
        <v>19</v>
      </c>
      <c r="T2106" t="s">
        <v>19</v>
      </c>
    </row>
    <row r="2107" spans="1:21" ht="15" customHeight="1" x14ac:dyDescent="0.25">
      <c r="A2107" t="s">
        <v>19</v>
      </c>
      <c r="B2107" t="s">
        <v>20</v>
      </c>
      <c r="C2107" t="s">
        <v>320</v>
      </c>
      <c r="D2107">
        <v>3</v>
      </c>
      <c r="E2107" t="s">
        <v>166</v>
      </c>
      <c r="F2107" t="s">
        <v>388</v>
      </c>
      <c r="G2107">
        <v>0</v>
      </c>
      <c r="H2107">
        <v>0</v>
      </c>
      <c r="I2107">
        <f>100-J2107</f>
        <v>0</v>
      </c>
      <c r="J2107">
        <f>100-G2107-H2107</f>
        <v>100</v>
      </c>
      <c r="K2107" t="s">
        <v>19</v>
      </c>
      <c r="L2107" t="s">
        <v>19</v>
      </c>
      <c r="M2107" t="s">
        <v>19</v>
      </c>
      <c r="N2107" t="s">
        <v>19</v>
      </c>
      <c r="O2107" t="s">
        <v>19</v>
      </c>
      <c r="P2107" t="s">
        <v>19</v>
      </c>
      <c r="Q2107">
        <f>I2107</f>
        <v>0</v>
      </c>
      <c r="R2107" t="s">
        <v>19</v>
      </c>
      <c r="S2107" t="s">
        <v>19</v>
      </c>
      <c r="T2107" t="s">
        <v>19</v>
      </c>
    </row>
    <row r="2108" spans="1:21" ht="15" customHeight="1" x14ac:dyDescent="0.25">
      <c r="A2108" s="2">
        <v>45323.632824074077</v>
      </c>
      <c r="B2108" t="s">
        <v>309</v>
      </c>
      <c r="C2108" t="s">
        <v>322</v>
      </c>
      <c r="D2108">
        <v>3</v>
      </c>
      <c r="E2108" t="s">
        <v>166</v>
      </c>
      <c r="F2108" t="s">
        <v>388</v>
      </c>
      <c r="G2108">
        <f>(O2108/(N2108+O2108+P2108))*100</f>
        <v>2.1052631578947367</v>
      </c>
      <c r="H2108">
        <f>(P2108/(O2108+P2108+N2108))*100</f>
        <v>0.30075187969924816</v>
      </c>
      <c r="I2108">
        <v>2.41</v>
      </c>
      <c r="J2108">
        <f>(N2108/(P2108+O2108+N2108))*100</f>
        <v>97.593984962406012</v>
      </c>
      <c r="K2108">
        <v>0.8</v>
      </c>
      <c r="L2108">
        <v>0.3</v>
      </c>
      <c r="M2108">
        <v>0.7</v>
      </c>
      <c r="N2108">
        <v>649</v>
      </c>
      <c r="O2108">
        <v>14</v>
      </c>
      <c r="P2108">
        <v>2</v>
      </c>
      <c r="Q2108">
        <v>2.41</v>
      </c>
      <c r="R2108" t="s">
        <v>253</v>
      </c>
      <c r="S2108">
        <v>2.36</v>
      </c>
      <c r="T2108">
        <v>4.34</v>
      </c>
      <c r="U2108">
        <v>12</v>
      </c>
    </row>
    <row r="2109" spans="1:21" ht="15" customHeight="1" x14ac:dyDescent="0.25">
      <c r="A2109" s="2">
        <v>45323.628912037035</v>
      </c>
      <c r="B2109" t="s">
        <v>309</v>
      </c>
      <c r="C2109" t="s">
        <v>322</v>
      </c>
      <c r="D2109">
        <v>3</v>
      </c>
      <c r="E2109" t="s">
        <v>166</v>
      </c>
      <c r="F2109" t="s">
        <v>388</v>
      </c>
      <c r="G2109">
        <f>(O2109/(N2109+O2109+P2109))*100</f>
        <v>2.39880059970015</v>
      </c>
      <c r="H2109">
        <f>(P2109/(O2109+P2109+N2109))*100</f>
        <v>0.59970014992503751</v>
      </c>
      <c r="I2109">
        <v>3</v>
      </c>
      <c r="J2109">
        <f>(N2109/(P2109+O2109+N2109))*100</f>
        <v>97.001499250374806</v>
      </c>
      <c r="K2109">
        <v>0.7</v>
      </c>
      <c r="L2109">
        <v>0.3</v>
      </c>
      <c r="M2109">
        <v>0.7</v>
      </c>
      <c r="N2109">
        <v>647</v>
      </c>
      <c r="O2109">
        <v>16</v>
      </c>
      <c r="P2109">
        <v>4</v>
      </c>
      <c r="Q2109">
        <v>3</v>
      </c>
      <c r="R2109" t="s">
        <v>253</v>
      </c>
      <c r="S2109">
        <v>2.36</v>
      </c>
      <c r="T2109">
        <v>4.34</v>
      </c>
      <c r="U2109">
        <v>10</v>
      </c>
    </row>
    <row r="2110" spans="1:21" ht="15" customHeight="1" x14ac:dyDescent="0.25">
      <c r="A2110" s="2">
        <v>45325.046319444446</v>
      </c>
      <c r="B2110" t="s">
        <v>309</v>
      </c>
      <c r="C2110" t="s">
        <v>368</v>
      </c>
      <c r="D2110">
        <v>2</v>
      </c>
      <c r="E2110" t="s">
        <v>166</v>
      </c>
      <c r="F2110" t="s">
        <v>388</v>
      </c>
      <c r="G2110">
        <f>(O2110/(N2110+O2110+P2110))*100</f>
        <v>5.0933786078098473</v>
      </c>
      <c r="H2110">
        <f>(P2110/(O2110+P2110+N2110))*100</f>
        <v>0</v>
      </c>
      <c r="I2110">
        <v>5.09</v>
      </c>
      <c r="J2110">
        <f>(N2110/(P2110+O2110+N2110))*100</f>
        <v>94.906621392190146</v>
      </c>
      <c r="K2110">
        <v>0.8</v>
      </c>
      <c r="L2110">
        <v>0.3</v>
      </c>
      <c r="M2110">
        <v>0.7</v>
      </c>
      <c r="N2110">
        <v>559</v>
      </c>
      <c r="O2110">
        <v>30</v>
      </c>
      <c r="P2110">
        <v>0</v>
      </c>
      <c r="Q2110">
        <v>5.09</v>
      </c>
      <c r="R2110" t="s">
        <v>276</v>
      </c>
      <c r="S2110">
        <v>0.22</v>
      </c>
      <c r="T2110">
        <v>0.24</v>
      </c>
    </row>
    <row r="2111" spans="1:21" ht="15" customHeight="1" x14ac:dyDescent="0.25">
      <c r="A2111" t="s">
        <v>19</v>
      </c>
      <c r="B2111" t="s">
        <v>20</v>
      </c>
      <c r="C2111" t="s">
        <v>306</v>
      </c>
      <c r="D2111">
        <v>3</v>
      </c>
      <c r="E2111" t="s">
        <v>167</v>
      </c>
      <c r="F2111" t="s">
        <v>373</v>
      </c>
      <c r="G2111">
        <v>10</v>
      </c>
      <c r="H2111">
        <v>0</v>
      </c>
      <c r="I2111">
        <f>G2111+H2111</f>
        <v>10</v>
      </c>
      <c r="J2111">
        <f>100-G2111-H2111</f>
        <v>90</v>
      </c>
      <c r="K2111" t="s">
        <v>19</v>
      </c>
      <c r="L2111" t="s">
        <v>19</v>
      </c>
      <c r="M2111" t="s">
        <v>19</v>
      </c>
      <c r="N2111" t="s">
        <v>19</v>
      </c>
      <c r="O2111" t="s">
        <v>19</v>
      </c>
      <c r="P2111" t="s">
        <v>19</v>
      </c>
      <c r="Q2111">
        <f>I2111</f>
        <v>10</v>
      </c>
      <c r="R2111" t="s">
        <v>19</v>
      </c>
      <c r="S2111" t="s">
        <v>19</v>
      </c>
      <c r="T2111" t="s">
        <v>19</v>
      </c>
    </row>
    <row r="2112" spans="1:21" ht="15" customHeight="1" x14ac:dyDescent="0.25">
      <c r="A2112" t="s">
        <v>19</v>
      </c>
      <c r="B2112" t="s">
        <v>20</v>
      </c>
      <c r="C2112" t="s">
        <v>308</v>
      </c>
      <c r="D2112">
        <v>3</v>
      </c>
      <c r="E2112" t="s">
        <v>167</v>
      </c>
      <c r="F2112" t="s">
        <v>373</v>
      </c>
      <c r="G2112">
        <v>30</v>
      </c>
      <c r="H2112">
        <v>0</v>
      </c>
      <c r="I2112">
        <f>G2112+H2112</f>
        <v>30</v>
      </c>
      <c r="J2112">
        <f>100-G2112-H2112</f>
        <v>70</v>
      </c>
      <c r="K2112" t="s">
        <v>19</v>
      </c>
      <c r="L2112" t="s">
        <v>19</v>
      </c>
      <c r="M2112" t="s">
        <v>19</v>
      </c>
      <c r="N2112" t="s">
        <v>19</v>
      </c>
      <c r="O2112" t="s">
        <v>19</v>
      </c>
      <c r="P2112" t="s">
        <v>19</v>
      </c>
      <c r="Q2112">
        <f>I2112</f>
        <v>30</v>
      </c>
      <c r="R2112" t="s">
        <v>19</v>
      </c>
      <c r="S2112" t="s">
        <v>19</v>
      </c>
      <c r="T2112" t="s">
        <v>19</v>
      </c>
    </row>
    <row r="2113" spans="1:21" ht="15" customHeight="1" x14ac:dyDescent="0.25">
      <c r="A2113" t="s">
        <v>19</v>
      </c>
      <c r="B2113" t="s">
        <v>20</v>
      </c>
      <c r="C2113" t="s">
        <v>22</v>
      </c>
      <c r="D2113">
        <v>3</v>
      </c>
      <c r="E2113" t="s">
        <v>167</v>
      </c>
      <c r="F2113" t="s">
        <v>373</v>
      </c>
      <c r="G2113">
        <v>5</v>
      </c>
      <c r="H2113">
        <v>0</v>
      </c>
      <c r="I2113">
        <f>G2113+H2113</f>
        <v>5</v>
      </c>
      <c r="J2113">
        <f>100-G2113-H2113</f>
        <v>95</v>
      </c>
      <c r="K2113" t="s">
        <v>19</v>
      </c>
      <c r="L2113" t="s">
        <v>19</v>
      </c>
      <c r="M2113" t="s">
        <v>19</v>
      </c>
      <c r="N2113" t="s">
        <v>19</v>
      </c>
      <c r="O2113" t="s">
        <v>19</v>
      </c>
      <c r="P2113" t="s">
        <v>19</v>
      </c>
      <c r="Q2113">
        <f>I2113</f>
        <v>5</v>
      </c>
      <c r="R2113" t="s">
        <v>19</v>
      </c>
      <c r="S2113" t="s">
        <v>19</v>
      </c>
      <c r="T2113" t="s">
        <v>19</v>
      </c>
    </row>
    <row r="2114" spans="1:21" ht="15" customHeight="1" x14ac:dyDescent="0.25">
      <c r="A2114" t="s">
        <v>19</v>
      </c>
      <c r="B2114" t="s">
        <v>20</v>
      </c>
      <c r="C2114" t="s">
        <v>305</v>
      </c>
      <c r="D2114">
        <v>3</v>
      </c>
      <c r="E2114" t="s">
        <v>167</v>
      </c>
      <c r="F2114" t="s">
        <v>373</v>
      </c>
      <c r="G2114">
        <v>3</v>
      </c>
      <c r="H2114">
        <v>0</v>
      </c>
      <c r="I2114">
        <f>G2114+H2114</f>
        <v>3</v>
      </c>
      <c r="J2114">
        <f>100-G2114-H2114</f>
        <v>97</v>
      </c>
      <c r="K2114" t="s">
        <v>19</v>
      </c>
      <c r="L2114" t="s">
        <v>19</v>
      </c>
      <c r="M2114" t="s">
        <v>19</v>
      </c>
      <c r="N2114" t="s">
        <v>19</v>
      </c>
      <c r="O2114" t="s">
        <v>19</v>
      </c>
      <c r="P2114" t="s">
        <v>19</v>
      </c>
      <c r="Q2114">
        <f>I2114</f>
        <v>3</v>
      </c>
      <c r="R2114" t="s">
        <v>19</v>
      </c>
      <c r="S2114" t="s">
        <v>19</v>
      </c>
      <c r="T2114" t="s">
        <v>19</v>
      </c>
    </row>
    <row r="2115" spans="1:21" ht="15" customHeight="1" x14ac:dyDescent="0.25">
      <c r="A2115" t="s">
        <v>19</v>
      </c>
      <c r="B2115" t="s">
        <v>20</v>
      </c>
      <c r="C2115" t="s">
        <v>307</v>
      </c>
      <c r="D2115">
        <v>3</v>
      </c>
      <c r="E2115" t="s">
        <v>167</v>
      </c>
      <c r="F2115" t="s">
        <v>373</v>
      </c>
      <c r="G2115">
        <v>1</v>
      </c>
      <c r="H2115">
        <v>0</v>
      </c>
      <c r="I2115">
        <f>G2115+H2115</f>
        <v>1</v>
      </c>
      <c r="J2115">
        <f>100-G2115-H2115</f>
        <v>99</v>
      </c>
      <c r="K2115" t="s">
        <v>19</v>
      </c>
      <c r="L2115" t="s">
        <v>19</v>
      </c>
      <c r="M2115" t="s">
        <v>19</v>
      </c>
      <c r="N2115" t="s">
        <v>19</v>
      </c>
      <c r="O2115" t="s">
        <v>19</v>
      </c>
      <c r="P2115" t="s">
        <v>19</v>
      </c>
      <c r="Q2115">
        <f>I2115</f>
        <v>1</v>
      </c>
      <c r="R2115" t="s">
        <v>19</v>
      </c>
      <c r="S2115" t="s">
        <v>19</v>
      </c>
      <c r="T2115" t="s">
        <v>19</v>
      </c>
    </row>
    <row r="2116" spans="1:21" ht="15" customHeight="1" x14ac:dyDescent="0.25">
      <c r="A2116" s="2">
        <v>45253.77847222222</v>
      </c>
      <c r="B2116" t="s">
        <v>309</v>
      </c>
      <c r="C2116" t="s">
        <v>213</v>
      </c>
      <c r="D2116">
        <v>3</v>
      </c>
      <c r="E2116" t="s">
        <v>167</v>
      </c>
      <c r="F2116" t="s">
        <v>373</v>
      </c>
      <c r="G2116">
        <v>13.347921230000001</v>
      </c>
      <c r="H2116">
        <v>5.2516411380000001</v>
      </c>
      <c r="I2116">
        <v>18.59956236</v>
      </c>
      <c r="J2116">
        <v>81.400437640000007</v>
      </c>
      <c r="K2116">
        <v>0.8</v>
      </c>
      <c r="L2116">
        <v>0.2</v>
      </c>
      <c r="M2116">
        <v>0.7</v>
      </c>
      <c r="N2116">
        <v>372</v>
      </c>
      <c r="O2116">
        <v>61</v>
      </c>
      <c r="P2116">
        <v>24</v>
      </c>
      <c r="Q2116">
        <v>18.600000000000001</v>
      </c>
      <c r="R2116" t="s">
        <v>246</v>
      </c>
      <c r="S2116">
        <v>2.77</v>
      </c>
      <c r="T2116">
        <v>3.15</v>
      </c>
    </row>
    <row r="2117" spans="1:21" ht="15" customHeight="1" x14ac:dyDescent="0.25">
      <c r="A2117" s="2">
        <v>45253.961111111108</v>
      </c>
      <c r="B2117" t="s">
        <v>309</v>
      </c>
      <c r="C2117" t="s">
        <v>215</v>
      </c>
      <c r="D2117">
        <v>2</v>
      </c>
      <c r="E2117" t="s">
        <v>167</v>
      </c>
      <c r="F2117" t="s">
        <v>373</v>
      </c>
      <c r="G2117">
        <v>9.8389982109999998</v>
      </c>
      <c r="H2117">
        <v>0</v>
      </c>
      <c r="I2117">
        <v>9.8389982109999998</v>
      </c>
      <c r="J2117">
        <v>90.16100179</v>
      </c>
      <c r="K2117">
        <v>0.8</v>
      </c>
      <c r="L2117">
        <v>0.2</v>
      </c>
      <c r="M2117">
        <v>0.7</v>
      </c>
      <c r="N2117">
        <v>504</v>
      </c>
      <c r="O2117">
        <v>55</v>
      </c>
      <c r="P2117">
        <v>0</v>
      </c>
      <c r="Q2117">
        <v>9.84</v>
      </c>
      <c r="R2117" t="s">
        <v>216</v>
      </c>
      <c r="S2117">
        <v>0.31</v>
      </c>
      <c r="T2117">
        <v>0.34</v>
      </c>
    </row>
    <row r="2118" spans="1:21" ht="15" customHeight="1" x14ac:dyDescent="0.25">
      <c r="A2118" s="2">
        <v>45254.137499999997</v>
      </c>
      <c r="B2118" t="s">
        <v>309</v>
      </c>
      <c r="C2118" t="s">
        <v>217</v>
      </c>
      <c r="D2118">
        <v>2</v>
      </c>
      <c r="E2118" t="s">
        <v>167</v>
      </c>
      <c r="F2118" t="s">
        <v>373</v>
      </c>
      <c r="G2118">
        <v>20.82551595</v>
      </c>
      <c r="H2118">
        <v>0</v>
      </c>
      <c r="I2118">
        <v>20.82551595</v>
      </c>
      <c r="J2118">
        <v>79.174484050000004</v>
      </c>
      <c r="K2118">
        <v>0.8</v>
      </c>
      <c r="L2118">
        <v>0.2</v>
      </c>
      <c r="M2118">
        <v>0.7</v>
      </c>
      <c r="N2118">
        <v>422</v>
      </c>
      <c r="O2118">
        <v>111</v>
      </c>
      <c r="P2118">
        <v>0</v>
      </c>
      <c r="Q2118">
        <v>20.83</v>
      </c>
      <c r="R2118" t="s">
        <v>218</v>
      </c>
      <c r="S2118">
        <v>0.53</v>
      </c>
      <c r="T2118">
        <v>0.56000000000000005</v>
      </c>
    </row>
    <row r="2119" spans="1:21" ht="15" customHeight="1" x14ac:dyDescent="0.25">
      <c r="A2119" s="2">
        <v>45316.472916666666</v>
      </c>
      <c r="B2119" t="s">
        <v>309</v>
      </c>
      <c r="C2119" t="s">
        <v>219</v>
      </c>
      <c r="D2119">
        <v>3</v>
      </c>
      <c r="E2119" t="s">
        <v>167</v>
      </c>
      <c r="F2119" t="s">
        <v>373</v>
      </c>
      <c r="G2119">
        <v>21.834061139999999</v>
      </c>
      <c r="H2119">
        <v>0</v>
      </c>
      <c r="I2119">
        <v>21.834061139999999</v>
      </c>
      <c r="J2119">
        <v>78.165938859999997</v>
      </c>
      <c r="K2119">
        <v>0.8</v>
      </c>
      <c r="L2119">
        <v>0.2</v>
      </c>
      <c r="M2119">
        <v>0.7</v>
      </c>
      <c r="N2119">
        <v>179</v>
      </c>
      <c r="O2119">
        <v>50</v>
      </c>
      <c r="P2119">
        <v>0</v>
      </c>
      <c r="Q2119">
        <v>21.83</v>
      </c>
      <c r="R2119" t="s">
        <v>257</v>
      </c>
      <c r="S2119">
        <v>3.24</v>
      </c>
      <c r="T2119">
        <v>4.45</v>
      </c>
    </row>
    <row r="2120" spans="1:21" ht="15" customHeight="1" x14ac:dyDescent="0.25">
      <c r="A2120" s="2">
        <v>45320.998611111114</v>
      </c>
      <c r="B2120" t="s">
        <v>309</v>
      </c>
      <c r="C2120" t="s">
        <v>221</v>
      </c>
      <c r="D2120">
        <v>2</v>
      </c>
      <c r="E2120" t="s">
        <v>167</v>
      </c>
      <c r="F2120" t="s">
        <v>373</v>
      </c>
      <c r="G2120">
        <v>10.39426523</v>
      </c>
      <c r="H2120">
        <v>0</v>
      </c>
      <c r="I2120">
        <v>10.39426523</v>
      </c>
      <c r="J2120">
        <v>89.605734769999998</v>
      </c>
      <c r="K2120">
        <v>0.8</v>
      </c>
      <c r="L2120">
        <v>0.3</v>
      </c>
      <c r="M2120">
        <v>0.7</v>
      </c>
      <c r="N2120">
        <v>500</v>
      </c>
      <c r="O2120">
        <v>58</v>
      </c>
      <c r="P2120">
        <v>0</v>
      </c>
      <c r="Q2120">
        <v>10.39</v>
      </c>
      <c r="R2120" t="s">
        <v>222</v>
      </c>
      <c r="S2120">
        <v>0.35</v>
      </c>
      <c r="T2120">
        <v>0.39</v>
      </c>
    </row>
    <row r="2121" spans="1:21" ht="15" customHeight="1" x14ac:dyDescent="0.25">
      <c r="A2121" t="s">
        <v>19</v>
      </c>
      <c r="B2121" t="s">
        <v>20</v>
      </c>
      <c r="C2121" t="s">
        <v>320</v>
      </c>
      <c r="D2121">
        <v>3</v>
      </c>
      <c r="E2121" t="s">
        <v>167</v>
      </c>
      <c r="F2121" t="s">
        <v>373</v>
      </c>
      <c r="G2121">
        <v>0</v>
      </c>
      <c r="H2121">
        <v>0</v>
      </c>
      <c r="I2121">
        <f>100-J2121</f>
        <v>0</v>
      </c>
      <c r="J2121">
        <f>100-G2121-H2121</f>
        <v>100</v>
      </c>
      <c r="K2121" t="s">
        <v>19</v>
      </c>
      <c r="L2121" t="s">
        <v>19</v>
      </c>
      <c r="M2121" t="s">
        <v>19</v>
      </c>
      <c r="N2121" t="s">
        <v>19</v>
      </c>
      <c r="O2121" t="s">
        <v>19</v>
      </c>
      <c r="P2121" t="s">
        <v>19</v>
      </c>
      <c r="Q2121">
        <f>I2121</f>
        <v>0</v>
      </c>
      <c r="R2121" t="s">
        <v>19</v>
      </c>
      <c r="S2121" t="s">
        <v>19</v>
      </c>
      <c r="T2121" t="s">
        <v>19</v>
      </c>
    </row>
    <row r="2122" spans="1:21" ht="15" customHeight="1" x14ac:dyDescent="0.25">
      <c r="A2122" s="2">
        <v>45323.629351851851</v>
      </c>
      <c r="B2122" t="s">
        <v>309</v>
      </c>
      <c r="C2122" t="s">
        <v>322</v>
      </c>
      <c r="D2122">
        <v>3</v>
      </c>
      <c r="E2122" t="s">
        <v>167</v>
      </c>
      <c r="F2122" t="s">
        <v>373</v>
      </c>
      <c r="G2122">
        <f>(O2122/(N2122+O2122+P2122))*100</f>
        <v>11.741682974559687</v>
      </c>
      <c r="H2122">
        <f>(P2122/(O2122+P2122+N2122))*100</f>
        <v>0</v>
      </c>
      <c r="I2122">
        <f>((O2122+P2122)/(P2122+O2122+N2122))*100</f>
        <v>11.741682974559687</v>
      </c>
      <c r="J2122">
        <f>(N2122/(P2122+O2122+N2122))*100</f>
        <v>88.25831702544032</v>
      </c>
      <c r="K2122">
        <v>0.8</v>
      </c>
      <c r="L2122">
        <v>0.3</v>
      </c>
      <c r="M2122">
        <v>0.7</v>
      </c>
      <c r="N2122">
        <v>451</v>
      </c>
      <c r="O2122">
        <v>60</v>
      </c>
      <c r="P2122">
        <v>0</v>
      </c>
      <c r="Q2122">
        <v>11.74</v>
      </c>
      <c r="R2122" t="s">
        <v>347</v>
      </c>
      <c r="S2122">
        <v>2.5</v>
      </c>
      <c r="T2122">
        <v>3.13</v>
      </c>
      <c r="U2122">
        <v>100</v>
      </c>
    </row>
    <row r="2123" spans="1:21" ht="15" customHeight="1" x14ac:dyDescent="0.25">
      <c r="A2123" s="2">
        <v>45323.63385416667</v>
      </c>
      <c r="B2123" t="s">
        <v>309</v>
      </c>
      <c r="C2123" t="s">
        <v>322</v>
      </c>
      <c r="D2123">
        <v>3</v>
      </c>
      <c r="E2123" t="s">
        <v>167</v>
      </c>
      <c r="F2123" t="s">
        <v>373</v>
      </c>
      <c r="G2123">
        <f>(O2123/(N2123+O2123+P2123))*100</f>
        <v>14.583333333333334</v>
      </c>
      <c r="H2123">
        <f>(P2123/(O2123+P2123+N2123))*100</f>
        <v>0</v>
      </c>
      <c r="I2123">
        <f>((O2123+P2123)/(P2123+O2123+N2123))*100</f>
        <v>14.583333333333334</v>
      </c>
      <c r="J2123">
        <f>(N2123/(P2123+O2123+N2123))*100</f>
        <v>85.416666666666657</v>
      </c>
      <c r="K2123">
        <v>0.7</v>
      </c>
      <c r="L2123">
        <v>0.3</v>
      </c>
      <c r="M2123">
        <v>0.7</v>
      </c>
      <c r="N2123">
        <v>451</v>
      </c>
      <c r="O2123">
        <v>77</v>
      </c>
      <c r="P2123">
        <v>0</v>
      </c>
      <c r="Q2123">
        <v>14.58</v>
      </c>
      <c r="R2123" t="s">
        <v>223</v>
      </c>
      <c r="S2123">
        <v>2.5</v>
      </c>
      <c r="T2123">
        <v>3.13</v>
      </c>
      <c r="U2123">
        <v>83</v>
      </c>
    </row>
    <row r="2124" spans="1:21" ht="15" customHeight="1" x14ac:dyDescent="0.25">
      <c r="A2124" s="2">
        <v>45325.191064814811</v>
      </c>
      <c r="B2124" t="s">
        <v>309</v>
      </c>
      <c r="C2124" t="s">
        <v>368</v>
      </c>
      <c r="D2124">
        <v>2</v>
      </c>
      <c r="E2124" t="s">
        <v>167</v>
      </c>
      <c r="F2124" t="s">
        <v>373</v>
      </c>
      <c r="G2124">
        <f>(O2124/(N2124+O2124+P2124))*100</f>
        <v>16.056910569105693</v>
      </c>
      <c r="H2124">
        <f>(P2124/(O2124+P2124+N2124))*100</f>
        <v>0</v>
      </c>
      <c r="I2124">
        <v>16.059999999999999</v>
      </c>
      <c r="J2124">
        <f>(N2124/(P2124+O2124+N2124))*100</f>
        <v>83.943089430894318</v>
      </c>
      <c r="K2124">
        <v>0.8</v>
      </c>
      <c r="L2124">
        <v>0.3</v>
      </c>
      <c r="M2124">
        <v>0.7</v>
      </c>
      <c r="N2124">
        <v>413</v>
      </c>
      <c r="O2124">
        <v>79</v>
      </c>
      <c r="P2124">
        <v>0</v>
      </c>
      <c r="Q2124">
        <v>16.059999999999999</v>
      </c>
      <c r="R2124" t="s">
        <v>276</v>
      </c>
      <c r="S2124">
        <v>0.54</v>
      </c>
      <c r="T2124">
        <v>0.57999999999999996</v>
      </c>
    </row>
    <row r="2125" spans="1:21" ht="15" customHeight="1" x14ac:dyDescent="0.25">
      <c r="A2125" t="s">
        <v>19</v>
      </c>
      <c r="B2125" t="s">
        <v>20</v>
      </c>
      <c r="C2125" t="s">
        <v>306</v>
      </c>
      <c r="D2125">
        <v>3</v>
      </c>
      <c r="E2125" t="s">
        <v>168</v>
      </c>
      <c r="F2125" t="s">
        <v>373</v>
      </c>
      <c r="G2125">
        <v>70</v>
      </c>
      <c r="H2125">
        <v>10</v>
      </c>
      <c r="I2125">
        <f>G2125+H2125</f>
        <v>80</v>
      </c>
      <c r="J2125">
        <f>100-G2125-H2125</f>
        <v>20</v>
      </c>
      <c r="K2125" t="s">
        <v>19</v>
      </c>
      <c r="L2125" t="s">
        <v>19</v>
      </c>
      <c r="M2125" t="s">
        <v>19</v>
      </c>
      <c r="N2125" t="s">
        <v>19</v>
      </c>
      <c r="O2125" t="s">
        <v>19</v>
      </c>
      <c r="P2125" t="s">
        <v>19</v>
      </c>
      <c r="Q2125">
        <f>I2125</f>
        <v>80</v>
      </c>
      <c r="R2125" t="s">
        <v>19</v>
      </c>
      <c r="S2125" t="s">
        <v>19</v>
      </c>
      <c r="T2125" t="s">
        <v>19</v>
      </c>
    </row>
    <row r="2126" spans="1:21" ht="15" customHeight="1" x14ac:dyDescent="0.25">
      <c r="A2126" t="s">
        <v>19</v>
      </c>
      <c r="B2126" t="s">
        <v>20</v>
      </c>
      <c r="C2126" t="s">
        <v>308</v>
      </c>
      <c r="D2126">
        <v>3</v>
      </c>
      <c r="E2126" t="s">
        <v>168</v>
      </c>
      <c r="F2126" t="s">
        <v>373</v>
      </c>
      <c r="G2126">
        <v>65</v>
      </c>
      <c r="H2126">
        <v>3</v>
      </c>
      <c r="I2126">
        <f>G2126+H2126</f>
        <v>68</v>
      </c>
      <c r="J2126">
        <f>100-G2126-H2126</f>
        <v>32</v>
      </c>
      <c r="K2126" t="s">
        <v>19</v>
      </c>
      <c r="L2126" t="s">
        <v>19</v>
      </c>
      <c r="M2126" t="s">
        <v>19</v>
      </c>
      <c r="N2126" t="s">
        <v>19</v>
      </c>
      <c r="O2126" t="s">
        <v>19</v>
      </c>
      <c r="P2126" t="s">
        <v>19</v>
      </c>
      <c r="Q2126">
        <f>I2126</f>
        <v>68</v>
      </c>
      <c r="R2126" t="s">
        <v>19</v>
      </c>
      <c r="S2126" t="s">
        <v>19</v>
      </c>
      <c r="T2126" t="s">
        <v>19</v>
      </c>
    </row>
    <row r="2127" spans="1:21" ht="15" customHeight="1" x14ac:dyDescent="0.25">
      <c r="A2127" t="s">
        <v>19</v>
      </c>
      <c r="B2127" t="s">
        <v>20</v>
      </c>
      <c r="C2127" t="s">
        <v>22</v>
      </c>
      <c r="D2127">
        <v>3</v>
      </c>
      <c r="E2127" t="s">
        <v>168</v>
      </c>
      <c r="F2127" t="s">
        <v>373</v>
      </c>
      <c r="G2127">
        <v>85</v>
      </c>
      <c r="H2127">
        <v>0</v>
      </c>
      <c r="I2127">
        <f>G2127+H2127</f>
        <v>85</v>
      </c>
      <c r="J2127">
        <f>100-G2127-H2127</f>
        <v>15</v>
      </c>
      <c r="K2127" t="s">
        <v>19</v>
      </c>
      <c r="L2127" t="s">
        <v>19</v>
      </c>
      <c r="M2127" t="s">
        <v>19</v>
      </c>
      <c r="N2127" t="s">
        <v>19</v>
      </c>
      <c r="O2127" t="s">
        <v>19</v>
      </c>
      <c r="P2127" t="s">
        <v>19</v>
      </c>
      <c r="Q2127">
        <f>I2127</f>
        <v>85</v>
      </c>
      <c r="R2127" t="s">
        <v>19</v>
      </c>
      <c r="S2127" t="s">
        <v>19</v>
      </c>
      <c r="T2127" t="s">
        <v>19</v>
      </c>
    </row>
    <row r="2128" spans="1:21" ht="15" customHeight="1" x14ac:dyDescent="0.25">
      <c r="A2128" t="s">
        <v>19</v>
      </c>
      <c r="B2128" t="s">
        <v>20</v>
      </c>
      <c r="C2128" t="s">
        <v>305</v>
      </c>
      <c r="D2128">
        <v>3</v>
      </c>
      <c r="E2128" t="s">
        <v>168</v>
      </c>
      <c r="F2128" t="s">
        <v>373</v>
      </c>
      <c r="G2128">
        <v>35</v>
      </c>
      <c r="H2128">
        <v>1</v>
      </c>
      <c r="I2128">
        <f>G2128+H2128</f>
        <v>36</v>
      </c>
      <c r="J2128">
        <f>100-G2128-H2128</f>
        <v>64</v>
      </c>
      <c r="K2128" t="s">
        <v>19</v>
      </c>
      <c r="L2128" t="s">
        <v>19</v>
      </c>
      <c r="M2128" t="s">
        <v>19</v>
      </c>
      <c r="N2128" t="s">
        <v>19</v>
      </c>
      <c r="O2128" t="s">
        <v>19</v>
      </c>
      <c r="P2128" t="s">
        <v>19</v>
      </c>
      <c r="Q2128">
        <f>I2128</f>
        <v>36</v>
      </c>
      <c r="R2128" t="s">
        <v>19</v>
      </c>
      <c r="S2128" t="s">
        <v>19</v>
      </c>
      <c r="T2128" t="s">
        <v>19</v>
      </c>
    </row>
    <row r="2129" spans="1:21" ht="15" customHeight="1" x14ac:dyDescent="0.25">
      <c r="A2129" t="s">
        <v>19</v>
      </c>
      <c r="B2129" t="s">
        <v>20</v>
      </c>
      <c r="C2129" t="s">
        <v>307</v>
      </c>
      <c r="D2129">
        <v>3</v>
      </c>
      <c r="E2129" t="s">
        <v>168</v>
      </c>
      <c r="F2129" t="s">
        <v>373</v>
      </c>
      <c r="G2129">
        <v>9</v>
      </c>
      <c r="H2129">
        <v>3</v>
      </c>
      <c r="I2129">
        <f>G2129+H2129</f>
        <v>12</v>
      </c>
      <c r="J2129">
        <f>100-G2129-H2129</f>
        <v>88</v>
      </c>
      <c r="K2129" t="s">
        <v>19</v>
      </c>
      <c r="L2129" t="s">
        <v>19</v>
      </c>
      <c r="M2129" t="s">
        <v>19</v>
      </c>
      <c r="N2129" t="s">
        <v>19</v>
      </c>
      <c r="O2129" t="s">
        <v>19</v>
      </c>
      <c r="P2129" t="s">
        <v>19</v>
      </c>
      <c r="Q2129">
        <f>I2129</f>
        <v>12</v>
      </c>
      <c r="R2129" t="s">
        <v>19</v>
      </c>
      <c r="S2129" t="s">
        <v>19</v>
      </c>
      <c r="T2129" t="s">
        <v>19</v>
      </c>
    </row>
    <row r="2130" spans="1:21" ht="15" customHeight="1" x14ac:dyDescent="0.25">
      <c r="A2130" s="2">
        <v>45253.779861111114</v>
      </c>
      <c r="B2130" t="s">
        <v>309</v>
      </c>
      <c r="C2130" t="s">
        <v>213</v>
      </c>
      <c r="D2130">
        <v>3</v>
      </c>
      <c r="E2130" t="s">
        <v>168</v>
      </c>
      <c r="F2130" t="s">
        <v>373</v>
      </c>
      <c r="G2130">
        <v>83.064516130000001</v>
      </c>
      <c r="H2130">
        <v>0.40322580600000002</v>
      </c>
      <c r="I2130">
        <v>83.467741939999996</v>
      </c>
      <c r="J2130">
        <v>16.53225806</v>
      </c>
      <c r="K2130">
        <v>0.8</v>
      </c>
      <c r="L2130">
        <v>0.2</v>
      </c>
      <c r="M2130">
        <v>0.7</v>
      </c>
      <c r="N2130">
        <v>82</v>
      </c>
      <c r="O2130">
        <v>412</v>
      </c>
      <c r="P2130">
        <v>2</v>
      </c>
      <c r="Q2130">
        <v>83.47</v>
      </c>
      <c r="R2130" t="s">
        <v>246</v>
      </c>
      <c r="S2130">
        <v>3.35</v>
      </c>
      <c r="T2130">
        <v>4.17</v>
      </c>
    </row>
    <row r="2131" spans="1:21" ht="15" customHeight="1" x14ac:dyDescent="0.25">
      <c r="A2131" s="2">
        <v>45253.961805555555</v>
      </c>
      <c r="B2131" t="s">
        <v>309</v>
      </c>
      <c r="C2131" t="s">
        <v>215</v>
      </c>
      <c r="D2131">
        <v>2</v>
      </c>
      <c r="E2131" t="s">
        <v>168</v>
      </c>
      <c r="F2131" t="s">
        <v>373</v>
      </c>
      <c r="G2131">
        <v>1.430842607</v>
      </c>
      <c r="H2131">
        <v>0</v>
      </c>
      <c r="I2131">
        <v>1.430842607</v>
      </c>
      <c r="J2131">
        <v>98.569157390000001</v>
      </c>
      <c r="K2131">
        <v>0.8</v>
      </c>
      <c r="L2131">
        <v>0.2</v>
      </c>
      <c r="M2131">
        <v>0.7</v>
      </c>
      <c r="N2131">
        <v>620</v>
      </c>
      <c r="O2131">
        <v>9</v>
      </c>
      <c r="P2131">
        <v>0</v>
      </c>
      <c r="Q2131">
        <v>1.43</v>
      </c>
      <c r="R2131" t="s">
        <v>257</v>
      </c>
      <c r="S2131">
        <v>7.0000000000000007E-2</v>
      </c>
      <c r="T2131">
        <v>0.08</v>
      </c>
    </row>
    <row r="2132" spans="1:21" ht="15" customHeight="1" x14ac:dyDescent="0.25">
      <c r="A2132" s="2">
        <v>45254.138194444444</v>
      </c>
      <c r="B2132" t="s">
        <v>309</v>
      </c>
      <c r="C2132" t="s">
        <v>217</v>
      </c>
      <c r="D2132">
        <v>2</v>
      </c>
      <c r="E2132" t="s">
        <v>168</v>
      </c>
      <c r="F2132" t="s">
        <v>373</v>
      </c>
      <c r="G2132">
        <v>1.412872841</v>
      </c>
      <c r="H2132">
        <v>0</v>
      </c>
      <c r="I2132">
        <v>1.412872841</v>
      </c>
      <c r="J2132">
        <v>98.587127159999994</v>
      </c>
      <c r="K2132">
        <v>0.8</v>
      </c>
      <c r="L2132">
        <v>0.2</v>
      </c>
      <c r="M2132">
        <v>0.7</v>
      </c>
      <c r="N2132">
        <v>628</v>
      </c>
      <c r="O2132">
        <v>9</v>
      </c>
      <c r="P2132">
        <v>0</v>
      </c>
      <c r="Q2132">
        <v>1.41</v>
      </c>
      <c r="R2132" t="s">
        <v>224</v>
      </c>
      <c r="S2132">
        <v>0.05</v>
      </c>
      <c r="T2132">
        <v>0.06</v>
      </c>
    </row>
    <row r="2133" spans="1:21" ht="15" customHeight="1" x14ac:dyDescent="0.25">
      <c r="A2133" s="2">
        <v>45316.473611111112</v>
      </c>
      <c r="B2133" t="s">
        <v>309</v>
      </c>
      <c r="C2133" t="s">
        <v>219</v>
      </c>
      <c r="D2133">
        <v>3</v>
      </c>
      <c r="E2133" t="s">
        <v>168</v>
      </c>
      <c r="F2133" t="s">
        <v>373</v>
      </c>
      <c r="G2133">
        <v>84.596577019999998</v>
      </c>
      <c r="H2133">
        <v>0.244498778</v>
      </c>
      <c r="I2133">
        <v>84.841075790000005</v>
      </c>
      <c r="J2133">
        <v>15.15892421</v>
      </c>
      <c r="K2133">
        <v>0.8</v>
      </c>
      <c r="L2133">
        <v>0.2</v>
      </c>
      <c r="M2133">
        <v>0.7</v>
      </c>
      <c r="N2133">
        <v>62</v>
      </c>
      <c r="O2133">
        <v>346</v>
      </c>
      <c r="P2133">
        <v>1</v>
      </c>
      <c r="Q2133">
        <v>84.84</v>
      </c>
      <c r="R2133" t="s">
        <v>290</v>
      </c>
      <c r="S2133">
        <v>3.38</v>
      </c>
      <c r="T2133">
        <v>4.95</v>
      </c>
    </row>
    <row r="2134" spans="1:21" ht="15" customHeight="1" x14ac:dyDescent="0.25">
      <c r="A2134" s="2">
        <v>45321</v>
      </c>
      <c r="B2134" t="s">
        <v>309</v>
      </c>
      <c r="C2134" t="s">
        <v>221</v>
      </c>
      <c r="D2134">
        <v>2</v>
      </c>
      <c r="E2134" t="s">
        <v>168</v>
      </c>
      <c r="F2134" t="s">
        <v>373</v>
      </c>
      <c r="G2134">
        <v>68.085106379999999</v>
      </c>
      <c r="H2134">
        <v>0</v>
      </c>
      <c r="I2134">
        <v>68.085106379999999</v>
      </c>
      <c r="J2134">
        <v>31.914893620000001</v>
      </c>
      <c r="K2134">
        <v>0.8</v>
      </c>
      <c r="L2134">
        <v>0.3</v>
      </c>
      <c r="M2134">
        <v>0.7</v>
      </c>
      <c r="N2134">
        <v>150</v>
      </c>
      <c r="O2134">
        <v>320</v>
      </c>
      <c r="P2134">
        <v>0</v>
      </c>
      <c r="Q2134">
        <v>68.09</v>
      </c>
      <c r="R2134" t="s">
        <v>250</v>
      </c>
      <c r="S2134">
        <v>1.84</v>
      </c>
      <c r="T2134">
        <v>1.95</v>
      </c>
    </row>
    <row r="2135" spans="1:21" ht="15" customHeight="1" x14ac:dyDescent="0.25">
      <c r="A2135" t="s">
        <v>19</v>
      </c>
      <c r="B2135" t="s">
        <v>20</v>
      </c>
      <c r="C2135" t="s">
        <v>320</v>
      </c>
      <c r="D2135">
        <v>3</v>
      </c>
      <c r="E2135" t="s">
        <v>168</v>
      </c>
      <c r="F2135" t="s">
        <v>373</v>
      </c>
      <c r="G2135">
        <v>50</v>
      </c>
      <c r="H2135">
        <v>0</v>
      </c>
      <c r="I2135">
        <f>100-J2135</f>
        <v>50</v>
      </c>
      <c r="J2135">
        <f>100-G2135-H2135</f>
        <v>50</v>
      </c>
      <c r="K2135" t="s">
        <v>19</v>
      </c>
      <c r="L2135" t="s">
        <v>19</v>
      </c>
      <c r="M2135" t="s">
        <v>19</v>
      </c>
      <c r="N2135" t="s">
        <v>19</v>
      </c>
      <c r="O2135" t="s">
        <v>19</v>
      </c>
      <c r="P2135" t="s">
        <v>19</v>
      </c>
      <c r="Q2135">
        <f>I2135</f>
        <v>50</v>
      </c>
      <c r="R2135" t="s">
        <v>19</v>
      </c>
      <c r="S2135" t="s">
        <v>19</v>
      </c>
      <c r="T2135" t="s">
        <v>19</v>
      </c>
    </row>
    <row r="2136" spans="1:21" ht="15" customHeight="1" x14ac:dyDescent="0.25">
      <c r="A2136" s="2">
        <v>45323.63071759259</v>
      </c>
      <c r="B2136" t="s">
        <v>309</v>
      </c>
      <c r="C2136" t="s">
        <v>322</v>
      </c>
      <c r="D2136">
        <v>3</v>
      </c>
      <c r="E2136" t="s">
        <v>168</v>
      </c>
      <c r="F2136" t="s">
        <v>373</v>
      </c>
      <c r="G2136">
        <f>(O2136/(N2136+O2136+P2136))*100</f>
        <v>88.665447897623395</v>
      </c>
      <c r="H2136">
        <f>(P2136/(O2136+P2136+N2136))*100</f>
        <v>0.18281535648994515</v>
      </c>
      <c r="I2136">
        <f>((O2136+P2136)/(P2136+O2136+N2136))*100</f>
        <v>88.848263254113348</v>
      </c>
      <c r="J2136">
        <f>(N2136/(P2136+O2136+N2136))*100</f>
        <v>11.151736745886655</v>
      </c>
      <c r="K2136">
        <v>0.8</v>
      </c>
      <c r="L2136">
        <v>0.3</v>
      </c>
      <c r="M2136">
        <v>0.7</v>
      </c>
      <c r="N2136">
        <v>61</v>
      </c>
      <c r="O2136">
        <v>485</v>
      </c>
      <c r="P2136">
        <v>1</v>
      </c>
      <c r="Q2136">
        <v>88.85</v>
      </c>
      <c r="R2136" t="s">
        <v>265</v>
      </c>
      <c r="S2136">
        <v>3.03</v>
      </c>
      <c r="T2136">
        <v>3.58</v>
      </c>
      <c r="U2136">
        <v>90</v>
      </c>
    </row>
    <row r="2137" spans="1:21" ht="15" customHeight="1" x14ac:dyDescent="0.25">
      <c r="A2137" s="2">
        <v>45323.635347222225</v>
      </c>
      <c r="B2137" t="s">
        <v>309</v>
      </c>
      <c r="C2137" t="s">
        <v>322</v>
      </c>
      <c r="D2137">
        <v>3</v>
      </c>
      <c r="E2137" t="s">
        <v>168</v>
      </c>
      <c r="F2137" t="s">
        <v>373</v>
      </c>
      <c r="G2137">
        <f>(O2137/(N2137+O2137+P2137))*100</f>
        <v>89.103690685413</v>
      </c>
      <c r="H2137">
        <f>(P2137/(O2137+P2137+N2137))*100</f>
        <v>0.35149384885764495</v>
      </c>
      <c r="I2137">
        <f>((O2137+P2137)/(P2137+O2137+N2137))*100</f>
        <v>89.455184534270643</v>
      </c>
      <c r="J2137">
        <f>(N2137/(P2137+O2137+N2137))*100</f>
        <v>10.54481546572935</v>
      </c>
      <c r="K2137">
        <v>0.7</v>
      </c>
      <c r="L2137">
        <v>0.3</v>
      </c>
      <c r="M2137">
        <v>0.7</v>
      </c>
      <c r="N2137">
        <v>60</v>
      </c>
      <c r="O2137">
        <v>507</v>
      </c>
      <c r="P2137">
        <v>2</v>
      </c>
      <c r="Q2137">
        <v>89.46</v>
      </c>
      <c r="R2137" t="s">
        <v>238</v>
      </c>
      <c r="S2137">
        <v>3.03</v>
      </c>
      <c r="T2137">
        <v>3.58</v>
      </c>
      <c r="U2137">
        <v>68</v>
      </c>
    </row>
    <row r="2138" spans="1:21" ht="15" customHeight="1" x14ac:dyDescent="0.25">
      <c r="A2138" s="2">
        <v>45325.192349537036</v>
      </c>
      <c r="B2138" t="s">
        <v>309</v>
      </c>
      <c r="C2138" t="s">
        <v>368</v>
      </c>
      <c r="D2138">
        <v>2</v>
      </c>
      <c r="E2138" t="s">
        <v>168</v>
      </c>
      <c r="F2138" t="s">
        <v>373</v>
      </c>
      <c r="G2138">
        <f>(O2138/(N2138+O2138+P2138))*100</f>
        <v>90.843806104129271</v>
      </c>
      <c r="H2138">
        <f>(P2138/(O2138+P2138+N2138))*100</f>
        <v>0</v>
      </c>
      <c r="I2138">
        <v>90.84</v>
      </c>
      <c r="J2138">
        <f>(N2138/(P2138+O2138+N2138))*100</f>
        <v>9.1561938958707358</v>
      </c>
      <c r="K2138">
        <v>0.8</v>
      </c>
      <c r="L2138">
        <v>0.3</v>
      </c>
      <c r="M2138">
        <v>0.7</v>
      </c>
      <c r="N2138">
        <v>51</v>
      </c>
      <c r="O2138">
        <v>506</v>
      </c>
      <c r="P2138">
        <v>0</v>
      </c>
      <c r="Q2138">
        <v>90.84</v>
      </c>
      <c r="R2138" t="s">
        <v>253</v>
      </c>
      <c r="S2138">
        <v>2.2400000000000002</v>
      </c>
      <c r="T2138">
        <v>2.3199999999999998</v>
      </c>
    </row>
    <row r="2139" spans="1:21" ht="15" customHeight="1" x14ac:dyDescent="0.25">
      <c r="A2139" t="s">
        <v>19</v>
      </c>
      <c r="B2139" t="s">
        <v>20</v>
      </c>
      <c r="C2139" t="s">
        <v>308</v>
      </c>
      <c r="D2139">
        <v>3</v>
      </c>
      <c r="E2139" t="s">
        <v>169</v>
      </c>
      <c r="F2139" t="s">
        <v>388</v>
      </c>
      <c r="G2139">
        <v>9</v>
      </c>
      <c r="H2139">
        <v>1</v>
      </c>
      <c r="I2139">
        <f>G2139+H2139</f>
        <v>10</v>
      </c>
      <c r="J2139">
        <f>100-G2139-H2139</f>
        <v>90</v>
      </c>
      <c r="K2139" t="s">
        <v>19</v>
      </c>
      <c r="L2139" t="s">
        <v>19</v>
      </c>
      <c r="M2139" t="s">
        <v>19</v>
      </c>
      <c r="N2139" t="s">
        <v>19</v>
      </c>
      <c r="O2139" t="s">
        <v>19</v>
      </c>
      <c r="P2139" t="s">
        <v>19</v>
      </c>
      <c r="Q2139">
        <f>I2139</f>
        <v>10</v>
      </c>
      <c r="R2139" t="s">
        <v>19</v>
      </c>
      <c r="S2139" t="s">
        <v>19</v>
      </c>
      <c r="T2139" t="s">
        <v>19</v>
      </c>
    </row>
    <row r="2140" spans="1:21" ht="15" customHeight="1" x14ac:dyDescent="0.25">
      <c r="A2140" t="s">
        <v>19</v>
      </c>
      <c r="B2140" t="s">
        <v>20</v>
      </c>
      <c r="C2140" t="s">
        <v>22</v>
      </c>
      <c r="D2140">
        <v>3</v>
      </c>
      <c r="E2140" t="s">
        <v>169</v>
      </c>
      <c r="F2140" t="s">
        <v>388</v>
      </c>
      <c r="G2140">
        <v>5</v>
      </c>
      <c r="H2140">
        <v>0</v>
      </c>
      <c r="I2140">
        <f>G2140+H2140</f>
        <v>5</v>
      </c>
      <c r="J2140">
        <f>100-G2140-H2140</f>
        <v>95</v>
      </c>
      <c r="K2140" t="s">
        <v>19</v>
      </c>
      <c r="L2140" t="s">
        <v>19</v>
      </c>
      <c r="M2140" t="s">
        <v>19</v>
      </c>
      <c r="N2140" t="s">
        <v>19</v>
      </c>
      <c r="O2140" t="s">
        <v>19</v>
      </c>
      <c r="P2140" t="s">
        <v>19</v>
      </c>
      <c r="Q2140">
        <f>I2140</f>
        <v>5</v>
      </c>
      <c r="R2140" t="s">
        <v>19</v>
      </c>
      <c r="S2140" t="s">
        <v>19</v>
      </c>
      <c r="T2140" t="s">
        <v>19</v>
      </c>
    </row>
    <row r="2141" spans="1:21" ht="15" customHeight="1" x14ac:dyDescent="0.25">
      <c r="A2141" t="s">
        <v>19</v>
      </c>
      <c r="B2141" t="s">
        <v>20</v>
      </c>
      <c r="C2141" t="s">
        <v>305</v>
      </c>
      <c r="D2141">
        <v>3</v>
      </c>
      <c r="E2141" t="s">
        <v>169</v>
      </c>
      <c r="F2141" t="s">
        <v>388</v>
      </c>
      <c r="G2141">
        <v>8</v>
      </c>
      <c r="H2141">
        <v>0</v>
      </c>
      <c r="I2141">
        <f>G2141+H2141</f>
        <v>8</v>
      </c>
      <c r="J2141">
        <f>100-G2141-H2141</f>
        <v>92</v>
      </c>
      <c r="K2141" t="s">
        <v>19</v>
      </c>
      <c r="L2141" t="s">
        <v>19</v>
      </c>
      <c r="M2141" t="s">
        <v>19</v>
      </c>
      <c r="N2141" t="s">
        <v>19</v>
      </c>
      <c r="O2141" t="s">
        <v>19</v>
      </c>
      <c r="P2141" t="s">
        <v>19</v>
      </c>
      <c r="Q2141">
        <f>I2141</f>
        <v>8</v>
      </c>
      <c r="R2141" t="s">
        <v>19</v>
      </c>
      <c r="S2141" t="s">
        <v>19</v>
      </c>
      <c r="T2141" t="s">
        <v>19</v>
      </c>
    </row>
    <row r="2142" spans="1:21" ht="15" customHeight="1" x14ac:dyDescent="0.25">
      <c r="A2142" t="s">
        <v>19</v>
      </c>
      <c r="B2142" t="s">
        <v>20</v>
      </c>
      <c r="C2142" t="s">
        <v>307</v>
      </c>
      <c r="D2142">
        <v>3</v>
      </c>
      <c r="E2142" t="s">
        <v>169</v>
      </c>
      <c r="F2142" t="s">
        <v>388</v>
      </c>
      <c r="G2142">
        <v>0</v>
      </c>
      <c r="H2142">
        <v>0</v>
      </c>
      <c r="I2142">
        <f>G2142+H2142</f>
        <v>0</v>
      </c>
      <c r="J2142">
        <f>100-G2142-H2142</f>
        <v>100</v>
      </c>
      <c r="K2142" t="s">
        <v>19</v>
      </c>
      <c r="L2142" t="s">
        <v>19</v>
      </c>
      <c r="M2142" t="s">
        <v>19</v>
      </c>
      <c r="N2142" t="s">
        <v>19</v>
      </c>
      <c r="O2142" t="s">
        <v>19</v>
      </c>
      <c r="P2142" t="s">
        <v>19</v>
      </c>
      <c r="Q2142">
        <f>I2142</f>
        <v>0</v>
      </c>
      <c r="R2142" t="s">
        <v>19</v>
      </c>
      <c r="S2142" t="s">
        <v>19</v>
      </c>
      <c r="T2142" t="s">
        <v>19</v>
      </c>
    </row>
    <row r="2143" spans="1:21" ht="15" customHeight="1" x14ac:dyDescent="0.25">
      <c r="A2143" s="2">
        <v>45253.62222222222</v>
      </c>
      <c r="B2143" t="s">
        <v>309</v>
      </c>
      <c r="C2143" t="s">
        <v>213</v>
      </c>
      <c r="D2143">
        <v>3</v>
      </c>
      <c r="E2143" t="s">
        <v>169</v>
      </c>
      <c r="F2143" t="s">
        <v>388</v>
      </c>
      <c r="G2143">
        <v>0.34013605400000002</v>
      </c>
      <c r="H2143">
        <v>1.360544218</v>
      </c>
      <c r="I2143">
        <v>1.700680272</v>
      </c>
      <c r="J2143">
        <v>98.299319729999993</v>
      </c>
      <c r="K2143">
        <v>0.8</v>
      </c>
      <c r="L2143">
        <v>0.2</v>
      </c>
      <c r="M2143">
        <v>0.7</v>
      </c>
      <c r="N2143">
        <v>578</v>
      </c>
      <c r="O2143">
        <v>2</v>
      </c>
      <c r="P2143">
        <v>8</v>
      </c>
      <c r="Q2143">
        <v>1.7</v>
      </c>
      <c r="R2143" t="s">
        <v>284</v>
      </c>
      <c r="S2143">
        <v>2.68</v>
      </c>
      <c r="T2143">
        <v>3.4</v>
      </c>
    </row>
    <row r="2144" spans="1:21" ht="15" customHeight="1" x14ac:dyDescent="0.25">
      <c r="A2144" s="2">
        <v>45253.87777777778</v>
      </c>
      <c r="B2144" t="s">
        <v>309</v>
      </c>
      <c r="C2144" t="s">
        <v>215</v>
      </c>
      <c r="D2144">
        <v>2</v>
      </c>
      <c r="E2144" t="s">
        <v>169</v>
      </c>
      <c r="F2144" t="s">
        <v>388</v>
      </c>
      <c r="G2144">
        <v>6.7681895089999999</v>
      </c>
      <c r="H2144">
        <v>0</v>
      </c>
      <c r="I2144">
        <v>6.7681895089999999</v>
      </c>
      <c r="J2144">
        <v>93.231810490000001</v>
      </c>
      <c r="K2144">
        <v>0.8</v>
      </c>
      <c r="L2144">
        <v>0.2</v>
      </c>
      <c r="M2144">
        <v>0.7</v>
      </c>
      <c r="N2144">
        <v>551</v>
      </c>
      <c r="O2144">
        <v>40</v>
      </c>
      <c r="P2144">
        <v>0</v>
      </c>
      <c r="Q2144">
        <v>6.77</v>
      </c>
      <c r="R2144" t="s">
        <v>243</v>
      </c>
      <c r="S2144">
        <v>0.2</v>
      </c>
      <c r="T2144">
        <v>0.22</v>
      </c>
    </row>
    <row r="2145" spans="1:21" ht="15" customHeight="1" x14ac:dyDescent="0.25">
      <c r="A2145" s="2">
        <v>45254.04791666667</v>
      </c>
      <c r="B2145" t="s">
        <v>309</v>
      </c>
      <c r="C2145" t="s">
        <v>217</v>
      </c>
      <c r="D2145">
        <v>2</v>
      </c>
      <c r="E2145" t="s">
        <v>169</v>
      </c>
      <c r="F2145" t="s">
        <v>388</v>
      </c>
      <c r="G2145">
        <v>13.827655310000001</v>
      </c>
      <c r="H2145">
        <v>0</v>
      </c>
      <c r="I2145">
        <v>13.827655310000001</v>
      </c>
      <c r="J2145">
        <v>86.172344690000003</v>
      </c>
      <c r="K2145">
        <v>0.8</v>
      </c>
      <c r="L2145">
        <v>0.2</v>
      </c>
      <c r="M2145">
        <v>0.7</v>
      </c>
      <c r="N2145">
        <v>430</v>
      </c>
      <c r="O2145">
        <v>69</v>
      </c>
      <c r="P2145">
        <v>0</v>
      </c>
      <c r="Q2145">
        <v>13.83</v>
      </c>
      <c r="R2145" t="s">
        <v>225</v>
      </c>
      <c r="S2145">
        <v>0.45</v>
      </c>
      <c r="T2145">
        <v>0.49</v>
      </c>
    </row>
    <row r="2146" spans="1:21" ht="15" customHeight="1" x14ac:dyDescent="0.25">
      <c r="A2146" s="2">
        <v>45316.557638888888</v>
      </c>
      <c r="B2146" t="s">
        <v>309</v>
      </c>
      <c r="C2146" t="s">
        <v>219</v>
      </c>
      <c r="D2146">
        <v>3</v>
      </c>
      <c r="E2146" t="s">
        <v>169</v>
      </c>
      <c r="F2146" t="s">
        <v>388</v>
      </c>
      <c r="G2146">
        <v>0</v>
      </c>
      <c r="H2146">
        <v>0.69930069900000003</v>
      </c>
      <c r="I2146">
        <v>0.69930069900000003</v>
      </c>
      <c r="J2146">
        <v>99.300699300000005</v>
      </c>
      <c r="K2146">
        <v>0.8</v>
      </c>
      <c r="L2146">
        <v>0.2</v>
      </c>
      <c r="M2146">
        <v>0.7</v>
      </c>
      <c r="N2146">
        <v>568</v>
      </c>
      <c r="O2146">
        <v>0</v>
      </c>
      <c r="P2146">
        <v>4</v>
      </c>
      <c r="Q2146">
        <v>0.7</v>
      </c>
      <c r="R2146" t="s">
        <v>280</v>
      </c>
      <c r="S2146">
        <v>3.14</v>
      </c>
      <c r="T2146">
        <v>4.62</v>
      </c>
    </row>
    <row r="2147" spans="1:21" ht="15" customHeight="1" x14ac:dyDescent="0.25">
      <c r="A2147" s="2">
        <v>45320.901388888888</v>
      </c>
      <c r="B2147" t="s">
        <v>309</v>
      </c>
      <c r="C2147" t="s">
        <v>221</v>
      </c>
      <c r="D2147">
        <v>2</v>
      </c>
      <c r="E2147" t="s">
        <v>169</v>
      </c>
      <c r="F2147" t="s">
        <v>388</v>
      </c>
      <c r="G2147">
        <v>5.6985294120000001</v>
      </c>
      <c r="H2147">
        <v>0</v>
      </c>
      <c r="I2147">
        <v>5.6985294120000001</v>
      </c>
      <c r="J2147">
        <v>94.301470589999994</v>
      </c>
      <c r="K2147">
        <v>0.8</v>
      </c>
      <c r="L2147">
        <v>0.3</v>
      </c>
      <c r="M2147">
        <v>0.7</v>
      </c>
      <c r="N2147">
        <v>513</v>
      </c>
      <c r="O2147">
        <v>31</v>
      </c>
      <c r="P2147">
        <v>0</v>
      </c>
      <c r="Q2147">
        <v>5.7</v>
      </c>
      <c r="R2147" t="s">
        <v>229</v>
      </c>
      <c r="S2147">
        <v>0.23</v>
      </c>
      <c r="T2147">
        <v>0.25</v>
      </c>
    </row>
    <row r="2148" spans="1:21" ht="15" customHeight="1" x14ac:dyDescent="0.25">
      <c r="A2148" t="s">
        <v>19</v>
      </c>
      <c r="B2148" t="s">
        <v>20</v>
      </c>
      <c r="C2148" t="s">
        <v>306</v>
      </c>
      <c r="D2148">
        <v>3</v>
      </c>
      <c r="E2148" t="s">
        <v>169</v>
      </c>
      <c r="F2148" t="s">
        <v>388</v>
      </c>
      <c r="G2148">
        <v>15</v>
      </c>
      <c r="H2148">
        <v>2</v>
      </c>
      <c r="I2148">
        <f>G2148+H2148</f>
        <v>17</v>
      </c>
      <c r="J2148">
        <f>100-G2148-H2148</f>
        <v>83</v>
      </c>
      <c r="K2148" t="s">
        <v>19</v>
      </c>
      <c r="L2148" t="s">
        <v>19</v>
      </c>
      <c r="M2148" t="s">
        <v>19</v>
      </c>
      <c r="N2148" t="s">
        <v>19</v>
      </c>
      <c r="O2148" t="s">
        <v>19</v>
      </c>
      <c r="P2148" t="s">
        <v>19</v>
      </c>
      <c r="Q2148">
        <f>I2148</f>
        <v>17</v>
      </c>
      <c r="R2148" t="s">
        <v>19</v>
      </c>
      <c r="S2148" t="s">
        <v>19</v>
      </c>
      <c r="T2148" t="s">
        <v>19</v>
      </c>
    </row>
    <row r="2149" spans="1:21" ht="15" customHeight="1" x14ac:dyDescent="0.25">
      <c r="A2149" t="s">
        <v>19</v>
      </c>
      <c r="B2149" t="s">
        <v>20</v>
      </c>
      <c r="C2149" t="s">
        <v>320</v>
      </c>
      <c r="D2149">
        <v>3</v>
      </c>
      <c r="E2149" t="s">
        <v>169</v>
      </c>
      <c r="F2149" t="s">
        <v>388</v>
      </c>
      <c r="G2149">
        <v>0</v>
      </c>
      <c r="H2149">
        <v>0</v>
      </c>
      <c r="I2149">
        <f>100-J2149</f>
        <v>0</v>
      </c>
      <c r="J2149">
        <f>100-G2149-H2149</f>
        <v>100</v>
      </c>
      <c r="K2149" t="s">
        <v>19</v>
      </c>
      <c r="L2149" t="s">
        <v>19</v>
      </c>
      <c r="M2149" t="s">
        <v>19</v>
      </c>
      <c r="N2149" t="s">
        <v>19</v>
      </c>
      <c r="O2149" t="s">
        <v>19</v>
      </c>
      <c r="P2149" t="s">
        <v>19</v>
      </c>
      <c r="Q2149">
        <f>I2149</f>
        <v>0</v>
      </c>
      <c r="R2149" t="s">
        <v>19</v>
      </c>
      <c r="S2149" t="s">
        <v>19</v>
      </c>
      <c r="T2149" t="s">
        <v>19</v>
      </c>
    </row>
    <row r="2150" spans="1:21" ht="15" customHeight="1" x14ac:dyDescent="0.25">
      <c r="A2150" s="2">
        <v>45323.634375000001</v>
      </c>
      <c r="B2150" t="s">
        <v>309</v>
      </c>
      <c r="C2150" t="s">
        <v>322</v>
      </c>
      <c r="D2150">
        <v>3</v>
      </c>
      <c r="E2150" t="s">
        <v>169</v>
      </c>
      <c r="F2150" t="s">
        <v>388</v>
      </c>
      <c r="G2150" t="e">
        <f>(O2150/(N2150+O2150+P2150))*100</f>
        <v>#VALUE!</v>
      </c>
      <c r="H2150" t="e">
        <f>(P2150/(O2150+P2150+N2150))*100</f>
        <v>#VALUE!</v>
      </c>
      <c r="I2150">
        <v>3.6</v>
      </c>
      <c r="J2150" t="e">
        <f>(N2150/(P2150+O2150+N2150))*100</f>
        <v>#VALUE!</v>
      </c>
      <c r="K2150">
        <v>0.8</v>
      </c>
      <c r="L2150">
        <v>0.3</v>
      </c>
      <c r="M2150">
        <v>0.7</v>
      </c>
      <c r="N2150">
        <v>535</v>
      </c>
      <c r="O2150" t="s">
        <v>266</v>
      </c>
      <c r="P2150" t="s">
        <v>266</v>
      </c>
      <c r="Q2150">
        <v>3.6</v>
      </c>
      <c r="R2150" t="s">
        <v>261</v>
      </c>
      <c r="S2150">
        <v>2.4300000000000002</v>
      </c>
      <c r="T2150">
        <v>3</v>
      </c>
      <c r="U2150">
        <v>27</v>
      </c>
    </row>
    <row r="2151" spans="1:21" ht="15" customHeight="1" x14ac:dyDescent="0.25">
      <c r="A2151" s="2">
        <v>45323.63045138889</v>
      </c>
      <c r="B2151" t="s">
        <v>309</v>
      </c>
      <c r="C2151" t="s">
        <v>322</v>
      </c>
      <c r="D2151">
        <v>3</v>
      </c>
      <c r="E2151" t="s">
        <v>169</v>
      </c>
      <c r="F2151" t="s">
        <v>388</v>
      </c>
      <c r="G2151" t="e">
        <f>(O2151/(N2151+O2151+P2151))*100</f>
        <v>#VALUE!</v>
      </c>
      <c r="H2151" t="e">
        <f>(P2151/(O2151+P2151+N2151))*100</f>
        <v>#VALUE!</v>
      </c>
      <c r="I2151">
        <v>4.8</v>
      </c>
      <c r="J2151" t="e">
        <f>(N2151/(P2151+O2151+N2151))*100</f>
        <v>#VALUE!</v>
      </c>
      <c r="K2151">
        <v>0.7</v>
      </c>
      <c r="L2151">
        <v>0.3</v>
      </c>
      <c r="M2151">
        <v>0.7</v>
      </c>
      <c r="N2151">
        <v>535</v>
      </c>
      <c r="O2151" t="s">
        <v>266</v>
      </c>
      <c r="P2151" t="s">
        <v>266</v>
      </c>
      <c r="Q2151">
        <v>4.8</v>
      </c>
      <c r="R2151" t="s">
        <v>268</v>
      </c>
      <c r="S2151">
        <v>2.4300000000000002</v>
      </c>
      <c r="T2151">
        <v>3</v>
      </c>
      <c r="U2151">
        <v>20</v>
      </c>
    </row>
    <row r="2152" spans="1:21" ht="15" customHeight="1" x14ac:dyDescent="0.25">
      <c r="A2152" s="2">
        <v>45325.047638888886</v>
      </c>
      <c r="B2152" t="s">
        <v>309</v>
      </c>
      <c r="C2152" t="s">
        <v>368</v>
      </c>
      <c r="D2152">
        <v>2</v>
      </c>
      <c r="E2152" t="s">
        <v>169</v>
      </c>
      <c r="F2152" t="s">
        <v>388</v>
      </c>
      <c r="G2152">
        <f>(O2152/(N2152+O2152+P2152))*100</f>
        <v>4.7970479704797047</v>
      </c>
      <c r="H2152">
        <f>(P2152/(O2152+P2152+N2152))*100</f>
        <v>0</v>
      </c>
      <c r="I2152">
        <v>4.8</v>
      </c>
      <c r="J2152">
        <f>(N2152/(P2152+O2152+N2152))*100</f>
        <v>95.20295202952029</v>
      </c>
      <c r="K2152">
        <v>0.8</v>
      </c>
      <c r="L2152">
        <v>0.3</v>
      </c>
      <c r="M2152">
        <v>0.7</v>
      </c>
      <c r="N2152">
        <v>516</v>
      </c>
      <c r="O2152">
        <v>26</v>
      </c>
      <c r="P2152">
        <v>0</v>
      </c>
      <c r="Q2152">
        <v>4.8</v>
      </c>
      <c r="R2152" t="s">
        <v>274</v>
      </c>
      <c r="S2152">
        <v>0.19</v>
      </c>
      <c r="T2152">
        <v>0.2</v>
      </c>
    </row>
    <row r="2153" spans="1:21" ht="15" customHeight="1" x14ac:dyDescent="0.25">
      <c r="A2153" t="s">
        <v>19</v>
      </c>
      <c r="B2153" t="s">
        <v>20</v>
      </c>
      <c r="C2153" t="s">
        <v>308</v>
      </c>
      <c r="D2153">
        <v>3</v>
      </c>
      <c r="E2153" t="s">
        <v>170</v>
      </c>
      <c r="F2153" t="s">
        <v>388</v>
      </c>
      <c r="G2153">
        <v>25</v>
      </c>
      <c r="H2153">
        <v>3</v>
      </c>
      <c r="I2153">
        <f>G2153+H2153</f>
        <v>28</v>
      </c>
      <c r="J2153">
        <f>100-G2153-H2153</f>
        <v>72</v>
      </c>
      <c r="K2153" t="s">
        <v>19</v>
      </c>
      <c r="L2153" t="s">
        <v>19</v>
      </c>
      <c r="M2153" t="s">
        <v>19</v>
      </c>
      <c r="N2153" t="s">
        <v>19</v>
      </c>
      <c r="O2153" t="s">
        <v>19</v>
      </c>
      <c r="P2153" t="s">
        <v>19</v>
      </c>
      <c r="Q2153">
        <f>I2153</f>
        <v>28</v>
      </c>
      <c r="R2153" t="s">
        <v>19</v>
      </c>
      <c r="S2153" t="s">
        <v>19</v>
      </c>
      <c r="T2153" t="s">
        <v>19</v>
      </c>
    </row>
    <row r="2154" spans="1:21" ht="15" customHeight="1" x14ac:dyDescent="0.25">
      <c r="A2154" t="s">
        <v>19</v>
      </c>
      <c r="B2154" t="s">
        <v>20</v>
      </c>
      <c r="C2154" t="s">
        <v>22</v>
      </c>
      <c r="D2154">
        <v>3</v>
      </c>
      <c r="E2154" t="s">
        <v>170</v>
      </c>
      <c r="F2154" t="s">
        <v>388</v>
      </c>
      <c r="G2154">
        <v>20</v>
      </c>
      <c r="H2154">
        <v>0</v>
      </c>
      <c r="I2154">
        <f>G2154+H2154</f>
        <v>20</v>
      </c>
      <c r="J2154">
        <f>100-G2154-H2154</f>
        <v>80</v>
      </c>
      <c r="K2154" t="s">
        <v>19</v>
      </c>
      <c r="L2154" t="s">
        <v>19</v>
      </c>
      <c r="M2154" t="s">
        <v>19</v>
      </c>
      <c r="N2154" t="s">
        <v>19</v>
      </c>
      <c r="O2154" t="s">
        <v>19</v>
      </c>
      <c r="P2154" t="s">
        <v>19</v>
      </c>
      <c r="Q2154">
        <f>I2154</f>
        <v>20</v>
      </c>
      <c r="R2154" t="s">
        <v>19</v>
      </c>
      <c r="S2154" t="s">
        <v>19</v>
      </c>
      <c r="T2154" t="s">
        <v>19</v>
      </c>
    </row>
    <row r="2155" spans="1:21" ht="15" customHeight="1" x14ac:dyDescent="0.25">
      <c r="A2155" t="s">
        <v>19</v>
      </c>
      <c r="B2155" t="s">
        <v>20</v>
      </c>
      <c r="C2155" t="s">
        <v>305</v>
      </c>
      <c r="D2155">
        <v>3</v>
      </c>
      <c r="E2155" t="s">
        <v>170</v>
      </c>
      <c r="F2155" t="s">
        <v>388</v>
      </c>
      <c r="G2155">
        <v>6</v>
      </c>
      <c r="H2155">
        <v>1</v>
      </c>
      <c r="I2155">
        <f>G2155+H2155</f>
        <v>7</v>
      </c>
      <c r="J2155">
        <f>100-G2155-H2155</f>
        <v>93</v>
      </c>
      <c r="K2155" t="s">
        <v>19</v>
      </c>
      <c r="L2155" t="s">
        <v>19</v>
      </c>
      <c r="M2155" t="s">
        <v>19</v>
      </c>
      <c r="N2155" t="s">
        <v>19</v>
      </c>
      <c r="O2155" t="s">
        <v>19</v>
      </c>
      <c r="P2155" t="s">
        <v>19</v>
      </c>
      <c r="Q2155">
        <f>I2155</f>
        <v>7</v>
      </c>
      <c r="R2155" t="s">
        <v>19</v>
      </c>
      <c r="S2155" t="s">
        <v>19</v>
      </c>
      <c r="T2155" t="s">
        <v>19</v>
      </c>
    </row>
    <row r="2156" spans="1:21" ht="15" customHeight="1" x14ac:dyDescent="0.25">
      <c r="A2156" t="s">
        <v>19</v>
      </c>
      <c r="B2156" t="s">
        <v>20</v>
      </c>
      <c r="C2156" t="s">
        <v>307</v>
      </c>
      <c r="D2156">
        <v>3</v>
      </c>
      <c r="E2156" t="s">
        <v>170</v>
      </c>
      <c r="F2156" t="s">
        <v>388</v>
      </c>
      <c r="G2156">
        <v>1</v>
      </c>
      <c r="H2156">
        <v>1</v>
      </c>
      <c r="I2156">
        <f>G2156+H2156</f>
        <v>2</v>
      </c>
      <c r="J2156">
        <f>100-G2156-H2156</f>
        <v>98</v>
      </c>
      <c r="K2156" t="s">
        <v>19</v>
      </c>
      <c r="L2156" t="s">
        <v>19</v>
      </c>
      <c r="M2156" t="s">
        <v>19</v>
      </c>
      <c r="N2156" t="s">
        <v>19</v>
      </c>
      <c r="O2156" t="s">
        <v>19</v>
      </c>
      <c r="P2156" t="s">
        <v>19</v>
      </c>
      <c r="Q2156">
        <f>I2156</f>
        <v>2</v>
      </c>
      <c r="R2156" t="s">
        <v>19</v>
      </c>
      <c r="S2156" t="s">
        <v>19</v>
      </c>
      <c r="T2156" t="s">
        <v>19</v>
      </c>
    </row>
    <row r="2157" spans="1:21" ht="15" customHeight="1" x14ac:dyDescent="0.25">
      <c r="A2157" s="2">
        <v>45253.623611111114</v>
      </c>
      <c r="B2157" t="s">
        <v>309</v>
      </c>
      <c r="C2157" t="s">
        <v>213</v>
      </c>
      <c r="D2157">
        <v>3</v>
      </c>
      <c r="E2157" t="s">
        <v>170</v>
      </c>
      <c r="F2157" t="s">
        <v>388</v>
      </c>
      <c r="G2157">
        <v>8.7520259320000005</v>
      </c>
      <c r="H2157">
        <v>1.7828200970000001</v>
      </c>
      <c r="I2157">
        <v>10.534846030000001</v>
      </c>
      <c r="J2157">
        <v>89.465153970000003</v>
      </c>
      <c r="K2157">
        <v>0.8</v>
      </c>
      <c r="L2157">
        <v>0.2</v>
      </c>
      <c r="M2157">
        <v>0.7</v>
      </c>
      <c r="N2157">
        <v>552</v>
      </c>
      <c r="O2157">
        <v>54</v>
      </c>
      <c r="P2157">
        <v>11</v>
      </c>
      <c r="Q2157">
        <v>10.53</v>
      </c>
      <c r="R2157" t="s">
        <v>289</v>
      </c>
      <c r="S2157">
        <v>2.83</v>
      </c>
      <c r="T2157">
        <v>3.03</v>
      </c>
    </row>
    <row r="2158" spans="1:21" ht="15" customHeight="1" x14ac:dyDescent="0.25">
      <c r="A2158" s="2">
        <v>45253.878472222219</v>
      </c>
      <c r="B2158" t="s">
        <v>309</v>
      </c>
      <c r="C2158" t="s">
        <v>215</v>
      </c>
      <c r="D2158">
        <v>2</v>
      </c>
      <c r="E2158" t="s">
        <v>170</v>
      </c>
      <c r="F2158" t="s">
        <v>388</v>
      </c>
      <c r="G2158">
        <v>21.09144543</v>
      </c>
      <c r="H2158">
        <v>0</v>
      </c>
      <c r="I2158">
        <v>21.09144543</v>
      </c>
      <c r="J2158">
        <v>78.908554570000007</v>
      </c>
      <c r="K2158">
        <v>0.8</v>
      </c>
      <c r="L2158">
        <v>0.2</v>
      </c>
      <c r="M2158">
        <v>0.7</v>
      </c>
      <c r="N2158">
        <v>535</v>
      </c>
      <c r="O2158">
        <v>143</v>
      </c>
      <c r="P2158">
        <v>0</v>
      </c>
      <c r="Q2158">
        <v>21.09</v>
      </c>
      <c r="R2158" t="s">
        <v>231</v>
      </c>
      <c r="S2158">
        <v>0.5</v>
      </c>
      <c r="T2158">
        <v>0.53</v>
      </c>
    </row>
    <row r="2159" spans="1:21" ht="15" customHeight="1" x14ac:dyDescent="0.25">
      <c r="A2159" s="2">
        <v>45254.048611111109</v>
      </c>
      <c r="B2159" t="s">
        <v>309</v>
      </c>
      <c r="C2159" t="s">
        <v>217</v>
      </c>
      <c r="D2159">
        <v>2</v>
      </c>
      <c r="E2159" t="s">
        <v>170</v>
      </c>
      <c r="F2159" t="s">
        <v>388</v>
      </c>
      <c r="G2159">
        <v>22.624434390000001</v>
      </c>
      <c r="H2159">
        <v>0</v>
      </c>
      <c r="I2159">
        <v>22.624434390000001</v>
      </c>
      <c r="J2159">
        <v>77.375565609999995</v>
      </c>
      <c r="K2159">
        <v>0.8</v>
      </c>
      <c r="L2159">
        <v>0.2</v>
      </c>
      <c r="M2159">
        <v>0.7</v>
      </c>
      <c r="N2159">
        <v>513</v>
      </c>
      <c r="O2159">
        <v>150</v>
      </c>
      <c r="P2159">
        <v>0</v>
      </c>
      <c r="Q2159">
        <v>22.62</v>
      </c>
      <c r="R2159" t="s">
        <v>235</v>
      </c>
      <c r="S2159">
        <v>0.53</v>
      </c>
      <c r="T2159">
        <v>0.56000000000000005</v>
      </c>
    </row>
    <row r="2160" spans="1:21" ht="15" customHeight="1" x14ac:dyDescent="0.25">
      <c r="A2160" s="2">
        <v>45316.558333333334</v>
      </c>
      <c r="B2160" t="s">
        <v>309</v>
      </c>
      <c r="C2160" t="s">
        <v>219</v>
      </c>
      <c r="D2160">
        <v>3</v>
      </c>
      <c r="E2160" t="s">
        <v>170</v>
      </c>
      <c r="F2160" t="s">
        <v>388</v>
      </c>
      <c r="G2160">
        <v>4.1818181819999998</v>
      </c>
      <c r="H2160">
        <v>2</v>
      </c>
      <c r="I2160">
        <v>6.1818181819999998</v>
      </c>
      <c r="J2160">
        <v>93.818181820000007</v>
      </c>
      <c r="K2160">
        <v>0.8</v>
      </c>
      <c r="L2160">
        <v>0.2</v>
      </c>
      <c r="M2160">
        <v>0.7</v>
      </c>
      <c r="N2160">
        <v>516</v>
      </c>
      <c r="O2160">
        <v>23</v>
      </c>
      <c r="P2160">
        <v>11</v>
      </c>
      <c r="Q2160">
        <v>6.18</v>
      </c>
      <c r="R2160" t="s">
        <v>226</v>
      </c>
      <c r="S2160">
        <v>3.16</v>
      </c>
      <c r="T2160">
        <v>4.57</v>
      </c>
    </row>
    <row r="2161" spans="1:21" ht="15" customHeight="1" x14ac:dyDescent="0.25">
      <c r="A2161" s="2">
        <v>45320.902777777781</v>
      </c>
      <c r="B2161" t="s">
        <v>309</v>
      </c>
      <c r="C2161" t="s">
        <v>221</v>
      </c>
      <c r="D2161">
        <v>2</v>
      </c>
      <c r="E2161" t="s">
        <v>170</v>
      </c>
      <c r="F2161" t="s">
        <v>388</v>
      </c>
      <c r="G2161">
        <v>22.641509429999999</v>
      </c>
      <c r="H2161">
        <v>0</v>
      </c>
      <c r="I2161">
        <v>22.641509429999999</v>
      </c>
      <c r="J2161">
        <v>77.358490570000001</v>
      </c>
      <c r="K2161">
        <v>0.8</v>
      </c>
      <c r="L2161">
        <v>0.3</v>
      </c>
      <c r="M2161">
        <v>0.7</v>
      </c>
      <c r="N2161">
        <v>492</v>
      </c>
      <c r="O2161">
        <v>144</v>
      </c>
      <c r="P2161">
        <v>0</v>
      </c>
      <c r="Q2161">
        <v>22.64</v>
      </c>
      <c r="R2161" t="s">
        <v>267</v>
      </c>
      <c r="S2161">
        <v>0.65</v>
      </c>
      <c r="T2161">
        <v>0.7</v>
      </c>
    </row>
    <row r="2162" spans="1:21" ht="15" customHeight="1" x14ac:dyDescent="0.25">
      <c r="A2162" t="s">
        <v>19</v>
      </c>
      <c r="B2162" t="s">
        <v>20</v>
      </c>
      <c r="C2162" t="s">
        <v>306</v>
      </c>
      <c r="D2162">
        <v>3</v>
      </c>
      <c r="E2162" t="s">
        <v>170</v>
      </c>
      <c r="F2162" t="s">
        <v>388</v>
      </c>
      <c r="G2162">
        <v>20</v>
      </c>
      <c r="H2162">
        <v>5</v>
      </c>
      <c r="I2162">
        <f>G2162+H2162</f>
        <v>25</v>
      </c>
      <c r="J2162">
        <f>100-G2162-H2162</f>
        <v>75</v>
      </c>
      <c r="K2162" t="s">
        <v>19</v>
      </c>
      <c r="L2162" t="s">
        <v>19</v>
      </c>
      <c r="M2162" t="s">
        <v>19</v>
      </c>
      <c r="N2162" t="s">
        <v>19</v>
      </c>
      <c r="O2162" t="s">
        <v>19</v>
      </c>
      <c r="P2162" t="s">
        <v>19</v>
      </c>
      <c r="Q2162">
        <f>I2162</f>
        <v>25</v>
      </c>
      <c r="R2162" t="s">
        <v>19</v>
      </c>
      <c r="S2162" t="s">
        <v>19</v>
      </c>
      <c r="T2162" t="s">
        <v>19</v>
      </c>
    </row>
    <row r="2163" spans="1:21" ht="15" customHeight="1" x14ac:dyDescent="0.25">
      <c r="A2163" t="s">
        <v>19</v>
      </c>
      <c r="B2163" t="s">
        <v>20</v>
      </c>
      <c r="C2163" t="s">
        <v>320</v>
      </c>
      <c r="D2163">
        <v>3</v>
      </c>
      <c r="E2163" t="s">
        <v>170</v>
      </c>
      <c r="F2163" t="s">
        <v>388</v>
      </c>
      <c r="G2163">
        <v>0</v>
      </c>
      <c r="H2163">
        <v>0</v>
      </c>
      <c r="I2163">
        <f>100-J2163</f>
        <v>0</v>
      </c>
      <c r="J2163">
        <f>100-G2163-H2163</f>
        <v>100</v>
      </c>
      <c r="K2163" t="s">
        <v>19</v>
      </c>
      <c r="L2163" t="s">
        <v>19</v>
      </c>
      <c r="M2163" t="s">
        <v>19</v>
      </c>
      <c r="N2163" t="s">
        <v>19</v>
      </c>
      <c r="O2163" t="s">
        <v>19</v>
      </c>
      <c r="P2163" t="s">
        <v>19</v>
      </c>
      <c r="Q2163">
        <f>I2163</f>
        <v>0</v>
      </c>
      <c r="R2163" t="s">
        <v>19</v>
      </c>
      <c r="S2163" t="s">
        <v>19</v>
      </c>
      <c r="T2163" t="s">
        <v>19</v>
      </c>
    </row>
    <row r="2164" spans="1:21" ht="15" customHeight="1" x14ac:dyDescent="0.25">
      <c r="A2164" s="2">
        <v>45323.635763888888</v>
      </c>
      <c r="B2164" t="s">
        <v>309</v>
      </c>
      <c r="C2164" t="s">
        <v>322</v>
      </c>
      <c r="D2164">
        <v>3</v>
      </c>
      <c r="E2164" t="s">
        <v>170</v>
      </c>
      <c r="F2164" t="s">
        <v>388</v>
      </c>
      <c r="G2164">
        <f t="shared" ref="G2164:G2172" si="19">(O2164/(N2164+O2164+P2164))*100</f>
        <v>18.740157480314963</v>
      </c>
      <c r="H2164">
        <f t="shared" ref="H2164:H2172" si="20">(P2164/(O2164+P2164+N2164))*100</f>
        <v>0.78740157480314954</v>
      </c>
      <c r="I2164">
        <v>19.53</v>
      </c>
      <c r="J2164">
        <f t="shared" ref="J2164:J2172" si="21">(N2164/(P2164+O2164+N2164))*100</f>
        <v>80.472440944881882</v>
      </c>
      <c r="K2164">
        <v>0.8</v>
      </c>
      <c r="L2164">
        <v>0.3</v>
      </c>
      <c r="M2164">
        <v>0.7</v>
      </c>
      <c r="N2164">
        <v>511</v>
      </c>
      <c r="O2164">
        <v>119</v>
      </c>
      <c r="P2164">
        <v>5</v>
      </c>
      <c r="Q2164">
        <v>19.53</v>
      </c>
      <c r="R2164" t="s">
        <v>255</v>
      </c>
      <c r="S2164">
        <v>2.5499999999999998</v>
      </c>
      <c r="T2164">
        <v>3.03</v>
      </c>
      <c r="U2164">
        <v>74</v>
      </c>
    </row>
    <row r="2165" spans="1:21" ht="15" customHeight="1" x14ac:dyDescent="0.25">
      <c r="A2165" s="2">
        <v>45323.63177083333</v>
      </c>
      <c r="B2165" t="s">
        <v>309</v>
      </c>
      <c r="C2165" t="s">
        <v>322</v>
      </c>
      <c r="D2165">
        <v>3</v>
      </c>
      <c r="E2165" t="s">
        <v>170</v>
      </c>
      <c r="F2165" t="s">
        <v>388</v>
      </c>
      <c r="G2165">
        <f t="shared" si="19"/>
        <v>20.615384615384617</v>
      </c>
      <c r="H2165">
        <f t="shared" si="20"/>
        <v>0.76923076923076927</v>
      </c>
      <c r="I2165">
        <v>21.38</v>
      </c>
      <c r="J2165">
        <f t="shared" si="21"/>
        <v>78.615384615384613</v>
      </c>
      <c r="K2165">
        <v>0.7</v>
      </c>
      <c r="L2165">
        <v>0.3</v>
      </c>
      <c r="M2165">
        <v>0.7</v>
      </c>
      <c r="N2165">
        <v>511</v>
      </c>
      <c r="O2165">
        <v>134</v>
      </c>
      <c r="P2165">
        <v>5</v>
      </c>
      <c r="Q2165">
        <v>21.38</v>
      </c>
      <c r="R2165" t="s">
        <v>289</v>
      </c>
      <c r="S2165">
        <v>2.5499999999999998</v>
      </c>
      <c r="T2165">
        <v>3.03</v>
      </c>
      <c r="U2165">
        <v>59</v>
      </c>
    </row>
    <row r="2166" spans="1:21" ht="15" customHeight="1" x14ac:dyDescent="0.25">
      <c r="A2166" s="2">
        <v>45325.048831018517</v>
      </c>
      <c r="B2166" t="s">
        <v>309</v>
      </c>
      <c r="C2166" t="s">
        <v>368</v>
      </c>
      <c r="D2166">
        <v>2</v>
      </c>
      <c r="E2166" t="s">
        <v>170</v>
      </c>
      <c r="F2166" t="s">
        <v>388</v>
      </c>
      <c r="G2166">
        <f t="shared" si="19"/>
        <v>14.396284829721361</v>
      </c>
      <c r="H2166">
        <f t="shared" si="20"/>
        <v>0</v>
      </c>
      <c r="I2166">
        <v>14.4</v>
      </c>
      <c r="J2166">
        <f t="shared" si="21"/>
        <v>85.603715170278633</v>
      </c>
      <c r="K2166">
        <v>0.8</v>
      </c>
      <c r="L2166">
        <v>0.3</v>
      </c>
      <c r="M2166">
        <v>0.7</v>
      </c>
      <c r="N2166">
        <v>553</v>
      </c>
      <c r="O2166">
        <v>93</v>
      </c>
      <c r="P2166">
        <v>0</v>
      </c>
      <c r="Q2166">
        <v>14.4</v>
      </c>
      <c r="R2166" t="s">
        <v>277</v>
      </c>
      <c r="S2166">
        <v>0.45</v>
      </c>
      <c r="T2166">
        <v>0.48</v>
      </c>
    </row>
    <row r="2167" spans="1:21" ht="15" customHeight="1" x14ac:dyDescent="0.25">
      <c r="A2167" s="2">
        <v>45323.637326388889</v>
      </c>
      <c r="B2167" t="s">
        <v>309</v>
      </c>
      <c r="C2167" t="s">
        <v>322</v>
      </c>
      <c r="D2167">
        <v>3</v>
      </c>
      <c r="E2167" t="s">
        <v>326</v>
      </c>
      <c r="F2167" t="s">
        <v>388</v>
      </c>
      <c r="G2167">
        <f t="shared" si="19"/>
        <v>0.28612303290414876</v>
      </c>
      <c r="H2167">
        <f t="shared" si="20"/>
        <v>0.57224606580829751</v>
      </c>
      <c r="I2167">
        <v>0.86</v>
      </c>
      <c r="J2167">
        <f t="shared" si="21"/>
        <v>99.141630901287556</v>
      </c>
      <c r="K2167">
        <v>0.8</v>
      </c>
      <c r="L2167">
        <v>0.3</v>
      </c>
      <c r="M2167">
        <v>0.7</v>
      </c>
      <c r="N2167">
        <v>693</v>
      </c>
      <c r="O2167">
        <v>2</v>
      </c>
      <c r="P2167">
        <v>4</v>
      </c>
      <c r="Q2167">
        <v>0.86</v>
      </c>
      <c r="R2167" t="s">
        <v>353</v>
      </c>
      <c r="S2167">
        <v>2.46</v>
      </c>
      <c r="T2167">
        <v>3.46</v>
      </c>
      <c r="U2167">
        <v>24</v>
      </c>
    </row>
    <row r="2168" spans="1:21" ht="15" customHeight="1" x14ac:dyDescent="0.25">
      <c r="A2168" s="2">
        <v>45323.633310185185</v>
      </c>
      <c r="B2168" t="s">
        <v>309</v>
      </c>
      <c r="C2168" t="s">
        <v>322</v>
      </c>
      <c r="D2168">
        <v>3</v>
      </c>
      <c r="E2168" t="s">
        <v>326</v>
      </c>
      <c r="F2168" t="s">
        <v>388</v>
      </c>
      <c r="G2168">
        <f t="shared" si="19"/>
        <v>0.4285714285714286</v>
      </c>
      <c r="H2168">
        <f t="shared" si="20"/>
        <v>0.7142857142857143</v>
      </c>
      <c r="I2168">
        <v>1.1399999999999999</v>
      </c>
      <c r="J2168">
        <f t="shared" si="21"/>
        <v>98.857142857142861</v>
      </c>
      <c r="K2168">
        <v>0.7</v>
      </c>
      <c r="L2168">
        <v>0.3</v>
      </c>
      <c r="M2168">
        <v>0.7</v>
      </c>
      <c r="N2168">
        <v>692</v>
      </c>
      <c r="O2168">
        <v>3</v>
      </c>
      <c r="P2168">
        <v>5</v>
      </c>
      <c r="Q2168">
        <v>1.1399999999999999</v>
      </c>
      <c r="R2168" t="s">
        <v>343</v>
      </c>
      <c r="S2168">
        <v>2.46</v>
      </c>
      <c r="T2168">
        <v>3.46</v>
      </c>
      <c r="U2168">
        <v>23</v>
      </c>
    </row>
    <row r="2169" spans="1:21" ht="15" customHeight="1" x14ac:dyDescent="0.25">
      <c r="A2169" s="2">
        <v>45325.050069444442</v>
      </c>
      <c r="B2169" t="s">
        <v>309</v>
      </c>
      <c r="C2169" t="s">
        <v>368</v>
      </c>
      <c r="D2169">
        <v>2</v>
      </c>
      <c r="E2169" t="s">
        <v>326</v>
      </c>
      <c r="F2169" t="s">
        <v>388</v>
      </c>
      <c r="G2169">
        <f t="shared" si="19"/>
        <v>7.0491803278688518</v>
      </c>
      <c r="H2169">
        <f t="shared" si="20"/>
        <v>0</v>
      </c>
      <c r="I2169">
        <v>7.05</v>
      </c>
      <c r="J2169">
        <f t="shared" si="21"/>
        <v>92.950819672131146</v>
      </c>
      <c r="K2169">
        <v>0.8</v>
      </c>
      <c r="L2169">
        <v>0.3</v>
      </c>
      <c r="M2169">
        <v>0.7</v>
      </c>
      <c r="N2169">
        <v>567</v>
      </c>
      <c r="O2169">
        <v>43</v>
      </c>
      <c r="P2169">
        <v>0</v>
      </c>
      <c r="Q2169">
        <v>7.05</v>
      </c>
      <c r="R2169" t="s">
        <v>275</v>
      </c>
      <c r="S2169">
        <v>0.35</v>
      </c>
      <c r="T2169">
        <v>0.38</v>
      </c>
    </row>
    <row r="2170" spans="1:21" ht="15" customHeight="1" x14ac:dyDescent="0.25">
      <c r="A2170" s="2">
        <v>45323.632164351853</v>
      </c>
      <c r="B2170" t="s">
        <v>309</v>
      </c>
      <c r="C2170" t="s">
        <v>322</v>
      </c>
      <c r="D2170">
        <v>3</v>
      </c>
      <c r="E2170" t="s">
        <v>326</v>
      </c>
      <c r="F2170" t="s">
        <v>373</v>
      </c>
      <c r="G2170">
        <f t="shared" si="19"/>
        <v>0.41958041958041958</v>
      </c>
      <c r="H2170">
        <f t="shared" si="20"/>
        <v>0</v>
      </c>
      <c r="I2170">
        <f>((O2170+P2170)/(P2170+O2170+N2170))*100</f>
        <v>0.41958041958041958</v>
      </c>
      <c r="J2170">
        <f t="shared" si="21"/>
        <v>99.580419580419573</v>
      </c>
      <c r="K2170">
        <v>0.8</v>
      </c>
      <c r="L2170">
        <v>0.3</v>
      </c>
      <c r="M2170">
        <v>0.7</v>
      </c>
      <c r="N2170">
        <v>712</v>
      </c>
      <c r="O2170">
        <v>3</v>
      </c>
      <c r="P2170">
        <v>0</v>
      </c>
      <c r="Q2170">
        <v>0.42</v>
      </c>
      <c r="R2170" t="s">
        <v>341</v>
      </c>
      <c r="S2170">
        <v>2.68</v>
      </c>
      <c r="T2170">
        <v>3.04</v>
      </c>
      <c r="U2170">
        <v>45</v>
      </c>
    </row>
    <row r="2171" spans="1:21" ht="15" customHeight="1" x14ac:dyDescent="0.25">
      <c r="A2171" s="2">
        <v>45323.636828703704</v>
      </c>
      <c r="B2171" t="s">
        <v>309</v>
      </c>
      <c r="C2171" t="s">
        <v>322</v>
      </c>
      <c r="D2171">
        <v>3</v>
      </c>
      <c r="E2171" t="s">
        <v>326</v>
      </c>
      <c r="F2171" t="s">
        <v>373</v>
      </c>
      <c r="G2171">
        <f t="shared" si="19"/>
        <v>1.3850415512465373</v>
      </c>
      <c r="H2171">
        <f t="shared" si="20"/>
        <v>0.13850415512465375</v>
      </c>
      <c r="I2171">
        <f>((O2171+P2171)/(P2171+O2171+N2171))*100</f>
        <v>1.5235457063711912</v>
      </c>
      <c r="J2171">
        <f t="shared" si="21"/>
        <v>98.476454293628819</v>
      </c>
      <c r="K2171">
        <v>0.7</v>
      </c>
      <c r="L2171">
        <v>0.3</v>
      </c>
      <c r="M2171">
        <v>0.7</v>
      </c>
      <c r="N2171">
        <v>711</v>
      </c>
      <c r="O2171">
        <v>10</v>
      </c>
      <c r="P2171">
        <v>1</v>
      </c>
      <c r="Q2171">
        <v>1.52</v>
      </c>
      <c r="R2171" t="s">
        <v>358</v>
      </c>
      <c r="S2171">
        <v>2.68</v>
      </c>
      <c r="T2171">
        <v>3.04</v>
      </c>
      <c r="U2171">
        <v>38</v>
      </c>
    </row>
    <row r="2172" spans="1:21" ht="15" customHeight="1" x14ac:dyDescent="0.25">
      <c r="A2172" s="2">
        <v>45325.193912037037</v>
      </c>
      <c r="B2172" t="s">
        <v>309</v>
      </c>
      <c r="C2172" t="s">
        <v>368</v>
      </c>
      <c r="D2172">
        <v>2</v>
      </c>
      <c r="E2172" t="s">
        <v>326</v>
      </c>
      <c r="F2172" t="s">
        <v>373</v>
      </c>
      <c r="G2172">
        <f t="shared" si="19"/>
        <v>2.6113671274961598</v>
      </c>
      <c r="H2172">
        <f t="shared" si="20"/>
        <v>0</v>
      </c>
      <c r="I2172">
        <v>2.61</v>
      </c>
      <c r="J2172">
        <f t="shared" si="21"/>
        <v>97.388632872503848</v>
      </c>
      <c r="K2172">
        <v>0.8</v>
      </c>
      <c r="L2172">
        <v>0.3</v>
      </c>
      <c r="M2172">
        <v>0.7</v>
      </c>
      <c r="N2172">
        <v>634</v>
      </c>
      <c r="O2172">
        <v>17</v>
      </c>
      <c r="P2172">
        <v>0</v>
      </c>
      <c r="Q2172">
        <v>2.61</v>
      </c>
      <c r="R2172" t="s">
        <v>276</v>
      </c>
      <c r="S2172">
        <v>0.18</v>
      </c>
      <c r="T2172">
        <v>0.18</v>
      </c>
    </row>
    <row r="2173" spans="1:21" ht="15" customHeight="1" x14ac:dyDescent="0.25">
      <c r="A2173" t="s">
        <v>19</v>
      </c>
      <c r="B2173" t="s">
        <v>20</v>
      </c>
      <c r="C2173" t="s">
        <v>308</v>
      </c>
      <c r="D2173">
        <v>3</v>
      </c>
      <c r="E2173" t="s">
        <v>316</v>
      </c>
      <c r="F2173" t="s">
        <v>388</v>
      </c>
      <c r="G2173">
        <v>17</v>
      </c>
      <c r="H2173">
        <v>3</v>
      </c>
      <c r="I2173">
        <f>G2173+H2173</f>
        <v>20</v>
      </c>
      <c r="J2173">
        <f>100-G2173-H2173</f>
        <v>80</v>
      </c>
      <c r="K2173" t="s">
        <v>19</v>
      </c>
      <c r="L2173" t="s">
        <v>19</v>
      </c>
      <c r="M2173" t="s">
        <v>19</v>
      </c>
      <c r="N2173" t="s">
        <v>19</v>
      </c>
      <c r="O2173" t="s">
        <v>19</v>
      </c>
      <c r="P2173" t="s">
        <v>19</v>
      </c>
      <c r="Q2173">
        <f>I2173</f>
        <v>20</v>
      </c>
      <c r="R2173" t="s">
        <v>19</v>
      </c>
      <c r="S2173" t="s">
        <v>19</v>
      </c>
      <c r="T2173" t="s">
        <v>19</v>
      </c>
    </row>
    <row r="2174" spans="1:21" ht="15" customHeight="1" x14ac:dyDescent="0.25">
      <c r="A2174" t="s">
        <v>19</v>
      </c>
      <c r="B2174" t="s">
        <v>20</v>
      </c>
      <c r="C2174" t="s">
        <v>22</v>
      </c>
      <c r="D2174">
        <v>3</v>
      </c>
      <c r="E2174" t="s">
        <v>316</v>
      </c>
      <c r="F2174" t="s">
        <v>388</v>
      </c>
      <c r="G2174">
        <v>0</v>
      </c>
      <c r="H2174">
        <v>3</v>
      </c>
      <c r="I2174">
        <f>G2174+H2174</f>
        <v>3</v>
      </c>
      <c r="J2174">
        <f>100-G2174-H2174</f>
        <v>97</v>
      </c>
      <c r="K2174" t="s">
        <v>19</v>
      </c>
      <c r="L2174" t="s">
        <v>19</v>
      </c>
      <c r="M2174" t="s">
        <v>19</v>
      </c>
      <c r="N2174" t="s">
        <v>19</v>
      </c>
      <c r="O2174" t="s">
        <v>19</v>
      </c>
      <c r="P2174" t="s">
        <v>19</v>
      </c>
      <c r="Q2174">
        <f>I2174</f>
        <v>3</v>
      </c>
      <c r="R2174" t="s">
        <v>19</v>
      </c>
      <c r="S2174" t="s">
        <v>19</v>
      </c>
      <c r="T2174" t="s">
        <v>19</v>
      </c>
    </row>
    <row r="2175" spans="1:21" ht="15" customHeight="1" x14ac:dyDescent="0.25">
      <c r="A2175" t="s">
        <v>19</v>
      </c>
      <c r="B2175" t="s">
        <v>20</v>
      </c>
      <c r="C2175" t="s">
        <v>305</v>
      </c>
      <c r="D2175">
        <v>3</v>
      </c>
      <c r="E2175" t="s">
        <v>316</v>
      </c>
      <c r="F2175" t="s">
        <v>388</v>
      </c>
      <c r="G2175">
        <v>4</v>
      </c>
      <c r="H2175">
        <v>2</v>
      </c>
      <c r="I2175">
        <f>G2175+H2175</f>
        <v>6</v>
      </c>
      <c r="J2175">
        <f>100-G2175-H2175</f>
        <v>94</v>
      </c>
      <c r="K2175" t="s">
        <v>19</v>
      </c>
      <c r="L2175" t="s">
        <v>19</v>
      </c>
      <c r="M2175" t="s">
        <v>19</v>
      </c>
      <c r="N2175" t="s">
        <v>19</v>
      </c>
      <c r="O2175" t="s">
        <v>19</v>
      </c>
      <c r="P2175" t="s">
        <v>19</v>
      </c>
      <c r="Q2175">
        <f>I2175</f>
        <v>6</v>
      </c>
      <c r="R2175" t="s">
        <v>19</v>
      </c>
      <c r="S2175" t="s">
        <v>19</v>
      </c>
      <c r="T2175" t="s">
        <v>19</v>
      </c>
    </row>
    <row r="2176" spans="1:21" ht="15" customHeight="1" x14ac:dyDescent="0.25">
      <c r="A2176" t="s">
        <v>19</v>
      </c>
      <c r="B2176" t="s">
        <v>20</v>
      </c>
      <c r="C2176" t="s">
        <v>307</v>
      </c>
      <c r="D2176">
        <v>3</v>
      </c>
      <c r="E2176" t="s">
        <v>316</v>
      </c>
      <c r="F2176" t="s">
        <v>388</v>
      </c>
      <c r="G2176">
        <v>0</v>
      </c>
      <c r="H2176">
        <v>0</v>
      </c>
      <c r="I2176">
        <f>G2176+H2176</f>
        <v>0</v>
      </c>
      <c r="J2176">
        <f>100-G2176-H2176</f>
        <v>100</v>
      </c>
      <c r="K2176" t="s">
        <v>19</v>
      </c>
      <c r="L2176" t="s">
        <v>19</v>
      </c>
      <c r="M2176" t="s">
        <v>19</v>
      </c>
      <c r="N2176" t="s">
        <v>19</v>
      </c>
      <c r="O2176" t="s">
        <v>19</v>
      </c>
      <c r="P2176" t="s">
        <v>19</v>
      </c>
      <c r="Q2176">
        <f>I2176</f>
        <v>0</v>
      </c>
      <c r="R2176" t="s">
        <v>19</v>
      </c>
      <c r="S2176" t="s">
        <v>19</v>
      </c>
      <c r="T2176" t="s">
        <v>19</v>
      </c>
    </row>
    <row r="2177" spans="1:20" ht="15" customHeight="1" x14ac:dyDescent="0.25">
      <c r="A2177" s="2">
        <v>45253.625</v>
      </c>
      <c r="B2177" t="s">
        <v>309</v>
      </c>
      <c r="C2177" t="s">
        <v>213</v>
      </c>
      <c r="D2177">
        <v>3</v>
      </c>
      <c r="E2177" t="s">
        <v>316</v>
      </c>
      <c r="F2177" t="s">
        <v>388</v>
      </c>
      <c r="G2177">
        <v>0.42979942700000001</v>
      </c>
      <c r="H2177">
        <v>1.146131805</v>
      </c>
      <c r="I2177">
        <v>1.5759312320000001</v>
      </c>
      <c r="J2177">
        <v>98.424068770000005</v>
      </c>
      <c r="K2177">
        <v>0.8</v>
      </c>
      <c r="L2177">
        <v>0.2</v>
      </c>
      <c r="M2177">
        <v>0.7</v>
      </c>
      <c r="N2177">
        <v>687</v>
      </c>
      <c r="O2177">
        <v>3</v>
      </c>
      <c r="P2177">
        <v>8</v>
      </c>
      <c r="Q2177">
        <v>1.58</v>
      </c>
      <c r="R2177" t="s">
        <v>255</v>
      </c>
      <c r="S2177">
        <v>2.63</v>
      </c>
      <c r="T2177">
        <v>3.29</v>
      </c>
    </row>
    <row r="2178" spans="1:20" ht="15" customHeight="1" x14ac:dyDescent="0.25">
      <c r="A2178" s="2">
        <v>45253.879166666666</v>
      </c>
      <c r="B2178" t="s">
        <v>309</v>
      </c>
      <c r="C2178" t="s">
        <v>215</v>
      </c>
      <c r="D2178">
        <v>2</v>
      </c>
      <c r="E2178" t="s">
        <v>316</v>
      </c>
      <c r="F2178" t="s">
        <v>388</v>
      </c>
      <c r="G2178">
        <v>1.941747573</v>
      </c>
      <c r="H2178">
        <v>0</v>
      </c>
      <c r="I2178">
        <v>1.941747573</v>
      </c>
      <c r="J2178">
        <v>98.058252429999996</v>
      </c>
      <c r="K2178">
        <v>0.8</v>
      </c>
      <c r="L2178">
        <v>0.2</v>
      </c>
      <c r="M2178">
        <v>0.7</v>
      </c>
      <c r="N2178">
        <v>707</v>
      </c>
      <c r="O2178">
        <v>14</v>
      </c>
      <c r="P2178">
        <v>0</v>
      </c>
      <c r="Q2178">
        <v>1.94</v>
      </c>
      <c r="R2178" t="s">
        <v>243</v>
      </c>
      <c r="S2178">
        <v>7.0000000000000007E-2</v>
      </c>
      <c r="T2178">
        <v>0.08</v>
      </c>
    </row>
    <row r="2179" spans="1:20" ht="15" customHeight="1" x14ac:dyDescent="0.25">
      <c r="A2179" s="2">
        <v>45254.049305555556</v>
      </c>
      <c r="B2179" t="s">
        <v>309</v>
      </c>
      <c r="C2179" t="s">
        <v>217</v>
      </c>
      <c r="D2179">
        <v>2</v>
      </c>
      <c r="E2179" t="s">
        <v>316</v>
      </c>
      <c r="F2179" t="s">
        <v>388</v>
      </c>
      <c r="G2179">
        <v>3.5767511179999998</v>
      </c>
      <c r="H2179">
        <v>0</v>
      </c>
      <c r="I2179">
        <v>3.5767511179999998</v>
      </c>
      <c r="J2179">
        <v>96.423248880000003</v>
      </c>
      <c r="K2179">
        <v>0.8</v>
      </c>
      <c r="L2179">
        <v>0.2</v>
      </c>
      <c r="M2179">
        <v>0.7</v>
      </c>
      <c r="N2179">
        <v>647</v>
      </c>
      <c r="O2179">
        <v>24</v>
      </c>
      <c r="P2179">
        <v>0</v>
      </c>
      <c r="Q2179">
        <v>3.58</v>
      </c>
      <c r="R2179" t="s">
        <v>226</v>
      </c>
      <c r="S2179">
        <v>0.16</v>
      </c>
      <c r="T2179">
        <v>0.17</v>
      </c>
    </row>
    <row r="2180" spans="1:20" ht="15" customHeight="1" x14ac:dyDescent="0.25">
      <c r="A2180" s="2">
        <v>45316.559027777781</v>
      </c>
      <c r="B2180" t="s">
        <v>309</v>
      </c>
      <c r="C2180" t="s">
        <v>219</v>
      </c>
      <c r="D2180">
        <v>3</v>
      </c>
      <c r="E2180" t="s">
        <v>316</v>
      </c>
      <c r="F2180" t="s">
        <v>388</v>
      </c>
      <c r="G2180">
        <v>0</v>
      </c>
      <c r="H2180">
        <v>1.0101010100000001</v>
      </c>
      <c r="I2180">
        <v>1.0101010100000001</v>
      </c>
      <c r="J2180">
        <v>98.98989899</v>
      </c>
      <c r="K2180">
        <v>0.8</v>
      </c>
      <c r="L2180">
        <v>0.2</v>
      </c>
      <c r="M2180">
        <v>0.7</v>
      </c>
      <c r="N2180">
        <v>588</v>
      </c>
      <c r="O2180">
        <v>0</v>
      </c>
      <c r="P2180">
        <v>6</v>
      </c>
      <c r="Q2180">
        <v>1.01</v>
      </c>
      <c r="R2180" t="s">
        <v>225</v>
      </c>
      <c r="S2180">
        <v>3</v>
      </c>
      <c r="T2180">
        <v>4.5599999999999996</v>
      </c>
    </row>
    <row r="2181" spans="1:20" ht="15" customHeight="1" x14ac:dyDescent="0.25">
      <c r="A2181" s="2">
        <v>45320.90347222222</v>
      </c>
      <c r="B2181" t="s">
        <v>309</v>
      </c>
      <c r="C2181" t="s">
        <v>221</v>
      </c>
      <c r="D2181">
        <v>2</v>
      </c>
      <c r="E2181" t="s">
        <v>316</v>
      </c>
      <c r="F2181" t="s">
        <v>388</v>
      </c>
      <c r="G2181">
        <v>3.1437125749999999</v>
      </c>
      <c r="H2181">
        <v>0</v>
      </c>
      <c r="I2181">
        <v>3.1437125749999999</v>
      </c>
      <c r="J2181">
        <v>96.856287429999995</v>
      </c>
      <c r="K2181">
        <v>0.8</v>
      </c>
      <c r="L2181">
        <v>0.3</v>
      </c>
      <c r="M2181">
        <v>0.7</v>
      </c>
      <c r="N2181">
        <v>647</v>
      </c>
      <c r="O2181">
        <v>21</v>
      </c>
      <c r="P2181">
        <v>0</v>
      </c>
      <c r="Q2181">
        <v>3.14</v>
      </c>
      <c r="R2181" t="s">
        <v>222</v>
      </c>
      <c r="S2181">
        <v>0.17</v>
      </c>
      <c r="T2181">
        <v>0.19</v>
      </c>
    </row>
    <row r="2182" spans="1:20" ht="15" customHeight="1" x14ac:dyDescent="0.25">
      <c r="A2182" t="s">
        <v>19</v>
      </c>
      <c r="B2182" t="s">
        <v>20</v>
      </c>
      <c r="C2182" t="s">
        <v>306</v>
      </c>
      <c r="D2182">
        <v>3</v>
      </c>
      <c r="E2182" t="s">
        <v>316</v>
      </c>
      <c r="F2182" t="s">
        <v>388</v>
      </c>
      <c r="G2182">
        <v>18</v>
      </c>
      <c r="H2182">
        <v>7</v>
      </c>
      <c r="I2182">
        <f>G2182+H2182</f>
        <v>25</v>
      </c>
      <c r="J2182">
        <f t="shared" ref="J2182:J2188" si="22">100-G2182-H2182</f>
        <v>75</v>
      </c>
      <c r="K2182" t="s">
        <v>19</v>
      </c>
      <c r="L2182" t="s">
        <v>19</v>
      </c>
      <c r="M2182" t="s">
        <v>19</v>
      </c>
      <c r="N2182" t="s">
        <v>19</v>
      </c>
      <c r="O2182" t="s">
        <v>19</v>
      </c>
      <c r="P2182" t="s">
        <v>19</v>
      </c>
      <c r="Q2182">
        <f t="shared" ref="Q2182:Q2188" si="23">I2182</f>
        <v>25</v>
      </c>
      <c r="R2182" t="s">
        <v>19</v>
      </c>
      <c r="S2182" t="s">
        <v>19</v>
      </c>
      <c r="T2182" t="s">
        <v>19</v>
      </c>
    </row>
    <row r="2183" spans="1:20" ht="15" customHeight="1" x14ac:dyDescent="0.25">
      <c r="A2183" t="s">
        <v>19</v>
      </c>
      <c r="B2183" t="s">
        <v>20</v>
      </c>
      <c r="C2183" t="s">
        <v>320</v>
      </c>
      <c r="D2183">
        <v>3</v>
      </c>
      <c r="E2183" t="s">
        <v>316</v>
      </c>
      <c r="F2183" t="s">
        <v>388</v>
      </c>
      <c r="G2183">
        <v>5</v>
      </c>
      <c r="H2183">
        <v>5</v>
      </c>
      <c r="I2183">
        <f>100-J2183</f>
        <v>10</v>
      </c>
      <c r="J2183">
        <f t="shared" si="22"/>
        <v>90</v>
      </c>
      <c r="K2183" t="s">
        <v>19</v>
      </c>
      <c r="L2183" t="s">
        <v>19</v>
      </c>
      <c r="M2183" t="s">
        <v>19</v>
      </c>
      <c r="N2183" t="s">
        <v>19</v>
      </c>
      <c r="O2183" t="s">
        <v>19</v>
      </c>
      <c r="P2183" t="s">
        <v>19</v>
      </c>
      <c r="Q2183">
        <f t="shared" si="23"/>
        <v>10</v>
      </c>
      <c r="R2183" t="s">
        <v>19</v>
      </c>
      <c r="S2183" t="s">
        <v>19</v>
      </c>
      <c r="T2183" t="s">
        <v>19</v>
      </c>
    </row>
    <row r="2184" spans="1:20" ht="15" customHeight="1" x14ac:dyDescent="0.25">
      <c r="A2184" t="s">
        <v>19</v>
      </c>
      <c r="B2184" t="s">
        <v>20</v>
      </c>
      <c r="C2184" t="s">
        <v>306</v>
      </c>
      <c r="D2184">
        <v>3</v>
      </c>
      <c r="E2184" t="s">
        <v>317</v>
      </c>
      <c r="F2184" t="s">
        <v>373</v>
      </c>
      <c r="G2184">
        <v>0</v>
      </c>
      <c r="H2184">
        <v>0</v>
      </c>
      <c r="I2184">
        <f>G2184+H2184</f>
        <v>0</v>
      </c>
      <c r="J2184">
        <f t="shared" si="22"/>
        <v>100</v>
      </c>
      <c r="K2184" t="s">
        <v>19</v>
      </c>
      <c r="L2184" t="s">
        <v>19</v>
      </c>
      <c r="M2184" t="s">
        <v>19</v>
      </c>
      <c r="N2184" t="s">
        <v>19</v>
      </c>
      <c r="O2184" t="s">
        <v>19</v>
      </c>
      <c r="P2184" t="s">
        <v>19</v>
      </c>
      <c r="Q2184">
        <f t="shared" si="23"/>
        <v>0</v>
      </c>
      <c r="R2184" t="s">
        <v>19</v>
      </c>
      <c r="S2184" t="s">
        <v>19</v>
      </c>
      <c r="T2184" t="s">
        <v>19</v>
      </c>
    </row>
    <row r="2185" spans="1:20" ht="15" customHeight="1" x14ac:dyDescent="0.25">
      <c r="A2185" t="s">
        <v>19</v>
      </c>
      <c r="B2185" t="s">
        <v>20</v>
      </c>
      <c r="C2185" t="s">
        <v>308</v>
      </c>
      <c r="D2185">
        <v>3</v>
      </c>
      <c r="E2185" t="s">
        <v>317</v>
      </c>
      <c r="F2185" t="s">
        <v>373</v>
      </c>
      <c r="G2185">
        <v>2</v>
      </c>
      <c r="H2185">
        <v>0</v>
      </c>
      <c r="I2185">
        <f>G2185+H2185</f>
        <v>2</v>
      </c>
      <c r="J2185">
        <f t="shared" si="22"/>
        <v>98</v>
      </c>
      <c r="K2185" t="s">
        <v>19</v>
      </c>
      <c r="L2185" t="s">
        <v>19</v>
      </c>
      <c r="M2185" t="s">
        <v>19</v>
      </c>
      <c r="N2185" t="s">
        <v>19</v>
      </c>
      <c r="O2185" t="s">
        <v>19</v>
      </c>
      <c r="P2185" t="s">
        <v>19</v>
      </c>
      <c r="Q2185">
        <f t="shared" si="23"/>
        <v>2</v>
      </c>
      <c r="R2185" t="s">
        <v>19</v>
      </c>
      <c r="S2185" t="s">
        <v>19</v>
      </c>
      <c r="T2185" t="s">
        <v>19</v>
      </c>
    </row>
    <row r="2186" spans="1:20" ht="15" customHeight="1" x14ac:dyDescent="0.25">
      <c r="A2186" t="s">
        <v>19</v>
      </c>
      <c r="B2186" t="s">
        <v>20</v>
      </c>
      <c r="C2186" t="s">
        <v>22</v>
      </c>
      <c r="D2186">
        <v>3</v>
      </c>
      <c r="E2186" t="s">
        <v>317</v>
      </c>
      <c r="F2186" t="s">
        <v>373</v>
      </c>
      <c r="G2186">
        <v>0</v>
      </c>
      <c r="H2186">
        <v>0</v>
      </c>
      <c r="I2186">
        <f>G2186+H2186</f>
        <v>0</v>
      </c>
      <c r="J2186">
        <f t="shared" si="22"/>
        <v>100</v>
      </c>
      <c r="K2186" t="s">
        <v>19</v>
      </c>
      <c r="L2186" t="s">
        <v>19</v>
      </c>
      <c r="M2186" t="s">
        <v>19</v>
      </c>
      <c r="N2186" t="s">
        <v>19</v>
      </c>
      <c r="O2186" t="s">
        <v>19</v>
      </c>
      <c r="P2186" t="s">
        <v>19</v>
      </c>
      <c r="Q2186">
        <f t="shared" si="23"/>
        <v>0</v>
      </c>
      <c r="R2186" t="s">
        <v>19</v>
      </c>
      <c r="S2186" t="s">
        <v>19</v>
      </c>
      <c r="T2186" t="s">
        <v>19</v>
      </c>
    </row>
    <row r="2187" spans="1:20" ht="15" customHeight="1" x14ac:dyDescent="0.25">
      <c r="A2187" t="s">
        <v>19</v>
      </c>
      <c r="B2187" t="s">
        <v>20</v>
      </c>
      <c r="C2187" t="s">
        <v>305</v>
      </c>
      <c r="D2187">
        <v>3</v>
      </c>
      <c r="E2187" t="s">
        <v>317</v>
      </c>
      <c r="F2187" t="s">
        <v>373</v>
      </c>
      <c r="G2187">
        <v>0</v>
      </c>
      <c r="H2187">
        <v>0</v>
      </c>
      <c r="I2187">
        <f>G2187+H2187</f>
        <v>0</v>
      </c>
      <c r="J2187">
        <f t="shared" si="22"/>
        <v>100</v>
      </c>
      <c r="K2187" t="s">
        <v>19</v>
      </c>
      <c r="L2187" t="s">
        <v>19</v>
      </c>
      <c r="M2187" t="s">
        <v>19</v>
      </c>
      <c r="N2187" t="s">
        <v>19</v>
      </c>
      <c r="O2187" t="s">
        <v>19</v>
      </c>
      <c r="P2187" t="s">
        <v>19</v>
      </c>
      <c r="Q2187">
        <f t="shared" si="23"/>
        <v>0</v>
      </c>
      <c r="R2187" t="s">
        <v>19</v>
      </c>
      <c r="S2187" t="s">
        <v>19</v>
      </c>
      <c r="T2187" t="s">
        <v>19</v>
      </c>
    </row>
    <row r="2188" spans="1:20" ht="15" customHeight="1" x14ac:dyDescent="0.25">
      <c r="A2188" t="s">
        <v>19</v>
      </c>
      <c r="B2188" t="s">
        <v>20</v>
      </c>
      <c r="C2188" t="s">
        <v>307</v>
      </c>
      <c r="D2188">
        <v>3</v>
      </c>
      <c r="E2188" t="s">
        <v>317</v>
      </c>
      <c r="F2188" t="s">
        <v>373</v>
      </c>
      <c r="G2188">
        <v>0</v>
      </c>
      <c r="H2188">
        <v>0</v>
      </c>
      <c r="I2188">
        <f>G2188+H2188</f>
        <v>0</v>
      </c>
      <c r="J2188">
        <f t="shared" si="22"/>
        <v>100</v>
      </c>
      <c r="K2188" t="s">
        <v>19</v>
      </c>
      <c r="L2188" t="s">
        <v>19</v>
      </c>
      <c r="M2188" t="s">
        <v>19</v>
      </c>
      <c r="N2188" t="s">
        <v>19</v>
      </c>
      <c r="O2188" t="s">
        <v>19</v>
      </c>
      <c r="P2188" t="s">
        <v>19</v>
      </c>
      <c r="Q2188">
        <f t="shared" si="23"/>
        <v>0</v>
      </c>
      <c r="R2188" t="s">
        <v>19</v>
      </c>
      <c r="S2188" t="s">
        <v>19</v>
      </c>
      <c r="T2188" t="s">
        <v>19</v>
      </c>
    </row>
    <row r="2189" spans="1:20" ht="15" customHeight="1" x14ac:dyDescent="0.25">
      <c r="A2189" s="2">
        <v>45253.78125</v>
      </c>
      <c r="B2189" t="s">
        <v>309</v>
      </c>
      <c r="C2189" t="s">
        <v>213</v>
      </c>
      <c r="D2189">
        <v>3</v>
      </c>
      <c r="E2189" t="s">
        <v>317</v>
      </c>
      <c r="F2189" t="s">
        <v>373</v>
      </c>
      <c r="G2189">
        <v>2.8614457830000002</v>
      </c>
      <c r="H2189">
        <v>0</v>
      </c>
      <c r="I2189">
        <v>2.8614457830000002</v>
      </c>
      <c r="J2189">
        <v>97.138554220000003</v>
      </c>
      <c r="K2189">
        <v>0.8</v>
      </c>
      <c r="L2189">
        <v>0.2</v>
      </c>
      <c r="M2189">
        <v>0.7</v>
      </c>
      <c r="N2189">
        <v>645</v>
      </c>
      <c r="O2189">
        <v>19</v>
      </c>
      <c r="P2189">
        <v>0</v>
      </c>
      <c r="Q2189">
        <v>2.86</v>
      </c>
      <c r="R2189" t="s">
        <v>214</v>
      </c>
      <c r="S2189">
        <v>2.81</v>
      </c>
      <c r="T2189">
        <v>3.06</v>
      </c>
    </row>
    <row r="2190" spans="1:20" ht="15" customHeight="1" x14ac:dyDescent="0.25">
      <c r="A2190" s="2">
        <v>45253.962500000001</v>
      </c>
      <c r="B2190" t="s">
        <v>309</v>
      </c>
      <c r="C2190" t="s">
        <v>215</v>
      </c>
      <c r="D2190">
        <v>2</v>
      </c>
      <c r="E2190" t="s">
        <v>317</v>
      </c>
      <c r="F2190" t="s">
        <v>373</v>
      </c>
      <c r="G2190">
        <v>0.53191489400000003</v>
      </c>
      <c r="H2190">
        <v>0</v>
      </c>
      <c r="I2190">
        <v>0.53191489400000003</v>
      </c>
      <c r="J2190">
        <v>99.468085110000004</v>
      </c>
      <c r="K2190">
        <v>0.8</v>
      </c>
      <c r="L2190">
        <v>0.2</v>
      </c>
      <c r="M2190">
        <v>0.7</v>
      </c>
      <c r="N2190">
        <v>748</v>
      </c>
      <c r="O2190">
        <v>4</v>
      </c>
      <c r="P2190">
        <v>0</v>
      </c>
      <c r="Q2190">
        <v>0.53</v>
      </c>
      <c r="R2190" t="s">
        <v>243</v>
      </c>
      <c r="S2190">
        <v>0.03</v>
      </c>
      <c r="T2190">
        <v>0.03</v>
      </c>
    </row>
    <row r="2191" spans="1:20" ht="15" customHeight="1" x14ac:dyDescent="0.25">
      <c r="A2191" s="2">
        <v>45254.138888888891</v>
      </c>
      <c r="B2191" t="s">
        <v>309</v>
      </c>
      <c r="C2191" t="s">
        <v>217</v>
      </c>
      <c r="D2191">
        <v>2</v>
      </c>
      <c r="E2191" t="s">
        <v>317</v>
      </c>
      <c r="F2191" t="s">
        <v>373</v>
      </c>
      <c r="G2191">
        <v>1.0928961749999999</v>
      </c>
      <c r="H2191">
        <v>0</v>
      </c>
      <c r="I2191">
        <v>1.0928961749999999</v>
      </c>
      <c r="J2191">
        <v>98.907103829999997</v>
      </c>
      <c r="K2191">
        <v>0.8</v>
      </c>
      <c r="L2191">
        <v>0.2</v>
      </c>
      <c r="M2191">
        <v>0.7</v>
      </c>
      <c r="N2191">
        <v>724</v>
      </c>
      <c r="O2191">
        <v>8</v>
      </c>
      <c r="P2191">
        <v>0</v>
      </c>
      <c r="Q2191">
        <v>1.0900000000000001</v>
      </c>
      <c r="R2191" t="s">
        <v>231</v>
      </c>
      <c r="S2191">
        <v>0.06</v>
      </c>
      <c r="T2191">
        <v>0.06</v>
      </c>
    </row>
    <row r="2192" spans="1:20" ht="15" customHeight="1" x14ac:dyDescent="0.25">
      <c r="A2192" s="2">
        <v>45316.474305555559</v>
      </c>
      <c r="B2192" t="s">
        <v>309</v>
      </c>
      <c r="C2192" t="s">
        <v>219</v>
      </c>
      <c r="D2192">
        <v>3</v>
      </c>
      <c r="E2192" t="s">
        <v>317</v>
      </c>
      <c r="F2192" t="s">
        <v>373</v>
      </c>
      <c r="G2192">
        <v>3.5874439460000001</v>
      </c>
      <c r="H2192">
        <v>0.22421524700000001</v>
      </c>
      <c r="I2192">
        <v>3.8116591930000001</v>
      </c>
      <c r="J2192">
        <v>96.18834081</v>
      </c>
      <c r="K2192">
        <v>0.8</v>
      </c>
      <c r="L2192">
        <v>0.2</v>
      </c>
      <c r="M2192">
        <v>0.7</v>
      </c>
      <c r="N2192">
        <v>429</v>
      </c>
      <c r="O2192">
        <v>16</v>
      </c>
      <c r="P2192">
        <v>1</v>
      </c>
      <c r="Q2192">
        <v>3.81</v>
      </c>
      <c r="R2192" t="s">
        <v>218</v>
      </c>
      <c r="S2192">
        <v>3.15</v>
      </c>
      <c r="T2192">
        <v>4.3099999999999996</v>
      </c>
    </row>
    <row r="2193" spans="1:21" ht="15" customHeight="1" x14ac:dyDescent="0.25">
      <c r="A2193" s="2">
        <v>45321.000694444447</v>
      </c>
      <c r="B2193" t="s">
        <v>309</v>
      </c>
      <c r="C2193" t="s">
        <v>221</v>
      </c>
      <c r="D2193">
        <v>2</v>
      </c>
      <c r="E2193" t="s">
        <v>317</v>
      </c>
      <c r="F2193" t="s">
        <v>373</v>
      </c>
      <c r="G2193">
        <v>1.151079137</v>
      </c>
      <c r="H2193">
        <v>0</v>
      </c>
      <c r="I2193">
        <v>1.151079137</v>
      </c>
      <c r="J2193">
        <v>98.848920860000007</v>
      </c>
      <c r="K2193">
        <v>0.8</v>
      </c>
      <c r="L2193">
        <v>0.3</v>
      </c>
      <c r="M2193">
        <v>0.7</v>
      </c>
      <c r="N2193">
        <v>687</v>
      </c>
      <c r="O2193">
        <v>8</v>
      </c>
      <c r="P2193">
        <v>0</v>
      </c>
      <c r="Q2193">
        <v>1.1499999999999999</v>
      </c>
      <c r="R2193" t="s">
        <v>235</v>
      </c>
      <c r="S2193">
        <v>0.1</v>
      </c>
      <c r="T2193">
        <v>0.11</v>
      </c>
    </row>
    <row r="2194" spans="1:21" ht="15" customHeight="1" x14ac:dyDescent="0.25">
      <c r="A2194" t="s">
        <v>19</v>
      </c>
      <c r="B2194" t="s">
        <v>20</v>
      </c>
      <c r="C2194" t="s">
        <v>320</v>
      </c>
      <c r="D2194">
        <v>3</v>
      </c>
      <c r="E2194" t="s">
        <v>317</v>
      </c>
      <c r="F2194" t="s">
        <v>373</v>
      </c>
      <c r="G2194">
        <v>0</v>
      </c>
      <c r="H2194">
        <v>0</v>
      </c>
      <c r="I2194">
        <f>100-J2194</f>
        <v>0</v>
      </c>
      <c r="J2194">
        <f t="shared" ref="J2194:J2199" si="24">100-G2194-H2194</f>
        <v>100</v>
      </c>
      <c r="K2194" t="s">
        <v>19</v>
      </c>
      <c r="L2194" t="s">
        <v>19</v>
      </c>
      <c r="M2194" t="s">
        <v>19</v>
      </c>
      <c r="N2194" t="s">
        <v>19</v>
      </c>
      <c r="O2194" t="s">
        <v>19</v>
      </c>
      <c r="P2194" t="s">
        <v>19</v>
      </c>
      <c r="Q2194">
        <f t="shared" ref="Q2194:Q2199" si="25">I2194</f>
        <v>0</v>
      </c>
      <c r="R2194" t="s">
        <v>19</v>
      </c>
      <c r="S2194" t="s">
        <v>19</v>
      </c>
      <c r="T2194" t="s">
        <v>19</v>
      </c>
    </row>
    <row r="2195" spans="1:21" ht="15" customHeight="1" x14ac:dyDescent="0.25">
      <c r="A2195" t="s">
        <v>19</v>
      </c>
      <c r="B2195" t="s">
        <v>20</v>
      </c>
      <c r="C2195" t="s">
        <v>306</v>
      </c>
      <c r="D2195">
        <v>3</v>
      </c>
      <c r="E2195" t="s">
        <v>171</v>
      </c>
      <c r="F2195" t="s">
        <v>373</v>
      </c>
      <c r="G2195">
        <v>0</v>
      </c>
      <c r="H2195">
        <v>0</v>
      </c>
      <c r="I2195">
        <f>G2195+H2195</f>
        <v>0</v>
      </c>
      <c r="J2195">
        <f t="shared" si="24"/>
        <v>100</v>
      </c>
      <c r="K2195" t="s">
        <v>19</v>
      </c>
      <c r="L2195" t="s">
        <v>19</v>
      </c>
      <c r="M2195" t="s">
        <v>19</v>
      </c>
      <c r="N2195" t="s">
        <v>19</v>
      </c>
      <c r="O2195" t="s">
        <v>19</v>
      </c>
      <c r="P2195" t="s">
        <v>19</v>
      </c>
      <c r="Q2195">
        <f t="shared" si="25"/>
        <v>0</v>
      </c>
      <c r="R2195" t="s">
        <v>19</v>
      </c>
      <c r="S2195" t="s">
        <v>19</v>
      </c>
      <c r="T2195" t="s">
        <v>19</v>
      </c>
    </row>
    <row r="2196" spans="1:21" ht="15" customHeight="1" x14ac:dyDescent="0.25">
      <c r="A2196" t="s">
        <v>19</v>
      </c>
      <c r="B2196" t="s">
        <v>20</v>
      </c>
      <c r="C2196" t="s">
        <v>308</v>
      </c>
      <c r="D2196">
        <v>3</v>
      </c>
      <c r="E2196" t="s">
        <v>171</v>
      </c>
      <c r="F2196" t="s">
        <v>373</v>
      </c>
      <c r="G2196">
        <v>20</v>
      </c>
      <c r="H2196">
        <v>0</v>
      </c>
      <c r="I2196">
        <f>G2196+H2196</f>
        <v>20</v>
      </c>
      <c r="J2196">
        <f t="shared" si="24"/>
        <v>80</v>
      </c>
      <c r="K2196" t="s">
        <v>19</v>
      </c>
      <c r="L2196" t="s">
        <v>19</v>
      </c>
      <c r="M2196" t="s">
        <v>19</v>
      </c>
      <c r="N2196" t="s">
        <v>19</v>
      </c>
      <c r="O2196" t="s">
        <v>19</v>
      </c>
      <c r="P2196" t="s">
        <v>19</v>
      </c>
      <c r="Q2196">
        <f t="shared" si="25"/>
        <v>20</v>
      </c>
      <c r="R2196" t="s">
        <v>19</v>
      </c>
      <c r="S2196" t="s">
        <v>19</v>
      </c>
      <c r="T2196" t="s">
        <v>19</v>
      </c>
    </row>
    <row r="2197" spans="1:21" ht="15" customHeight="1" x14ac:dyDescent="0.25">
      <c r="A2197" t="s">
        <v>19</v>
      </c>
      <c r="B2197" t="s">
        <v>20</v>
      </c>
      <c r="C2197" t="s">
        <v>22</v>
      </c>
      <c r="D2197">
        <v>3</v>
      </c>
      <c r="E2197" t="s">
        <v>171</v>
      </c>
      <c r="F2197" t="s">
        <v>373</v>
      </c>
      <c r="G2197">
        <v>0</v>
      </c>
      <c r="H2197">
        <v>0</v>
      </c>
      <c r="I2197">
        <f>G2197+H2197</f>
        <v>0</v>
      </c>
      <c r="J2197">
        <f t="shared" si="24"/>
        <v>100</v>
      </c>
      <c r="K2197" t="s">
        <v>19</v>
      </c>
      <c r="L2197" t="s">
        <v>19</v>
      </c>
      <c r="M2197" t="s">
        <v>19</v>
      </c>
      <c r="N2197" t="s">
        <v>19</v>
      </c>
      <c r="O2197" t="s">
        <v>19</v>
      </c>
      <c r="P2197" t="s">
        <v>19</v>
      </c>
      <c r="Q2197">
        <f t="shared" si="25"/>
        <v>0</v>
      </c>
      <c r="R2197" t="s">
        <v>19</v>
      </c>
      <c r="S2197" t="s">
        <v>19</v>
      </c>
      <c r="T2197" t="s">
        <v>19</v>
      </c>
    </row>
    <row r="2198" spans="1:21" ht="15" customHeight="1" x14ac:dyDescent="0.25">
      <c r="A2198" t="s">
        <v>19</v>
      </c>
      <c r="B2198" t="s">
        <v>20</v>
      </c>
      <c r="C2198" t="s">
        <v>305</v>
      </c>
      <c r="D2198">
        <v>3</v>
      </c>
      <c r="E2198" t="s">
        <v>171</v>
      </c>
      <c r="F2198" t="s">
        <v>373</v>
      </c>
      <c r="G2198">
        <v>2</v>
      </c>
      <c r="H2198">
        <v>0</v>
      </c>
      <c r="I2198">
        <f>G2198+H2198</f>
        <v>2</v>
      </c>
      <c r="J2198">
        <f t="shared" si="24"/>
        <v>98</v>
      </c>
      <c r="K2198" t="s">
        <v>19</v>
      </c>
      <c r="L2198" t="s">
        <v>19</v>
      </c>
      <c r="M2198" t="s">
        <v>19</v>
      </c>
      <c r="N2198" t="s">
        <v>19</v>
      </c>
      <c r="O2198" t="s">
        <v>19</v>
      </c>
      <c r="P2198" t="s">
        <v>19</v>
      </c>
      <c r="Q2198">
        <f t="shared" si="25"/>
        <v>2</v>
      </c>
      <c r="R2198" t="s">
        <v>19</v>
      </c>
      <c r="S2198" t="s">
        <v>19</v>
      </c>
      <c r="T2198" t="s">
        <v>19</v>
      </c>
    </row>
    <row r="2199" spans="1:21" ht="15" customHeight="1" x14ac:dyDescent="0.25">
      <c r="A2199" t="s">
        <v>19</v>
      </c>
      <c r="B2199" t="s">
        <v>20</v>
      </c>
      <c r="C2199" t="s">
        <v>307</v>
      </c>
      <c r="D2199">
        <v>3</v>
      </c>
      <c r="E2199" t="s">
        <v>171</v>
      </c>
      <c r="F2199" t="s">
        <v>373</v>
      </c>
      <c r="G2199">
        <v>0</v>
      </c>
      <c r="H2199">
        <v>0</v>
      </c>
      <c r="I2199">
        <f>G2199+H2199</f>
        <v>0</v>
      </c>
      <c r="J2199">
        <f t="shared" si="24"/>
        <v>100</v>
      </c>
      <c r="K2199" t="s">
        <v>19</v>
      </c>
      <c r="L2199" t="s">
        <v>19</v>
      </c>
      <c r="M2199" t="s">
        <v>19</v>
      </c>
      <c r="N2199" t="s">
        <v>19</v>
      </c>
      <c r="O2199" t="s">
        <v>19</v>
      </c>
      <c r="P2199" t="s">
        <v>19</v>
      </c>
      <c r="Q2199">
        <f t="shared" si="25"/>
        <v>0</v>
      </c>
      <c r="R2199" t="s">
        <v>19</v>
      </c>
      <c r="S2199" t="s">
        <v>19</v>
      </c>
      <c r="T2199" t="s">
        <v>19</v>
      </c>
    </row>
    <row r="2200" spans="1:21" ht="15" customHeight="1" x14ac:dyDescent="0.25">
      <c r="A2200" s="2">
        <v>45253.782638888886</v>
      </c>
      <c r="B2200" t="s">
        <v>309</v>
      </c>
      <c r="C2200" t="s">
        <v>213</v>
      </c>
      <c r="D2200">
        <v>3</v>
      </c>
      <c r="E2200" t="s">
        <v>171</v>
      </c>
      <c r="F2200" t="s">
        <v>373</v>
      </c>
      <c r="G2200">
        <v>5.6112224450000001</v>
      </c>
      <c r="H2200">
        <v>0.20040080199999999</v>
      </c>
      <c r="I2200">
        <v>5.8116232459999999</v>
      </c>
      <c r="J2200">
        <v>94.188376750000003</v>
      </c>
      <c r="K2200">
        <v>0.8</v>
      </c>
      <c r="L2200">
        <v>0.2</v>
      </c>
      <c r="M2200">
        <v>0.7</v>
      </c>
      <c r="N2200">
        <v>470</v>
      </c>
      <c r="O2200">
        <v>28</v>
      </c>
      <c r="P2200">
        <v>1</v>
      </c>
      <c r="Q2200">
        <v>5.81</v>
      </c>
      <c r="R2200" t="s">
        <v>284</v>
      </c>
      <c r="S2200">
        <v>2.81</v>
      </c>
      <c r="T2200">
        <v>3.44</v>
      </c>
    </row>
    <row r="2201" spans="1:21" ht="15" customHeight="1" x14ac:dyDescent="0.25">
      <c r="A2201" s="2">
        <v>45253.963194444441</v>
      </c>
      <c r="B2201" t="s">
        <v>309</v>
      </c>
      <c r="C2201" t="s">
        <v>215</v>
      </c>
      <c r="D2201">
        <v>2</v>
      </c>
      <c r="E2201" t="s">
        <v>171</v>
      </c>
      <c r="F2201" t="s">
        <v>373</v>
      </c>
      <c r="G2201">
        <v>3.2967032970000001</v>
      </c>
      <c r="H2201">
        <v>0</v>
      </c>
      <c r="I2201">
        <v>3.2967032970000001</v>
      </c>
      <c r="J2201">
        <v>96.703296699999996</v>
      </c>
      <c r="K2201">
        <v>0.8</v>
      </c>
      <c r="L2201">
        <v>0.2</v>
      </c>
      <c r="M2201">
        <v>0.7</v>
      </c>
      <c r="N2201">
        <v>616</v>
      </c>
      <c r="O2201">
        <v>21</v>
      </c>
      <c r="P2201">
        <v>0</v>
      </c>
      <c r="Q2201">
        <v>3.3</v>
      </c>
      <c r="R2201" t="s">
        <v>257</v>
      </c>
      <c r="S2201">
        <v>0.11</v>
      </c>
      <c r="T2201">
        <v>0.12</v>
      </c>
    </row>
    <row r="2202" spans="1:21" ht="15" customHeight="1" x14ac:dyDescent="0.25">
      <c r="A2202" s="2">
        <v>45254.140277777777</v>
      </c>
      <c r="B2202" t="s">
        <v>309</v>
      </c>
      <c r="C2202" t="s">
        <v>217</v>
      </c>
      <c r="D2202">
        <v>2</v>
      </c>
      <c r="E2202" t="s">
        <v>171</v>
      </c>
      <c r="F2202" t="s">
        <v>373</v>
      </c>
      <c r="G2202">
        <v>9.8245614040000007</v>
      </c>
      <c r="H2202">
        <v>0</v>
      </c>
      <c r="I2202">
        <v>9.8245614040000007</v>
      </c>
      <c r="J2202">
        <v>90.175438600000007</v>
      </c>
      <c r="K2202">
        <v>0.8</v>
      </c>
      <c r="L2202">
        <v>0.2</v>
      </c>
      <c r="M2202">
        <v>0.7</v>
      </c>
      <c r="N2202">
        <v>514</v>
      </c>
      <c r="O2202">
        <v>56</v>
      </c>
      <c r="P2202">
        <v>0</v>
      </c>
      <c r="Q2202">
        <v>9.82</v>
      </c>
      <c r="R2202" t="s">
        <v>225</v>
      </c>
      <c r="S2202">
        <v>0.35</v>
      </c>
      <c r="T2202">
        <v>0.37</v>
      </c>
    </row>
    <row r="2203" spans="1:21" ht="15" customHeight="1" x14ac:dyDescent="0.25">
      <c r="A2203" s="2">
        <v>45316.474999999999</v>
      </c>
      <c r="B2203" t="s">
        <v>309</v>
      </c>
      <c r="C2203" t="s">
        <v>219</v>
      </c>
      <c r="D2203">
        <v>3</v>
      </c>
      <c r="E2203" t="s">
        <v>171</v>
      </c>
      <c r="F2203" t="s">
        <v>373</v>
      </c>
      <c r="G2203">
        <v>2.733485194</v>
      </c>
      <c r="H2203">
        <v>0.45558086599999997</v>
      </c>
      <c r="I2203">
        <v>3.189066059</v>
      </c>
      <c r="J2203">
        <v>96.810933939999998</v>
      </c>
      <c r="K2203">
        <v>0.8</v>
      </c>
      <c r="L2203">
        <v>0.2</v>
      </c>
      <c r="M2203">
        <v>0.7</v>
      </c>
      <c r="N2203">
        <v>425</v>
      </c>
      <c r="O2203">
        <v>12</v>
      </c>
      <c r="P2203">
        <v>2</v>
      </c>
      <c r="Q2203">
        <v>3.19</v>
      </c>
      <c r="R2203" t="s">
        <v>243</v>
      </c>
      <c r="S2203">
        <v>3.19</v>
      </c>
      <c r="T2203">
        <v>4.49</v>
      </c>
    </row>
    <row r="2204" spans="1:21" ht="15" customHeight="1" x14ac:dyDescent="0.25">
      <c r="A2204" s="2">
        <v>45321.002083333333</v>
      </c>
      <c r="B2204" t="s">
        <v>309</v>
      </c>
      <c r="C2204" t="s">
        <v>221</v>
      </c>
      <c r="D2204">
        <v>2</v>
      </c>
      <c r="E2204" t="s">
        <v>171</v>
      </c>
      <c r="F2204" t="s">
        <v>373</v>
      </c>
      <c r="G2204">
        <v>2.3297491039999998</v>
      </c>
      <c r="H2204">
        <v>0</v>
      </c>
      <c r="I2204">
        <v>2.3297491039999998</v>
      </c>
      <c r="J2204">
        <v>97.670250899999999</v>
      </c>
      <c r="K2204">
        <v>0.8</v>
      </c>
      <c r="L2204">
        <v>0.3</v>
      </c>
      <c r="M2204">
        <v>0.7</v>
      </c>
      <c r="N2204">
        <v>545</v>
      </c>
      <c r="O2204">
        <v>13</v>
      </c>
      <c r="P2204">
        <v>0</v>
      </c>
      <c r="Q2204">
        <v>2.33</v>
      </c>
      <c r="R2204" t="s">
        <v>226</v>
      </c>
      <c r="S2204">
        <v>0.16</v>
      </c>
      <c r="T2204">
        <v>0.17</v>
      </c>
    </row>
    <row r="2205" spans="1:21" ht="15" customHeight="1" x14ac:dyDescent="0.25">
      <c r="A2205" t="s">
        <v>19</v>
      </c>
      <c r="B2205" t="s">
        <v>20</v>
      </c>
      <c r="C2205" t="s">
        <v>320</v>
      </c>
      <c r="D2205">
        <v>3</v>
      </c>
      <c r="E2205" t="s">
        <v>171</v>
      </c>
      <c r="F2205" t="s">
        <v>373</v>
      </c>
      <c r="G2205">
        <v>0</v>
      </c>
      <c r="H2205">
        <v>0</v>
      </c>
      <c r="I2205">
        <f>100-J2205</f>
        <v>0</v>
      </c>
      <c r="J2205">
        <f>100-G2205-H2205</f>
        <v>100</v>
      </c>
      <c r="K2205" t="s">
        <v>19</v>
      </c>
      <c r="L2205" t="s">
        <v>19</v>
      </c>
      <c r="M2205" t="s">
        <v>19</v>
      </c>
      <c r="N2205" t="s">
        <v>19</v>
      </c>
      <c r="O2205" t="s">
        <v>19</v>
      </c>
      <c r="P2205" t="s">
        <v>19</v>
      </c>
      <c r="Q2205">
        <f>I2205</f>
        <v>0</v>
      </c>
      <c r="R2205" t="s">
        <v>19</v>
      </c>
      <c r="S2205" t="s">
        <v>19</v>
      </c>
      <c r="T2205" t="s">
        <v>19</v>
      </c>
    </row>
    <row r="2206" spans="1:21" ht="15" customHeight="1" x14ac:dyDescent="0.25">
      <c r="A2206" s="2">
        <v>45323.633842592593</v>
      </c>
      <c r="B2206" t="s">
        <v>309</v>
      </c>
      <c r="C2206" t="s">
        <v>322</v>
      </c>
      <c r="D2206">
        <v>3</v>
      </c>
      <c r="E2206" t="s">
        <v>171</v>
      </c>
      <c r="F2206" t="s">
        <v>373</v>
      </c>
      <c r="G2206">
        <f>(O2206/(N2206+O2206+P2206))*100</f>
        <v>2.6978417266187051</v>
      </c>
      <c r="H2206">
        <f>(P2206/(O2206+P2206+N2206))*100</f>
        <v>0.17985611510791369</v>
      </c>
      <c r="I2206">
        <f>((O2206+P2206)/(P2206+O2206+N2206))*100</f>
        <v>2.877697841726619</v>
      </c>
      <c r="J2206">
        <f>(N2206/(P2206+O2206+N2206))*100</f>
        <v>97.122302158273371</v>
      </c>
      <c r="K2206">
        <v>0.8</v>
      </c>
      <c r="L2206">
        <v>0.3</v>
      </c>
      <c r="M2206">
        <v>0.7</v>
      </c>
      <c r="N2206">
        <v>540</v>
      </c>
      <c r="O2206">
        <v>15</v>
      </c>
      <c r="P2206">
        <v>1</v>
      </c>
      <c r="Q2206">
        <v>2.88</v>
      </c>
      <c r="R2206" t="s">
        <v>238</v>
      </c>
      <c r="S2206">
        <v>2.57</v>
      </c>
      <c r="T2206">
        <v>2.96</v>
      </c>
      <c r="U2206">
        <v>55</v>
      </c>
    </row>
    <row r="2207" spans="1:21" ht="15" customHeight="1" x14ac:dyDescent="0.25">
      <c r="A2207" s="2">
        <v>45323.638657407406</v>
      </c>
      <c r="B2207" t="s">
        <v>309</v>
      </c>
      <c r="C2207" t="s">
        <v>322</v>
      </c>
      <c r="D2207">
        <v>3</v>
      </c>
      <c r="E2207" t="s">
        <v>171</v>
      </c>
      <c r="F2207" t="s">
        <v>373</v>
      </c>
      <c r="G2207">
        <f>(O2207/(N2207+O2207+P2207))*100</f>
        <v>4.4169611307420498</v>
      </c>
      <c r="H2207">
        <f>(P2207/(O2207+P2207+N2207))*100</f>
        <v>0.17667844522968199</v>
      </c>
      <c r="I2207">
        <f>((O2207+P2207)/(P2207+O2207+N2207))*100</f>
        <v>4.5936395759717312</v>
      </c>
      <c r="J2207">
        <f>(N2207/(P2207+O2207+N2207))*100</f>
        <v>95.406360424028264</v>
      </c>
      <c r="K2207">
        <v>0.7</v>
      </c>
      <c r="L2207">
        <v>0.3</v>
      </c>
      <c r="M2207">
        <v>0.7</v>
      </c>
      <c r="N2207">
        <v>540</v>
      </c>
      <c r="O2207">
        <v>25</v>
      </c>
      <c r="P2207">
        <v>1</v>
      </c>
      <c r="Q2207">
        <v>4.59</v>
      </c>
      <c r="R2207" t="s">
        <v>240</v>
      </c>
      <c r="S2207">
        <v>2.57</v>
      </c>
      <c r="T2207">
        <v>2.96</v>
      </c>
      <c r="U2207">
        <v>45</v>
      </c>
    </row>
    <row r="2208" spans="1:21" ht="15" customHeight="1" x14ac:dyDescent="0.25">
      <c r="A2208" s="2">
        <v>45325.195219907408</v>
      </c>
      <c r="B2208" t="s">
        <v>309</v>
      </c>
      <c r="C2208" t="s">
        <v>368</v>
      </c>
      <c r="D2208">
        <v>2</v>
      </c>
      <c r="E2208" t="s">
        <v>171</v>
      </c>
      <c r="F2208" t="s">
        <v>373</v>
      </c>
      <c r="G2208">
        <f>(O2208/(N2208+O2208+P2208))*100</f>
        <v>3.6101083032490973</v>
      </c>
      <c r="H2208">
        <f>(P2208/(O2208+P2208+N2208))*100</f>
        <v>0</v>
      </c>
      <c r="I2208">
        <v>3.61</v>
      </c>
      <c r="J2208">
        <f>(N2208/(P2208+O2208+N2208))*100</f>
        <v>96.389891696750908</v>
      </c>
      <c r="K2208">
        <v>0.8</v>
      </c>
      <c r="L2208">
        <v>0.3</v>
      </c>
      <c r="M2208">
        <v>0.7</v>
      </c>
      <c r="N2208">
        <v>534</v>
      </c>
      <c r="O2208">
        <v>20</v>
      </c>
      <c r="P2208">
        <v>0</v>
      </c>
      <c r="Q2208">
        <v>3.61</v>
      </c>
      <c r="R2208" t="s">
        <v>252</v>
      </c>
      <c r="S2208">
        <v>0.15</v>
      </c>
      <c r="T2208">
        <v>0.16</v>
      </c>
    </row>
    <row r="2209" spans="1:21" ht="15" customHeight="1" x14ac:dyDescent="0.25">
      <c r="A2209" t="s">
        <v>19</v>
      </c>
      <c r="B2209" t="s">
        <v>20</v>
      </c>
      <c r="C2209" t="s">
        <v>308</v>
      </c>
      <c r="D2209">
        <v>3</v>
      </c>
      <c r="E2209" t="s">
        <v>172</v>
      </c>
      <c r="F2209" t="s">
        <v>388</v>
      </c>
      <c r="G2209">
        <v>27</v>
      </c>
      <c r="H2209">
        <v>3</v>
      </c>
      <c r="I2209">
        <f>G2209+H2209</f>
        <v>30</v>
      </c>
      <c r="J2209">
        <f>100-G2209-H2209</f>
        <v>70</v>
      </c>
      <c r="K2209" t="s">
        <v>19</v>
      </c>
      <c r="L2209" t="s">
        <v>19</v>
      </c>
      <c r="M2209" t="s">
        <v>19</v>
      </c>
      <c r="N2209" t="s">
        <v>19</v>
      </c>
      <c r="O2209" t="s">
        <v>19</v>
      </c>
      <c r="P2209" t="s">
        <v>19</v>
      </c>
      <c r="Q2209">
        <f>I2209</f>
        <v>30</v>
      </c>
      <c r="R2209" t="s">
        <v>19</v>
      </c>
      <c r="S2209" t="s">
        <v>19</v>
      </c>
      <c r="T2209" t="s">
        <v>19</v>
      </c>
    </row>
    <row r="2210" spans="1:21" ht="15" customHeight="1" x14ac:dyDescent="0.25">
      <c r="A2210" t="s">
        <v>19</v>
      </c>
      <c r="B2210" t="s">
        <v>20</v>
      </c>
      <c r="C2210" t="s">
        <v>22</v>
      </c>
      <c r="D2210">
        <v>3</v>
      </c>
      <c r="E2210" t="s">
        <v>172</v>
      </c>
      <c r="F2210" t="s">
        <v>388</v>
      </c>
      <c r="G2210">
        <v>20</v>
      </c>
      <c r="H2210">
        <v>5</v>
      </c>
      <c r="I2210">
        <f>G2210+H2210</f>
        <v>25</v>
      </c>
      <c r="J2210">
        <f>100-G2210-H2210</f>
        <v>75</v>
      </c>
      <c r="K2210" t="s">
        <v>19</v>
      </c>
      <c r="L2210" t="s">
        <v>19</v>
      </c>
      <c r="M2210" t="s">
        <v>19</v>
      </c>
      <c r="N2210" t="s">
        <v>19</v>
      </c>
      <c r="O2210" t="s">
        <v>19</v>
      </c>
      <c r="P2210" t="s">
        <v>19</v>
      </c>
      <c r="Q2210">
        <f>I2210</f>
        <v>25</v>
      </c>
      <c r="R2210" t="s">
        <v>19</v>
      </c>
      <c r="S2210" t="s">
        <v>19</v>
      </c>
      <c r="T2210" t="s">
        <v>19</v>
      </c>
    </row>
    <row r="2211" spans="1:21" ht="15" customHeight="1" x14ac:dyDescent="0.25">
      <c r="A2211" t="s">
        <v>19</v>
      </c>
      <c r="B2211" t="s">
        <v>20</v>
      </c>
      <c r="C2211" t="s">
        <v>305</v>
      </c>
      <c r="D2211">
        <v>3</v>
      </c>
      <c r="E2211" t="s">
        <v>172</v>
      </c>
      <c r="F2211" t="s">
        <v>388</v>
      </c>
      <c r="G2211">
        <v>25</v>
      </c>
      <c r="H2211">
        <v>5</v>
      </c>
      <c r="I2211">
        <f>G2211+H2211</f>
        <v>30</v>
      </c>
      <c r="J2211">
        <f>100-G2211-H2211</f>
        <v>70</v>
      </c>
      <c r="K2211" t="s">
        <v>19</v>
      </c>
      <c r="L2211" t="s">
        <v>19</v>
      </c>
      <c r="M2211" t="s">
        <v>19</v>
      </c>
      <c r="N2211" t="s">
        <v>19</v>
      </c>
      <c r="O2211" t="s">
        <v>19</v>
      </c>
      <c r="P2211" t="s">
        <v>19</v>
      </c>
      <c r="Q2211">
        <f>I2211</f>
        <v>30</v>
      </c>
      <c r="R2211" t="s">
        <v>19</v>
      </c>
      <c r="S2211" t="s">
        <v>19</v>
      </c>
      <c r="T2211" t="s">
        <v>19</v>
      </c>
    </row>
    <row r="2212" spans="1:21" ht="15" customHeight="1" x14ac:dyDescent="0.25">
      <c r="A2212" t="s">
        <v>19</v>
      </c>
      <c r="B2212" t="s">
        <v>20</v>
      </c>
      <c r="C2212" t="s">
        <v>307</v>
      </c>
      <c r="D2212">
        <v>3</v>
      </c>
      <c r="E2212" t="s">
        <v>172</v>
      </c>
      <c r="F2212" t="s">
        <v>388</v>
      </c>
      <c r="G2212">
        <v>5</v>
      </c>
      <c r="H2212">
        <v>1</v>
      </c>
      <c r="I2212">
        <f>G2212+H2212</f>
        <v>6</v>
      </c>
      <c r="J2212">
        <f>100-G2212-H2212</f>
        <v>94</v>
      </c>
      <c r="K2212" t="s">
        <v>19</v>
      </c>
      <c r="L2212" t="s">
        <v>19</v>
      </c>
      <c r="M2212" t="s">
        <v>19</v>
      </c>
      <c r="N2212" t="s">
        <v>19</v>
      </c>
      <c r="O2212" t="s">
        <v>19</v>
      </c>
      <c r="P2212" t="s">
        <v>19</v>
      </c>
      <c r="Q2212">
        <f>I2212</f>
        <v>6</v>
      </c>
      <c r="R2212" t="s">
        <v>19</v>
      </c>
      <c r="S2212" t="s">
        <v>19</v>
      </c>
      <c r="T2212" t="s">
        <v>19</v>
      </c>
    </row>
    <row r="2213" spans="1:21" ht="15" customHeight="1" x14ac:dyDescent="0.25">
      <c r="A2213" s="2">
        <v>45253.626388888886</v>
      </c>
      <c r="B2213" t="s">
        <v>309</v>
      </c>
      <c r="C2213" t="s">
        <v>213</v>
      </c>
      <c r="D2213">
        <v>3</v>
      </c>
      <c r="E2213" t="s">
        <v>172</v>
      </c>
      <c r="F2213" t="s">
        <v>388</v>
      </c>
      <c r="G2213">
        <v>13.565217390000001</v>
      </c>
      <c r="H2213">
        <v>5.7391304349999999</v>
      </c>
      <c r="I2213">
        <v>19.304347830000001</v>
      </c>
      <c r="J2213">
        <v>80.695652170000002</v>
      </c>
      <c r="K2213">
        <v>0.8</v>
      </c>
      <c r="L2213">
        <v>0.2</v>
      </c>
      <c r="M2213">
        <v>0.7</v>
      </c>
      <c r="N2213">
        <v>464</v>
      </c>
      <c r="O2213">
        <v>78</v>
      </c>
      <c r="P2213">
        <v>33</v>
      </c>
      <c r="Q2213">
        <v>19.3</v>
      </c>
      <c r="R2213" t="s">
        <v>289</v>
      </c>
      <c r="S2213">
        <v>2.71</v>
      </c>
      <c r="T2213">
        <v>3.21</v>
      </c>
    </row>
    <row r="2214" spans="1:21" ht="15" customHeight="1" x14ac:dyDescent="0.25">
      <c r="A2214" s="2">
        <v>45253.879861111112</v>
      </c>
      <c r="B2214" t="s">
        <v>309</v>
      </c>
      <c r="C2214" t="s">
        <v>215</v>
      </c>
      <c r="D2214">
        <v>2</v>
      </c>
      <c r="E2214" t="s">
        <v>172</v>
      </c>
      <c r="F2214" t="s">
        <v>388</v>
      </c>
      <c r="G2214">
        <v>22.13967311</v>
      </c>
      <c r="H2214">
        <v>0</v>
      </c>
      <c r="I2214">
        <v>22.13967311</v>
      </c>
      <c r="J2214">
        <v>77.860326889999996</v>
      </c>
      <c r="K2214">
        <v>0.8</v>
      </c>
      <c r="L2214">
        <v>0.2</v>
      </c>
      <c r="M2214">
        <v>0.7</v>
      </c>
      <c r="N2214">
        <v>524</v>
      </c>
      <c r="O2214">
        <v>149</v>
      </c>
      <c r="P2214">
        <v>0</v>
      </c>
      <c r="Q2214">
        <v>22.14</v>
      </c>
      <c r="R2214" t="s">
        <v>231</v>
      </c>
      <c r="S2214">
        <v>0.55000000000000004</v>
      </c>
      <c r="T2214">
        <v>0.59</v>
      </c>
    </row>
    <row r="2215" spans="1:21" ht="15" customHeight="1" x14ac:dyDescent="0.25">
      <c r="A2215" s="2">
        <v>45254.050694444442</v>
      </c>
      <c r="B2215" t="s">
        <v>309</v>
      </c>
      <c r="C2215" t="s">
        <v>217</v>
      </c>
      <c r="D2215">
        <v>2</v>
      </c>
      <c r="E2215" t="s">
        <v>172</v>
      </c>
      <c r="F2215" t="s">
        <v>388</v>
      </c>
      <c r="G2215">
        <v>30.368098159999999</v>
      </c>
      <c r="H2215">
        <v>0</v>
      </c>
      <c r="I2215">
        <v>30.368098159999999</v>
      </c>
      <c r="J2215">
        <v>69.631901839999998</v>
      </c>
      <c r="K2215">
        <v>0.8</v>
      </c>
      <c r="L2215">
        <v>0.2</v>
      </c>
      <c r="M2215">
        <v>0.7</v>
      </c>
      <c r="N2215">
        <v>454</v>
      </c>
      <c r="O2215">
        <v>198</v>
      </c>
      <c r="P2215">
        <v>0</v>
      </c>
      <c r="Q2215">
        <v>30.37</v>
      </c>
      <c r="R2215" t="s">
        <v>222</v>
      </c>
      <c r="S2215">
        <v>0.76</v>
      </c>
      <c r="T2215">
        <v>0.81</v>
      </c>
    </row>
    <row r="2216" spans="1:21" ht="15" customHeight="1" x14ac:dyDescent="0.25">
      <c r="A2216" s="2">
        <v>45316.55972222222</v>
      </c>
      <c r="B2216" t="s">
        <v>309</v>
      </c>
      <c r="C2216" t="s">
        <v>219</v>
      </c>
      <c r="D2216">
        <v>3</v>
      </c>
      <c r="E2216" t="s">
        <v>172</v>
      </c>
      <c r="F2216" t="s">
        <v>388</v>
      </c>
      <c r="G2216">
        <v>8.7628865979999997</v>
      </c>
      <c r="H2216">
        <v>3.8659793809999998</v>
      </c>
      <c r="I2216">
        <v>12.62886598</v>
      </c>
      <c r="J2216">
        <v>87.37113402</v>
      </c>
      <c r="K2216">
        <v>0.8</v>
      </c>
      <c r="L2216">
        <v>0.2</v>
      </c>
      <c r="M2216">
        <v>0.7</v>
      </c>
      <c r="N2216">
        <v>339</v>
      </c>
      <c r="O2216">
        <v>34</v>
      </c>
      <c r="P2216">
        <v>15</v>
      </c>
      <c r="Q2216">
        <v>12.63</v>
      </c>
      <c r="R2216" t="s">
        <v>225</v>
      </c>
      <c r="S2216">
        <v>3.2</v>
      </c>
      <c r="T2216">
        <v>4.49</v>
      </c>
    </row>
    <row r="2217" spans="1:21" ht="15" customHeight="1" x14ac:dyDescent="0.25">
      <c r="A2217" s="2">
        <v>45320.904166666667</v>
      </c>
      <c r="B2217" t="s">
        <v>309</v>
      </c>
      <c r="C2217" t="s">
        <v>221</v>
      </c>
      <c r="D2217">
        <v>2</v>
      </c>
      <c r="E2217" t="s">
        <v>172</v>
      </c>
      <c r="F2217" t="s">
        <v>388</v>
      </c>
      <c r="G2217">
        <v>25.49019608</v>
      </c>
      <c r="H2217">
        <v>0</v>
      </c>
      <c r="I2217">
        <v>25.49019608</v>
      </c>
      <c r="J2217">
        <v>74.509803919999996</v>
      </c>
      <c r="K2217">
        <v>0.8</v>
      </c>
      <c r="L2217">
        <v>0.3</v>
      </c>
      <c r="M2217">
        <v>0.7</v>
      </c>
      <c r="N2217">
        <v>418</v>
      </c>
      <c r="O2217">
        <v>143</v>
      </c>
      <c r="P2217">
        <v>0</v>
      </c>
      <c r="Q2217">
        <v>25.49</v>
      </c>
      <c r="R2217" t="s">
        <v>228</v>
      </c>
      <c r="S2217">
        <v>0.69</v>
      </c>
      <c r="T2217">
        <v>0.75</v>
      </c>
    </row>
    <row r="2218" spans="1:21" ht="15" customHeight="1" x14ac:dyDescent="0.25">
      <c r="A2218" t="s">
        <v>19</v>
      </c>
      <c r="B2218" t="s">
        <v>20</v>
      </c>
      <c r="C2218" t="s">
        <v>306</v>
      </c>
      <c r="D2218">
        <v>3</v>
      </c>
      <c r="E2218" t="s">
        <v>172</v>
      </c>
      <c r="F2218" t="s">
        <v>388</v>
      </c>
      <c r="G2218">
        <v>40</v>
      </c>
      <c r="H2218">
        <v>10</v>
      </c>
      <c r="I2218">
        <f>G2218+H2218</f>
        <v>50</v>
      </c>
      <c r="J2218">
        <f>100-G2218-H2218</f>
        <v>50</v>
      </c>
      <c r="K2218" t="s">
        <v>19</v>
      </c>
      <c r="L2218" t="s">
        <v>19</v>
      </c>
      <c r="M2218" t="s">
        <v>19</v>
      </c>
      <c r="N2218" t="s">
        <v>19</v>
      </c>
      <c r="O2218" t="s">
        <v>19</v>
      </c>
      <c r="P2218" t="s">
        <v>19</v>
      </c>
      <c r="Q2218">
        <f>I2218</f>
        <v>50</v>
      </c>
      <c r="R2218" t="s">
        <v>19</v>
      </c>
      <c r="S2218" t="s">
        <v>19</v>
      </c>
      <c r="T2218" t="s">
        <v>19</v>
      </c>
    </row>
    <row r="2219" spans="1:21" ht="15" customHeight="1" x14ac:dyDescent="0.25">
      <c r="A2219" t="s">
        <v>19</v>
      </c>
      <c r="B2219" t="s">
        <v>20</v>
      </c>
      <c r="C2219" t="s">
        <v>320</v>
      </c>
      <c r="D2219">
        <v>3</v>
      </c>
      <c r="E2219" t="s">
        <v>172</v>
      </c>
      <c r="F2219" t="s">
        <v>388</v>
      </c>
      <c r="G2219">
        <v>10</v>
      </c>
      <c r="H2219">
        <v>8</v>
      </c>
      <c r="I2219">
        <f>100-J2219</f>
        <v>18</v>
      </c>
      <c r="J2219">
        <f>100-G2219-H2219</f>
        <v>82</v>
      </c>
      <c r="K2219" t="s">
        <v>19</v>
      </c>
      <c r="L2219" t="s">
        <v>19</v>
      </c>
      <c r="M2219" t="s">
        <v>19</v>
      </c>
      <c r="N2219" t="s">
        <v>19</v>
      </c>
      <c r="O2219" t="s">
        <v>19</v>
      </c>
      <c r="P2219" t="s">
        <v>19</v>
      </c>
      <c r="Q2219">
        <f>I2219</f>
        <v>18</v>
      </c>
      <c r="R2219" t="s">
        <v>19</v>
      </c>
      <c r="S2219" t="s">
        <v>19</v>
      </c>
      <c r="T2219" t="s">
        <v>19</v>
      </c>
    </row>
    <row r="2220" spans="1:21" ht="15" customHeight="1" x14ac:dyDescent="0.25">
      <c r="A2220" s="2">
        <v>45323.639097222222</v>
      </c>
      <c r="B2220" t="s">
        <v>309</v>
      </c>
      <c r="C2220" t="s">
        <v>322</v>
      </c>
      <c r="D2220">
        <v>3</v>
      </c>
      <c r="E2220" t="s">
        <v>172</v>
      </c>
      <c r="F2220" t="s">
        <v>388</v>
      </c>
      <c r="G2220">
        <f>(O2220/(N2220+O2220+P2220))*100</f>
        <v>21.062618595825427</v>
      </c>
      <c r="H2220">
        <f>(P2220/(O2220+P2220+N2220))*100</f>
        <v>1.7077798861480076</v>
      </c>
      <c r="I2220">
        <v>22.77</v>
      </c>
      <c r="J2220">
        <f>(N2220/(P2220+O2220+N2220))*100</f>
        <v>77.22960151802657</v>
      </c>
      <c r="K2220">
        <v>0.8</v>
      </c>
      <c r="L2220">
        <v>0.3</v>
      </c>
      <c r="M2220">
        <v>0.7</v>
      </c>
      <c r="N2220">
        <v>407</v>
      </c>
      <c r="O2220">
        <v>111</v>
      </c>
      <c r="P2220">
        <v>9</v>
      </c>
      <c r="Q2220">
        <v>22.77</v>
      </c>
      <c r="R2220" t="s">
        <v>261</v>
      </c>
      <c r="S2220">
        <v>2.5299999999999998</v>
      </c>
      <c r="T2220">
        <v>3.14</v>
      </c>
      <c r="U2220">
        <v>81</v>
      </c>
    </row>
    <row r="2221" spans="1:21" ht="15" customHeight="1" x14ac:dyDescent="0.25">
      <c r="A2221" s="2">
        <v>45323.634988425925</v>
      </c>
      <c r="B2221" t="s">
        <v>309</v>
      </c>
      <c r="C2221" t="s">
        <v>322</v>
      </c>
      <c r="D2221">
        <v>3</v>
      </c>
      <c r="E2221" t="s">
        <v>172</v>
      </c>
      <c r="F2221" t="s">
        <v>388</v>
      </c>
      <c r="G2221">
        <f>(O2221/(N2221+O2221+P2221))*100</f>
        <v>22.962962962962962</v>
      </c>
      <c r="H2221">
        <f>(P2221/(O2221+P2221+N2221))*100</f>
        <v>1.8518518518518516</v>
      </c>
      <c r="I2221">
        <v>24.81</v>
      </c>
      <c r="J2221">
        <f>(N2221/(P2221+O2221+N2221))*100</f>
        <v>75.18518518518519</v>
      </c>
      <c r="K2221">
        <v>0.7</v>
      </c>
      <c r="L2221">
        <v>0.3</v>
      </c>
      <c r="M2221">
        <v>0.7</v>
      </c>
      <c r="N2221">
        <v>406</v>
      </c>
      <c r="O2221">
        <v>124</v>
      </c>
      <c r="P2221">
        <v>10</v>
      </c>
      <c r="Q2221">
        <v>24.81</v>
      </c>
      <c r="R2221" t="s">
        <v>261</v>
      </c>
      <c r="S2221">
        <v>2.5299999999999998</v>
      </c>
      <c r="T2221">
        <v>3.14</v>
      </c>
      <c r="U2221">
        <v>68</v>
      </c>
    </row>
    <row r="2222" spans="1:21" ht="15" customHeight="1" x14ac:dyDescent="0.25">
      <c r="A2222" s="2">
        <v>45325.051388888889</v>
      </c>
      <c r="B2222" t="s">
        <v>309</v>
      </c>
      <c r="C2222" t="s">
        <v>368</v>
      </c>
      <c r="D2222">
        <v>2</v>
      </c>
      <c r="E2222" t="s">
        <v>172</v>
      </c>
      <c r="F2222" t="s">
        <v>388</v>
      </c>
      <c r="G2222">
        <f>(O2222/(N2222+O2222+P2222))*100</f>
        <v>24.107142857142858</v>
      </c>
      <c r="H2222">
        <f>(P2222/(O2222+P2222+N2222))*100</f>
        <v>0</v>
      </c>
      <c r="I2222">
        <v>24.11</v>
      </c>
      <c r="J2222">
        <f>(N2222/(P2222+O2222+N2222))*100</f>
        <v>75.892857142857139</v>
      </c>
      <c r="K2222">
        <v>0.8</v>
      </c>
      <c r="L2222">
        <v>0.3</v>
      </c>
      <c r="M2222">
        <v>0.7</v>
      </c>
      <c r="N2222">
        <v>425</v>
      </c>
      <c r="O2222">
        <v>135</v>
      </c>
      <c r="P2222">
        <v>0</v>
      </c>
      <c r="Q2222">
        <v>24.11</v>
      </c>
      <c r="R2222" t="s">
        <v>359</v>
      </c>
      <c r="S2222">
        <v>0.62</v>
      </c>
      <c r="T2222">
        <v>0.67</v>
      </c>
    </row>
    <row r="2223" spans="1:21" ht="15" customHeight="1" x14ac:dyDescent="0.25">
      <c r="A2223" t="s">
        <v>19</v>
      </c>
      <c r="B2223" t="s">
        <v>20</v>
      </c>
      <c r="C2223" t="s">
        <v>306</v>
      </c>
      <c r="D2223">
        <v>3</v>
      </c>
      <c r="E2223" t="s">
        <v>173</v>
      </c>
      <c r="F2223" t="s">
        <v>373</v>
      </c>
      <c r="G2223">
        <v>17</v>
      </c>
      <c r="H2223">
        <v>0</v>
      </c>
      <c r="I2223">
        <f>G2223+H2223</f>
        <v>17</v>
      </c>
      <c r="J2223">
        <f>100-G2223-H2223</f>
        <v>83</v>
      </c>
      <c r="K2223" t="s">
        <v>19</v>
      </c>
      <c r="L2223" t="s">
        <v>19</v>
      </c>
      <c r="M2223" t="s">
        <v>19</v>
      </c>
      <c r="N2223" t="s">
        <v>19</v>
      </c>
      <c r="O2223" t="s">
        <v>19</v>
      </c>
      <c r="P2223" t="s">
        <v>19</v>
      </c>
      <c r="Q2223">
        <f>I2223</f>
        <v>17</v>
      </c>
      <c r="R2223" t="s">
        <v>19</v>
      </c>
      <c r="S2223" t="s">
        <v>19</v>
      </c>
      <c r="T2223" t="s">
        <v>19</v>
      </c>
    </row>
    <row r="2224" spans="1:21" ht="15" customHeight="1" x14ac:dyDescent="0.25">
      <c r="A2224" t="s">
        <v>19</v>
      </c>
      <c r="B2224" t="s">
        <v>20</v>
      </c>
      <c r="C2224" t="s">
        <v>308</v>
      </c>
      <c r="D2224">
        <v>3</v>
      </c>
      <c r="E2224" t="s">
        <v>173</v>
      </c>
      <c r="F2224" t="s">
        <v>373</v>
      </c>
      <c r="G2224">
        <v>10</v>
      </c>
      <c r="H2224">
        <v>0</v>
      </c>
      <c r="I2224">
        <f>G2224+H2224</f>
        <v>10</v>
      </c>
      <c r="J2224">
        <f>100-G2224-H2224</f>
        <v>90</v>
      </c>
      <c r="K2224" t="s">
        <v>19</v>
      </c>
      <c r="L2224" t="s">
        <v>19</v>
      </c>
      <c r="M2224" t="s">
        <v>19</v>
      </c>
      <c r="N2224" t="s">
        <v>19</v>
      </c>
      <c r="O2224" t="s">
        <v>19</v>
      </c>
      <c r="P2224" t="s">
        <v>19</v>
      </c>
      <c r="Q2224">
        <f>I2224</f>
        <v>10</v>
      </c>
      <c r="R2224" t="s">
        <v>19</v>
      </c>
      <c r="S2224" t="s">
        <v>19</v>
      </c>
      <c r="T2224" t="s">
        <v>19</v>
      </c>
    </row>
    <row r="2225" spans="1:21" ht="15" customHeight="1" x14ac:dyDescent="0.25">
      <c r="A2225" t="s">
        <v>19</v>
      </c>
      <c r="B2225" t="s">
        <v>20</v>
      </c>
      <c r="C2225" t="s">
        <v>22</v>
      </c>
      <c r="D2225">
        <v>3</v>
      </c>
      <c r="E2225" t="s">
        <v>173</v>
      </c>
      <c r="F2225" t="s">
        <v>373</v>
      </c>
      <c r="G2225">
        <v>5</v>
      </c>
      <c r="H2225">
        <v>0</v>
      </c>
      <c r="I2225">
        <f>G2225+H2225</f>
        <v>5</v>
      </c>
      <c r="J2225">
        <f>100-G2225-H2225</f>
        <v>95</v>
      </c>
      <c r="K2225" t="s">
        <v>19</v>
      </c>
      <c r="L2225" t="s">
        <v>19</v>
      </c>
      <c r="M2225" t="s">
        <v>19</v>
      </c>
      <c r="N2225" t="s">
        <v>19</v>
      </c>
      <c r="O2225" t="s">
        <v>19</v>
      </c>
      <c r="P2225" t="s">
        <v>19</v>
      </c>
      <c r="Q2225">
        <f>I2225</f>
        <v>5</v>
      </c>
      <c r="R2225" t="s">
        <v>19</v>
      </c>
      <c r="S2225" t="s">
        <v>19</v>
      </c>
      <c r="T2225" t="s">
        <v>19</v>
      </c>
    </row>
    <row r="2226" spans="1:21" ht="15" customHeight="1" x14ac:dyDescent="0.25">
      <c r="A2226" t="s">
        <v>19</v>
      </c>
      <c r="B2226" t="s">
        <v>20</v>
      </c>
      <c r="C2226" t="s">
        <v>305</v>
      </c>
      <c r="D2226">
        <v>3</v>
      </c>
      <c r="E2226" t="s">
        <v>173</v>
      </c>
      <c r="F2226" t="s">
        <v>373</v>
      </c>
      <c r="G2226">
        <v>5</v>
      </c>
      <c r="H2226">
        <v>0</v>
      </c>
      <c r="I2226">
        <f>G2226+H2226</f>
        <v>5</v>
      </c>
      <c r="J2226">
        <f>100-G2226-H2226</f>
        <v>95</v>
      </c>
      <c r="K2226" t="s">
        <v>19</v>
      </c>
      <c r="L2226" t="s">
        <v>19</v>
      </c>
      <c r="M2226" t="s">
        <v>19</v>
      </c>
      <c r="N2226" t="s">
        <v>19</v>
      </c>
      <c r="O2226" t="s">
        <v>19</v>
      </c>
      <c r="P2226" t="s">
        <v>19</v>
      </c>
      <c r="Q2226">
        <f>I2226</f>
        <v>5</v>
      </c>
      <c r="R2226" t="s">
        <v>19</v>
      </c>
      <c r="S2226" t="s">
        <v>19</v>
      </c>
      <c r="T2226" t="s">
        <v>19</v>
      </c>
    </row>
    <row r="2227" spans="1:21" ht="15" customHeight="1" x14ac:dyDescent="0.25">
      <c r="A2227" t="s">
        <v>19</v>
      </c>
      <c r="B2227" t="s">
        <v>20</v>
      </c>
      <c r="C2227" t="s">
        <v>307</v>
      </c>
      <c r="D2227">
        <v>3</v>
      </c>
      <c r="E2227" t="s">
        <v>173</v>
      </c>
      <c r="F2227" t="s">
        <v>373</v>
      </c>
      <c r="G2227">
        <v>2</v>
      </c>
      <c r="H2227">
        <v>0</v>
      </c>
      <c r="I2227">
        <f>G2227+H2227</f>
        <v>2</v>
      </c>
      <c r="J2227">
        <f>100-G2227-H2227</f>
        <v>98</v>
      </c>
      <c r="K2227" t="s">
        <v>19</v>
      </c>
      <c r="L2227" t="s">
        <v>19</v>
      </c>
      <c r="M2227" t="s">
        <v>19</v>
      </c>
      <c r="N2227" t="s">
        <v>19</v>
      </c>
      <c r="O2227" t="s">
        <v>19</v>
      </c>
      <c r="P2227" t="s">
        <v>19</v>
      </c>
      <c r="Q2227">
        <f>I2227</f>
        <v>2</v>
      </c>
      <c r="R2227" t="s">
        <v>19</v>
      </c>
      <c r="S2227" t="s">
        <v>19</v>
      </c>
      <c r="T2227" t="s">
        <v>19</v>
      </c>
    </row>
    <row r="2228" spans="1:21" ht="15" customHeight="1" x14ac:dyDescent="0.25">
      <c r="A2228" s="2">
        <v>45253.78402777778</v>
      </c>
      <c r="B2228" t="s">
        <v>309</v>
      </c>
      <c r="C2228" t="s">
        <v>213</v>
      </c>
      <c r="D2228">
        <v>3</v>
      </c>
      <c r="E2228" t="s">
        <v>173</v>
      </c>
      <c r="F2228" t="s">
        <v>373</v>
      </c>
      <c r="G2228">
        <v>35.398230089999998</v>
      </c>
      <c r="H2228">
        <v>0</v>
      </c>
      <c r="I2228">
        <v>35.398230089999998</v>
      </c>
      <c r="J2228">
        <v>64.601769910000002</v>
      </c>
      <c r="K2228">
        <v>0.8</v>
      </c>
      <c r="L2228">
        <v>0.2</v>
      </c>
      <c r="M2228">
        <v>0.7</v>
      </c>
      <c r="N2228">
        <v>219</v>
      </c>
      <c r="O2228">
        <v>120</v>
      </c>
      <c r="P2228">
        <v>0</v>
      </c>
      <c r="Q2228">
        <v>35.4</v>
      </c>
      <c r="R2228" t="s">
        <v>246</v>
      </c>
      <c r="S2228">
        <v>3.02</v>
      </c>
      <c r="T2228">
        <v>3.23</v>
      </c>
    </row>
    <row r="2229" spans="1:21" ht="15" customHeight="1" x14ac:dyDescent="0.25">
      <c r="A2229" s="2">
        <v>45253.963888888888</v>
      </c>
      <c r="B2229" t="s">
        <v>309</v>
      </c>
      <c r="C2229" t="s">
        <v>215</v>
      </c>
      <c r="D2229">
        <v>2</v>
      </c>
      <c r="E2229" t="s">
        <v>173</v>
      </c>
      <c r="F2229" t="s">
        <v>373</v>
      </c>
      <c r="G2229">
        <v>2.147239264</v>
      </c>
      <c r="H2229">
        <v>0</v>
      </c>
      <c r="I2229">
        <v>2.147239264</v>
      </c>
      <c r="J2229">
        <v>97.852760739999994</v>
      </c>
      <c r="K2229">
        <v>0.8</v>
      </c>
      <c r="L2229">
        <v>0.2</v>
      </c>
      <c r="M2229">
        <v>0.7</v>
      </c>
      <c r="N2229">
        <v>638</v>
      </c>
      <c r="O2229">
        <v>14</v>
      </c>
      <c r="P2229">
        <v>0</v>
      </c>
      <c r="Q2229">
        <v>2.15</v>
      </c>
      <c r="R2229" t="s">
        <v>257</v>
      </c>
      <c r="S2229">
        <v>0.06</v>
      </c>
      <c r="T2229">
        <v>0.06</v>
      </c>
    </row>
    <row r="2230" spans="1:21" ht="15" customHeight="1" x14ac:dyDescent="0.25">
      <c r="A2230" s="2">
        <v>45254.140972222223</v>
      </c>
      <c r="B2230" t="s">
        <v>309</v>
      </c>
      <c r="C2230" t="s">
        <v>217</v>
      </c>
      <c r="D2230">
        <v>2</v>
      </c>
      <c r="E2230" t="s">
        <v>173</v>
      </c>
      <c r="F2230" t="s">
        <v>373</v>
      </c>
      <c r="G2230">
        <v>4.5977011489999997</v>
      </c>
      <c r="H2230">
        <v>0</v>
      </c>
      <c r="I2230">
        <v>4.5977011489999997</v>
      </c>
      <c r="J2230">
        <v>95.402298849999994</v>
      </c>
      <c r="K2230">
        <v>0.8</v>
      </c>
      <c r="L2230">
        <v>0.2</v>
      </c>
      <c r="M2230">
        <v>0.7</v>
      </c>
      <c r="N2230">
        <v>581</v>
      </c>
      <c r="O2230">
        <v>28</v>
      </c>
      <c r="P2230">
        <v>0</v>
      </c>
      <c r="Q2230">
        <v>4.5999999999999996</v>
      </c>
      <c r="R2230" t="s">
        <v>227</v>
      </c>
      <c r="S2230">
        <v>0.17</v>
      </c>
      <c r="T2230">
        <v>0.18</v>
      </c>
    </row>
    <row r="2231" spans="1:21" ht="15" customHeight="1" x14ac:dyDescent="0.25">
      <c r="A2231" s="2">
        <v>45316.475694444445</v>
      </c>
      <c r="B2231" t="s">
        <v>309</v>
      </c>
      <c r="C2231" t="s">
        <v>219</v>
      </c>
      <c r="D2231">
        <v>3</v>
      </c>
      <c r="E2231" t="s">
        <v>173</v>
      </c>
      <c r="F2231" t="s">
        <v>373</v>
      </c>
      <c r="G2231">
        <v>11.11111111</v>
      </c>
      <c r="H2231">
        <v>0.65359477099999996</v>
      </c>
      <c r="I2231">
        <v>11.764705879999999</v>
      </c>
      <c r="J2231">
        <v>88.235294120000006</v>
      </c>
      <c r="K2231">
        <v>0.8</v>
      </c>
      <c r="L2231">
        <v>0.2</v>
      </c>
      <c r="M2231">
        <v>0.7</v>
      </c>
      <c r="N2231">
        <v>135</v>
      </c>
      <c r="O2231">
        <v>17</v>
      </c>
      <c r="P2231">
        <v>1</v>
      </c>
      <c r="Q2231">
        <v>11.76</v>
      </c>
      <c r="R2231" t="s">
        <v>243</v>
      </c>
      <c r="S2231">
        <v>3.13</v>
      </c>
      <c r="T2231">
        <v>4.03</v>
      </c>
    </row>
    <row r="2232" spans="1:21" ht="15" customHeight="1" x14ac:dyDescent="0.25">
      <c r="A2232" s="2">
        <v>45321.00277777778</v>
      </c>
      <c r="B2232" t="s">
        <v>309</v>
      </c>
      <c r="C2232" t="s">
        <v>221</v>
      </c>
      <c r="D2232">
        <v>2</v>
      </c>
      <c r="E2232" t="s">
        <v>173</v>
      </c>
      <c r="F2232" t="s">
        <v>373</v>
      </c>
      <c r="G2232">
        <v>7.0234113709999999</v>
      </c>
      <c r="H2232">
        <v>0</v>
      </c>
      <c r="I2232">
        <v>7.0234113709999999</v>
      </c>
      <c r="J2232">
        <v>92.976588629999995</v>
      </c>
      <c r="K2232">
        <v>0.8</v>
      </c>
      <c r="L2232">
        <v>0.3</v>
      </c>
      <c r="M2232">
        <v>0.7</v>
      </c>
      <c r="N2232">
        <v>556</v>
      </c>
      <c r="O2232">
        <v>42</v>
      </c>
      <c r="P2232">
        <v>0</v>
      </c>
      <c r="Q2232">
        <v>7.02</v>
      </c>
      <c r="R2232" t="s">
        <v>218</v>
      </c>
      <c r="S2232">
        <v>0.28000000000000003</v>
      </c>
      <c r="T2232">
        <v>0.28999999999999998</v>
      </c>
    </row>
    <row r="2233" spans="1:21" ht="15" customHeight="1" x14ac:dyDescent="0.25">
      <c r="A2233" t="s">
        <v>19</v>
      </c>
      <c r="B2233" t="s">
        <v>20</v>
      </c>
      <c r="C2233" t="s">
        <v>320</v>
      </c>
      <c r="D2233">
        <v>3</v>
      </c>
      <c r="E2233" t="s">
        <v>173</v>
      </c>
      <c r="F2233" t="s">
        <v>373</v>
      </c>
      <c r="G2233">
        <v>0</v>
      </c>
      <c r="H2233">
        <v>0</v>
      </c>
      <c r="I2233">
        <f>100-J2233</f>
        <v>0</v>
      </c>
      <c r="J2233">
        <f>100-G2233-H2233</f>
        <v>100</v>
      </c>
      <c r="K2233" t="s">
        <v>19</v>
      </c>
      <c r="L2233" t="s">
        <v>19</v>
      </c>
      <c r="M2233" t="s">
        <v>19</v>
      </c>
      <c r="N2233" t="s">
        <v>19</v>
      </c>
      <c r="O2233" t="s">
        <v>19</v>
      </c>
      <c r="P2233" t="s">
        <v>19</v>
      </c>
      <c r="Q2233">
        <f>I2233</f>
        <v>0</v>
      </c>
      <c r="R2233" t="s">
        <v>19</v>
      </c>
      <c r="S2233" t="s">
        <v>19</v>
      </c>
      <c r="T2233" t="s">
        <v>19</v>
      </c>
    </row>
    <row r="2234" spans="1:21" ht="15" customHeight="1" x14ac:dyDescent="0.25">
      <c r="A2234" s="2">
        <v>45323.635324074072</v>
      </c>
      <c r="B2234" t="s">
        <v>309</v>
      </c>
      <c r="C2234" t="s">
        <v>322</v>
      </c>
      <c r="D2234">
        <v>3</v>
      </c>
      <c r="E2234" t="s">
        <v>173</v>
      </c>
      <c r="F2234" t="s">
        <v>373</v>
      </c>
      <c r="G2234">
        <f>(O2234/(N2234+O2234+P2234))*100</f>
        <v>10.483870967741936</v>
      </c>
      <c r="H2234">
        <f>(P2234/(O2234+P2234+N2234))*100</f>
        <v>0</v>
      </c>
      <c r="I2234">
        <f>((O2234+P2234)/(P2234+O2234+N2234))*100</f>
        <v>10.483870967741936</v>
      </c>
      <c r="J2234">
        <f>(N2234/(P2234+O2234+N2234))*100</f>
        <v>89.516129032258064</v>
      </c>
      <c r="K2234">
        <v>0.8</v>
      </c>
      <c r="L2234">
        <v>0.3</v>
      </c>
      <c r="M2234">
        <v>0.7</v>
      </c>
      <c r="N2234">
        <v>444</v>
      </c>
      <c r="O2234">
        <v>52</v>
      </c>
      <c r="P2234">
        <v>0</v>
      </c>
      <c r="Q2234">
        <v>10.48</v>
      </c>
      <c r="R2234" t="s">
        <v>223</v>
      </c>
      <c r="S2234">
        <v>2.8</v>
      </c>
      <c r="T2234">
        <v>3.03</v>
      </c>
      <c r="U2234">
        <v>168</v>
      </c>
    </row>
    <row r="2235" spans="1:21" ht="15" customHeight="1" x14ac:dyDescent="0.25">
      <c r="A2235" s="2">
        <v>45323.640162037038</v>
      </c>
      <c r="B2235" t="s">
        <v>309</v>
      </c>
      <c r="C2235" t="s">
        <v>322</v>
      </c>
      <c r="D2235">
        <v>3</v>
      </c>
      <c r="E2235" t="s">
        <v>173</v>
      </c>
      <c r="F2235" t="s">
        <v>373</v>
      </c>
      <c r="G2235">
        <f>(O2235/(N2235+O2235+P2235))*100</f>
        <v>13.953488372093023</v>
      </c>
      <c r="H2235">
        <f>(P2235/(O2235+P2235+N2235))*100</f>
        <v>0</v>
      </c>
      <c r="I2235">
        <f>((O2235+P2235)/(P2235+O2235+N2235))*100</f>
        <v>13.953488372093023</v>
      </c>
      <c r="J2235">
        <f>(N2235/(P2235+O2235+N2235))*100</f>
        <v>86.04651162790698</v>
      </c>
      <c r="K2235">
        <v>0.7</v>
      </c>
      <c r="L2235">
        <v>0.3</v>
      </c>
      <c r="M2235">
        <v>0.7</v>
      </c>
      <c r="N2235">
        <v>444</v>
      </c>
      <c r="O2235">
        <v>72</v>
      </c>
      <c r="P2235">
        <v>0</v>
      </c>
      <c r="Q2235">
        <v>13.95</v>
      </c>
      <c r="R2235" t="s">
        <v>287</v>
      </c>
      <c r="S2235">
        <v>2.8</v>
      </c>
      <c r="T2235">
        <v>3.03</v>
      </c>
      <c r="U2235">
        <v>148</v>
      </c>
    </row>
    <row r="2236" spans="1:21" ht="15" customHeight="1" x14ac:dyDescent="0.25">
      <c r="A2236" s="2">
        <v>45325.196412037039</v>
      </c>
      <c r="B2236" t="s">
        <v>309</v>
      </c>
      <c r="C2236" t="s">
        <v>368</v>
      </c>
      <c r="D2236">
        <v>2</v>
      </c>
      <c r="E2236" t="s">
        <v>173</v>
      </c>
      <c r="F2236" t="s">
        <v>373</v>
      </c>
      <c r="G2236">
        <f>(O2236/(N2236+O2236+P2236))*100</f>
        <v>5.7993730407523509</v>
      </c>
      <c r="H2236">
        <f>(P2236/(O2236+P2236+N2236))*100</f>
        <v>0</v>
      </c>
      <c r="I2236">
        <v>5.8</v>
      </c>
      <c r="J2236">
        <f>(N2236/(P2236+O2236+N2236))*100</f>
        <v>94.200626959247643</v>
      </c>
      <c r="K2236">
        <v>0.8</v>
      </c>
      <c r="L2236">
        <v>0.3</v>
      </c>
      <c r="M2236">
        <v>0.7</v>
      </c>
      <c r="N2236">
        <v>601</v>
      </c>
      <c r="O2236">
        <v>37</v>
      </c>
      <c r="P2236">
        <v>0</v>
      </c>
      <c r="Q2236">
        <v>5.8</v>
      </c>
      <c r="R2236" t="s">
        <v>274</v>
      </c>
      <c r="S2236">
        <v>0.17</v>
      </c>
      <c r="T2236">
        <v>0.18</v>
      </c>
    </row>
    <row r="2237" spans="1:21" ht="15" customHeight="1" x14ac:dyDescent="0.25">
      <c r="A2237" t="s">
        <v>19</v>
      </c>
      <c r="B2237" t="s">
        <v>20</v>
      </c>
      <c r="C2237" t="s">
        <v>306</v>
      </c>
      <c r="D2237">
        <v>3</v>
      </c>
      <c r="E2237" t="s">
        <v>174</v>
      </c>
      <c r="F2237" t="s">
        <v>373</v>
      </c>
      <c r="G2237">
        <v>3</v>
      </c>
      <c r="H2237">
        <v>0</v>
      </c>
      <c r="I2237">
        <f>G2237+H2237</f>
        <v>3</v>
      </c>
      <c r="J2237">
        <f>100-G2237-H2237</f>
        <v>97</v>
      </c>
      <c r="K2237" t="s">
        <v>19</v>
      </c>
      <c r="L2237" t="s">
        <v>19</v>
      </c>
      <c r="M2237" t="s">
        <v>19</v>
      </c>
      <c r="N2237" t="s">
        <v>19</v>
      </c>
      <c r="O2237" t="s">
        <v>19</v>
      </c>
      <c r="P2237" t="s">
        <v>19</v>
      </c>
      <c r="Q2237">
        <f>I2237</f>
        <v>3</v>
      </c>
      <c r="R2237" t="s">
        <v>19</v>
      </c>
      <c r="S2237" t="s">
        <v>19</v>
      </c>
      <c r="T2237" t="s">
        <v>19</v>
      </c>
    </row>
    <row r="2238" spans="1:21" ht="15" customHeight="1" x14ac:dyDescent="0.25">
      <c r="A2238" t="s">
        <v>19</v>
      </c>
      <c r="B2238" t="s">
        <v>20</v>
      </c>
      <c r="C2238" t="s">
        <v>308</v>
      </c>
      <c r="D2238">
        <v>3</v>
      </c>
      <c r="E2238" t="s">
        <v>174</v>
      </c>
      <c r="F2238" t="s">
        <v>373</v>
      </c>
      <c r="G2238">
        <v>5</v>
      </c>
      <c r="H2238">
        <v>0</v>
      </c>
      <c r="I2238">
        <f>G2238+H2238</f>
        <v>5</v>
      </c>
      <c r="J2238">
        <f>100-G2238-H2238</f>
        <v>95</v>
      </c>
      <c r="K2238" t="s">
        <v>19</v>
      </c>
      <c r="L2238" t="s">
        <v>19</v>
      </c>
      <c r="M2238" t="s">
        <v>19</v>
      </c>
      <c r="N2238" t="s">
        <v>19</v>
      </c>
      <c r="O2238" t="s">
        <v>19</v>
      </c>
      <c r="P2238" t="s">
        <v>19</v>
      </c>
      <c r="Q2238">
        <f>I2238</f>
        <v>5</v>
      </c>
      <c r="R2238" t="s">
        <v>19</v>
      </c>
      <c r="S2238" t="s">
        <v>19</v>
      </c>
      <c r="T2238" t="s">
        <v>19</v>
      </c>
    </row>
    <row r="2239" spans="1:21" ht="15" customHeight="1" x14ac:dyDescent="0.25">
      <c r="A2239" t="s">
        <v>19</v>
      </c>
      <c r="B2239" t="s">
        <v>20</v>
      </c>
      <c r="C2239" t="s">
        <v>22</v>
      </c>
      <c r="D2239">
        <v>3</v>
      </c>
      <c r="E2239" t="s">
        <v>174</v>
      </c>
      <c r="F2239" t="s">
        <v>373</v>
      </c>
      <c r="G2239">
        <v>0</v>
      </c>
      <c r="H2239">
        <v>0</v>
      </c>
      <c r="I2239">
        <f>G2239+H2239</f>
        <v>0</v>
      </c>
      <c r="J2239">
        <f>100-G2239-H2239</f>
        <v>100</v>
      </c>
      <c r="K2239" t="s">
        <v>19</v>
      </c>
      <c r="L2239" t="s">
        <v>19</v>
      </c>
      <c r="M2239" t="s">
        <v>19</v>
      </c>
      <c r="N2239" t="s">
        <v>19</v>
      </c>
      <c r="O2239" t="s">
        <v>19</v>
      </c>
      <c r="P2239" t="s">
        <v>19</v>
      </c>
      <c r="Q2239">
        <f>I2239</f>
        <v>0</v>
      </c>
      <c r="R2239" t="s">
        <v>19</v>
      </c>
      <c r="S2239" t="s">
        <v>19</v>
      </c>
      <c r="T2239" t="s">
        <v>19</v>
      </c>
    </row>
    <row r="2240" spans="1:21" ht="15" customHeight="1" x14ac:dyDescent="0.25">
      <c r="A2240" t="s">
        <v>19</v>
      </c>
      <c r="B2240" t="s">
        <v>20</v>
      </c>
      <c r="C2240" t="s">
        <v>305</v>
      </c>
      <c r="D2240">
        <v>3</v>
      </c>
      <c r="E2240" t="s">
        <v>174</v>
      </c>
      <c r="F2240" t="s">
        <v>373</v>
      </c>
      <c r="G2240">
        <v>1</v>
      </c>
      <c r="H2240">
        <v>0</v>
      </c>
      <c r="I2240">
        <f>G2240+H2240</f>
        <v>1</v>
      </c>
      <c r="J2240">
        <f>100-G2240-H2240</f>
        <v>99</v>
      </c>
      <c r="K2240" t="s">
        <v>19</v>
      </c>
      <c r="L2240" t="s">
        <v>19</v>
      </c>
      <c r="M2240" t="s">
        <v>19</v>
      </c>
      <c r="N2240" t="s">
        <v>19</v>
      </c>
      <c r="O2240" t="s">
        <v>19</v>
      </c>
      <c r="P2240" t="s">
        <v>19</v>
      </c>
      <c r="Q2240">
        <f>I2240</f>
        <v>1</v>
      </c>
      <c r="R2240" t="s">
        <v>19</v>
      </c>
      <c r="S2240" t="s">
        <v>19</v>
      </c>
      <c r="T2240" t="s">
        <v>19</v>
      </c>
    </row>
    <row r="2241" spans="1:21" ht="15" customHeight="1" x14ac:dyDescent="0.25">
      <c r="A2241" t="s">
        <v>19</v>
      </c>
      <c r="B2241" t="s">
        <v>20</v>
      </c>
      <c r="C2241" t="s">
        <v>307</v>
      </c>
      <c r="D2241">
        <v>3</v>
      </c>
      <c r="E2241" t="s">
        <v>174</v>
      </c>
      <c r="F2241" t="s">
        <v>373</v>
      </c>
      <c r="G2241">
        <v>0</v>
      </c>
      <c r="H2241">
        <v>0</v>
      </c>
      <c r="I2241">
        <f>G2241+H2241</f>
        <v>0</v>
      </c>
      <c r="J2241">
        <f>100-G2241-H2241</f>
        <v>100</v>
      </c>
      <c r="K2241" t="s">
        <v>19</v>
      </c>
      <c r="L2241" t="s">
        <v>19</v>
      </c>
      <c r="M2241" t="s">
        <v>19</v>
      </c>
      <c r="N2241" t="s">
        <v>19</v>
      </c>
      <c r="O2241" t="s">
        <v>19</v>
      </c>
      <c r="P2241" t="s">
        <v>19</v>
      </c>
      <c r="Q2241">
        <f>I2241</f>
        <v>0</v>
      </c>
      <c r="R2241" t="s">
        <v>19</v>
      </c>
      <c r="S2241" t="s">
        <v>19</v>
      </c>
      <c r="T2241" t="s">
        <v>19</v>
      </c>
    </row>
    <row r="2242" spans="1:21" ht="15" customHeight="1" x14ac:dyDescent="0.25">
      <c r="A2242" s="2">
        <v>45253.785416666666</v>
      </c>
      <c r="B2242" t="s">
        <v>309</v>
      </c>
      <c r="C2242" t="s">
        <v>213</v>
      </c>
      <c r="D2242">
        <v>3</v>
      </c>
      <c r="E2242" t="s">
        <v>174</v>
      </c>
      <c r="F2242" t="s">
        <v>373</v>
      </c>
      <c r="G2242">
        <v>2.1770682149999998</v>
      </c>
      <c r="H2242">
        <v>0</v>
      </c>
      <c r="I2242">
        <v>2.1770682149999998</v>
      </c>
      <c r="J2242">
        <v>97.822931789999998</v>
      </c>
      <c r="K2242">
        <v>0.8</v>
      </c>
      <c r="L2242">
        <v>0.2</v>
      </c>
      <c r="M2242">
        <v>0.7</v>
      </c>
      <c r="N2242">
        <v>674</v>
      </c>
      <c r="O2242">
        <v>15</v>
      </c>
      <c r="P2242">
        <v>0</v>
      </c>
      <c r="Q2242">
        <v>2.1800000000000002</v>
      </c>
      <c r="R2242" t="s">
        <v>236</v>
      </c>
      <c r="S2242">
        <v>2.85</v>
      </c>
      <c r="T2242">
        <v>3.22</v>
      </c>
    </row>
    <row r="2243" spans="1:21" ht="15" customHeight="1" x14ac:dyDescent="0.25">
      <c r="A2243" s="2">
        <v>45253.964583333334</v>
      </c>
      <c r="B2243" t="s">
        <v>309</v>
      </c>
      <c r="C2243" t="s">
        <v>215</v>
      </c>
      <c r="D2243">
        <v>2</v>
      </c>
      <c r="E2243" t="s">
        <v>174</v>
      </c>
      <c r="F2243" t="s">
        <v>373</v>
      </c>
      <c r="G2243">
        <v>5.3824362609999996</v>
      </c>
      <c r="H2243">
        <v>0</v>
      </c>
      <c r="I2243">
        <v>5.3824362609999996</v>
      </c>
      <c r="J2243">
        <v>94.617563739999994</v>
      </c>
      <c r="K2243">
        <v>0.8</v>
      </c>
      <c r="L2243">
        <v>0.2</v>
      </c>
      <c r="M2243">
        <v>0.7</v>
      </c>
      <c r="N2243">
        <v>668</v>
      </c>
      <c r="O2243">
        <v>38</v>
      </c>
      <c r="P2243">
        <v>0</v>
      </c>
      <c r="Q2243">
        <v>5.38</v>
      </c>
      <c r="R2243" t="s">
        <v>216</v>
      </c>
      <c r="S2243">
        <v>0.17</v>
      </c>
      <c r="T2243">
        <v>0.18</v>
      </c>
    </row>
    <row r="2244" spans="1:21" ht="15" customHeight="1" x14ac:dyDescent="0.25">
      <c r="A2244" s="2">
        <v>45254.14166666667</v>
      </c>
      <c r="B2244" t="s">
        <v>309</v>
      </c>
      <c r="C2244" t="s">
        <v>217</v>
      </c>
      <c r="D2244">
        <v>2</v>
      </c>
      <c r="E2244" t="s">
        <v>174</v>
      </c>
      <c r="F2244" t="s">
        <v>373</v>
      </c>
      <c r="G2244">
        <v>7</v>
      </c>
      <c r="H2244">
        <v>0</v>
      </c>
      <c r="I2244">
        <v>7</v>
      </c>
      <c r="J2244">
        <v>93</v>
      </c>
      <c r="K2244">
        <v>0.8</v>
      </c>
      <c r="L2244">
        <v>0.2</v>
      </c>
      <c r="M2244">
        <v>0.7</v>
      </c>
      <c r="N2244">
        <v>651</v>
      </c>
      <c r="O2244">
        <v>49</v>
      </c>
      <c r="P2244">
        <v>0</v>
      </c>
      <c r="Q2244">
        <v>7</v>
      </c>
      <c r="R2244" t="s">
        <v>226</v>
      </c>
      <c r="S2244">
        <v>0.2</v>
      </c>
      <c r="T2244">
        <v>0.21</v>
      </c>
    </row>
    <row r="2245" spans="1:21" ht="15" customHeight="1" x14ac:dyDescent="0.25">
      <c r="A2245" s="2">
        <v>45316.476388888892</v>
      </c>
      <c r="B2245" t="s">
        <v>309</v>
      </c>
      <c r="C2245" t="s">
        <v>219</v>
      </c>
      <c r="D2245">
        <v>3</v>
      </c>
      <c r="E2245" t="s">
        <v>174</v>
      </c>
      <c r="F2245" t="s">
        <v>373</v>
      </c>
      <c r="G2245">
        <v>2.750809061</v>
      </c>
      <c r="H2245">
        <v>0</v>
      </c>
      <c r="I2245">
        <v>2.750809061</v>
      </c>
      <c r="J2245">
        <v>97.249190940000005</v>
      </c>
      <c r="K2245">
        <v>0.8</v>
      </c>
      <c r="L2245">
        <v>0.2</v>
      </c>
      <c r="M2245">
        <v>0.7</v>
      </c>
      <c r="N2245">
        <v>601</v>
      </c>
      <c r="O2245">
        <v>17</v>
      </c>
      <c r="P2245">
        <v>0</v>
      </c>
      <c r="Q2245">
        <v>2.75</v>
      </c>
      <c r="R2245" t="s">
        <v>220</v>
      </c>
      <c r="S2245">
        <v>3.13</v>
      </c>
      <c r="T2245">
        <v>4.34</v>
      </c>
    </row>
    <row r="2246" spans="1:21" ht="15" customHeight="1" x14ac:dyDescent="0.25">
      <c r="A2246" s="2">
        <v>45321.003472222219</v>
      </c>
      <c r="B2246" t="s">
        <v>309</v>
      </c>
      <c r="C2246" t="s">
        <v>221</v>
      </c>
      <c r="D2246">
        <v>2</v>
      </c>
      <c r="E2246" t="s">
        <v>174</v>
      </c>
      <c r="F2246" t="s">
        <v>373</v>
      </c>
      <c r="G2246">
        <v>3.1339031340000001</v>
      </c>
      <c r="H2246">
        <v>0</v>
      </c>
      <c r="I2246">
        <v>3.1339031340000001</v>
      </c>
      <c r="J2246">
        <v>96.866096870000007</v>
      </c>
      <c r="K2246">
        <v>0.8</v>
      </c>
      <c r="L2246">
        <v>0.3</v>
      </c>
      <c r="M2246">
        <v>0.7</v>
      </c>
      <c r="N2246">
        <v>680</v>
      </c>
      <c r="O2246">
        <v>22</v>
      </c>
      <c r="P2246">
        <v>0</v>
      </c>
      <c r="Q2246">
        <v>3.13</v>
      </c>
      <c r="R2246" t="s">
        <v>220</v>
      </c>
      <c r="S2246">
        <v>0.14000000000000001</v>
      </c>
      <c r="T2246">
        <v>0.15</v>
      </c>
    </row>
    <row r="2247" spans="1:21" ht="15" customHeight="1" x14ac:dyDescent="0.25">
      <c r="A2247" t="s">
        <v>19</v>
      </c>
      <c r="B2247" t="s">
        <v>20</v>
      </c>
      <c r="C2247" t="s">
        <v>320</v>
      </c>
      <c r="D2247">
        <v>3</v>
      </c>
      <c r="E2247" t="s">
        <v>174</v>
      </c>
      <c r="F2247" t="s">
        <v>373</v>
      </c>
      <c r="G2247">
        <v>0</v>
      </c>
      <c r="H2247">
        <v>0</v>
      </c>
      <c r="I2247">
        <f>100-J2247</f>
        <v>0</v>
      </c>
      <c r="J2247">
        <f>100-G2247-H2247</f>
        <v>100</v>
      </c>
      <c r="K2247" t="s">
        <v>19</v>
      </c>
      <c r="L2247" t="s">
        <v>19</v>
      </c>
      <c r="M2247" t="s">
        <v>19</v>
      </c>
      <c r="N2247" t="s">
        <v>19</v>
      </c>
      <c r="O2247" t="s">
        <v>19</v>
      </c>
      <c r="P2247" t="s">
        <v>19</v>
      </c>
      <c r="Q2247">
        <f>I2247</f>
        <v>0</v>
      </c>
      <c r="R2247" t="s">
        <v>19</v>
      </c>
      <c r="S2247" t="s">
        <v>19</v>
      </c>
      <c r="T2247" t="s">
        <v>19</v>
      </c>
    </row>
    <row r="2248" spans="1:21" ht="15" customHeight="1" x14ac:dyDescent="0.25">
      <c r="A2248" s="2">
        <v>45323.636805555558</v>
      </c>
      <c r="B2248" t="s">
        <v>309</v>
      </c>
      <c r="C2248" t="s">
        <v>322</v>
      </c>
      <c r="D2248">
        <v>3</v>
      </c>
      <c r="E2248" t="s">
        <v>174</v>
      </c>
      <c r="F2248" t="s">
        <v>373</v>
      </c>
      <c r="G2248">
        <f>(O2248/(N2248+O2248+P2248))*100</f>
        <v>2.8089887640449436</v>
      </c>
      <c r="H2248">
        <f>(P2248/(O2248+P2248+N2248))*100</f>
        <v>0</v>
      </c>
      <c r="I2248">
        <f>((O2248+P2248)/(P2248+O2248+N2248))*100</f>
        <v>2.8089887640449436</v>
      </c>
      <c r="J2248">
        <f>(N2248/(P2248+O2248+N2248))*100</f>
        <v>97.19101123595506</v>
      </c>
      <c r="K2248">
        <v>0.8</v>
      </c>
      <c r="L2248">
        <v>0.3</v>
      </c>
      <c r="M2248">
        <v>0.7</v>
      </c>
      <c r="N2248">
        <v>692</v>
      </c>
      <c r="O2248">
        <v>20</v>
      </c>
      <c r="P2248">
        <v>0</v>
      </c>
      <c r="Q2248">
        <v>2.81</v>
      </c>
      <c r="R2248" t="s">
        <v>340</v>
      </c>
      <c r="S2248">
        <v>2.63</v>
      </c>
      <c r="T2248">
        <v>2.88</v>
      </c>
      <c r="U2248">
        <v>33</v>
      </c>
    </row>
    <row r="2249" spans="1:21" ht="15" customHeight="1" x14ac:dyDescent="0.25">
      <c r="A2249" s="2">
        <v>45323.641747685186</v>
      </c>
      <c r="B2249" t="s">
        <v>309</v>
      </c>
      <c r="C2249" t="s">
        <v>322</v>
      </c>
      <c r="D2249">
        <v>3</v>
      </c>
      <c r="E2249" t="s">
        <v>174</v>
      </c>
      <c r="F2249" t="s">
        <v>373</v>
      </c>
      <c r="G2249">
        <f>(O2249/(N2249+O2249+P2249))*100</f>
        <v>3.3519553072625698</v>
      </c>
      <c r="H2249">
        <f>(P2249/(O2249+P2249+N2249))*100</f>
        <v>0</v>
      </c>
      <c r="I2249">
        <f>((O2249+P2249)/(P2249+O2249+N2249))*100</f>
        <v>3.3519553072625698</v>
      </c>
      <c r="J2249">
        <f>(N2249/(P2249+O2249+N2249))*100</f>
        <v>96.648044692737429</v>
      </c>
      <c r="K2249">
        <v>0.7</v>
      </c>
      <c r="L2249">
        <v>0.3</v>
      </c>
      <c r="M2249">
        <v>0.7</v>
      </c>
      <c r="N2249">
        <v>692</v>
      </c>
      <c r="O2249">
        <v>24</v>
      </c>
      <c r="P2249">
        <v>0</v>
      </c>
      <c r="Q2249">
        <v>3.35</v>
      </c>
      <c r="R2249" t="s">
        <v>355</v>
      </c>
      <c r="S2249">
        <v>2.63</v>
      </c>
      <c r="T2249">
        <v>2.88</v>
      </c>
      <c r="U2249">
        <v>29</v>
      </c>
    </row>
    <row r="2250" spans="1:21" ht="15" customHeight="1" x14ac:dyDescent="0.25">
      <c r="A2250" s="2">
        <v>45325.197604166664</v>
      </c>
      <c r="B2250" t="s">
        <v>309</v>
      </c>
      <c r="C2250" t="s">
        <v>368</v>
      </c>
      <c r="D2250">
        <v>2</v>
      </c>
      <c r="E2250" t="s">
        <v>174</v>
      </c>
      <c r="F2250" t="s">
        <v>373</v>
      </c>
      <c r="G2250">
        <f>(O2250/(N2250+O2250+P2250))*100</f>
        <v>3.1609195402298855</v>
      </c>
      <c r="H2250">
        <f>(P2250/(O2250+P2250+N2250))*100</f>
        <v>0</v>
      </c>
      <c r="I2250">
        <v>3.16</v>
      </c>
      <c r="J2250">
        <f>(N2250/(P2250+O2250+N2250))*100</f>
        <v>96.839080459770116</v>
      </c>
      <c r="K2250">
        <v>0.8</v>
      </c>
      <c r="L2250">
        <v>0.3</v>
      </c>
      <c r="M2250">
        <v>0.7</v>
      </c>
      <c r="N2250">
        <v>674</v>
      </c>
      <c r="O2250">
        <v>22</v>
      </c>
      <c r="P2250">
        <v>0</v>
      </c>
      <c r="Q2250">
        <v>3.16</v>
      </c>
      <c r="R2250" t="s">
        <v>268</v>
      </c>
      <c r="S2250">
        <v>0.14000000000000001</v>
      </c>
      <c r="T2250">
        <v>0.15</v>
      </c>
    </row>
    <row r="2251" spans="1:21" ht="15" customHeight="1" x14ac:dyDescent="0.25">
      <c r="A2251" t="s">
        <v>19</v>
      </c>
      <c r="B2251" t="s">
        <v>20</v>
      </c>
      <c r="C2251" t="s">
        <v>306</v>
      </c>
      <c r="D2251">
        <v>3</v>
      </c>
      <c r="E2251" t="s">
        <v>175</v>
      </c>
      <c r="F2251" t="s">
        <v>373</v>
      </c>
      <c r="G2251">
        <v>71</v>
      </c>
      <c r="H2251">
        <v>1</v>
      </c>
      <c r="I2251">
        <f>G2251+H2251</f>
        <v>72</v>
      </c>
      <c r="J2251">
        <f>100-G2251-H2251</f>
        <v>28</v>
      </c>
      <c r="K2251" t="s">
        <v>19</v>
      </c>
      <c r="L2251" t="s">
        <v>19</v>
      </c>
      <c r="M2251" t="s">
        <v>19</v>
      </c>
      <c r="N2251" t="s">
        <v>19</v>
      </c>
      <c r="O2251" t="s">
        <v>19</v>
      </c>
      <c r="P2251" t="s">
        <v>19</v>
      </c>
      <c r="Q2251">
        <f>I2251</f>
        <v>72</v>
      </c>
      <c r="R2251" t="s">
        <v>19</v>
      </c>
      <c r="S2251" t="s">
        <v>19</v>
      </c>
      <c r="T2251" t="s">
        <v>19</v>
      </c>
    </row>
    <row r="2252" spans="1:21" ht="15" customHeight="1" x14ac:dyDescent="0.25">
      <c r="A2252" t="s">
        <v>19</v>
      </c>
      <c r="B2252" t="s">
        <v>20</v>
      </c>
      <c r="C2252" t="s">
        <v>308</v>
      </c>
      <c r="D2252">
        <v>3</v>
      </c>
      <c r="E2252" t="s">
        <v>175</v>
      </c>
      <c r="F2252" t="s">
        <v>373</v>
      </c>
      <c r="G2252">
        <v>49</v>
      </c>
      <c r="H2252">
        <v>1</v>
      </c>
      <c r="I2252">
        <f>G2252+H2252</f>
        <v>50</v>
      </c>
      <c r="J2252">
        <f>100-G2252-H2252</f>
        <v>50</v>
      </c>
      <c r="K2252" t="s">
        <v>19</v>
      </c>
      <c r="L2252" t="s">
        <v>19</v>
      </c>
      <c r="M2252" t="s">
        <v>19</v>
      </c>
      <c r="N2252" t="s">
        <v>19</v>
      </c>
      <c r="O2252" t="s">
        <v>19</v>
      </c>
      <c r="P2252" t="s">
        <v>19</v>
      </c>
      <c r="Q2252">
        <f>I2252</f>
        <v>50</v>
      </c>
      <c r="R2252" t="s">
        <v>19</v>
      </c>
      <c r="S2252" t="s">
        <v>19</v>
      </c>
      <c r="T2252" t="s">
        <v>19</v>
      </c>
    </row>
    <row r="2253" spans="1:21" ht="15" customHeight="1" x14ac:dyDescent="0.25">
      <c r="A2253" t="s">
        <v>19</v>
      </c>
      <c r="B2253" t="s">
        <v>20</v>
      </c>
      <c r="C2253" t="s">
        <v>22</v>
      </c>
      <c r="D2253">
        <v>3</v>
      </c>
      <c r="E2253" t="s">
        <v>175</v>
      </c>
      <c r="F2253" t="s">
        <v>373</v>
      </c>
      <c r="G2253">
        <v>50</v>
      </c>
      <c r="H2253">
        <v>0</v>
      </c>
      <c r="I2253">
        <f>G2253+H2253</f>
        <v>50</v>
      </c>
      <c r="J2253">
        <f>100-G2253-H2253</f>
        <v>50</v>
      </c>
      <c r="K2253" t="s">
        <v>19</v>
      </c>
      <c r="L2253" t="s">
        <v>19</v>
      </c>
      <c r="M2253" t="s">
        <v>19</v>
      </c>
      <c r="N2253" t="s">
        <v>19</v>
      </c>
      <c r="O2253" t="s">
        <v>19</v>
      </c>
      <c r="P2253" t="s">
        <v>19</v>
      </c>
      <c r="Q2253">
        <f>I2253</f>
        <v>50</v>
      </c>
      <c r="R2253" t="s">
        <v>19</v>
      </c>
      <c r="S2253" t="s">
        <v>19</v>
      </c>
      <c r="T2253" t="s">
        <v>19</v>
      </c>
    </row>
    <row r="2254" spans="1:21" ht="15" customHeight="1" x14ac:dyDescent="0.25">
      <c r="A2254" t="s">
        <v>19</v>
      </c>
      <c r="B2254" t="s">
        <v>20</v>
      </c>
      <c r="C2254" t="s">
        <v>305</v>
      </c>
      <c r="D2254">
        <v>3</v>
      </c>
      <c r="E2254" t="s">
        <v>175</v>
      </c>
      <c r="F2254" t="s">
        <v>373</v>
      </c>
      <c r="G2254">
        <v>40</v>
      </c>
      <c r="H2254">
        <v>0</v>
      </c>
      <c r="I2254">
        <f>G2254+H2254</f>
        <v>40</v>
      </c>
      <c r="J2254">
        <f>100-G2254-H2254</f>
        <v>60</v>
      </c>
      <c r="K2254" t="s">
        <v>19</v>
      </c>
      <c r="L2254" t="s">
        <v>19</v>
      </c>
      <c r="M2254" t="s">
        <v>19</v>
      </c>
      <c r="N2254" t="s">
        <v>19</v>
      </c>
      <c r="O2254" t="s">
        <v>19</v>
      </c>
      <c r="P2254" t="s">
        <v>19</v>
      </c>
      <c r="Q2254">
        <f>I2254</f>
        <v>40</v>
      </c>
      <c r="R2254" t="s">
        <v>19</v>
      </c>
      <c r="S2254" t="s">
        <v>19</v>
      </c>
      <c r="T2254" t="s">
        <v>19</v>
      </c>
    </row>
    <row r="2255" spans="1:21" ht="15" customHeight="1" x14ac:dyDescent="0.25">
      <c r="A2255" t="s">
        <v>19</v>
      </c>
      <c r="B2255" t="s">
        <v>20</v>
      </c>
      <c r="C2255" t="s">
        <v>307</v>
      </c>
      <c r="D2255">
        <v>3</v>
      </c>
      <c r="E2255" t="s">
        <v>175</v>
      </c>
      <c r="F2255" t="s">
        <v>373</v>
      </c>
      <c r="G2255">
        <v>15</v>
      </c>
      <c r="H2255">
        <v>0</v>
      </c>
      <c r="I2255">
        <f>G2255+H2255</f>
        <v>15</v>
      </c>
      <c r="J2255">
        <f>100-G2255-H2255</f>
        <v>85</v>
      </c>
      <c r="K2255" t="s">
        <v>19</v>
      </c>
      <c r="L2255" t="s">
        <v>19</v>
      </c>
      <c r="M2255" t="s">
        <v>19</v>
      </c>
      <c r="N2255" t="s">
        <v>19</v>
      </c>
      <c r="O2255" t="s">
        <v>19</v>
      </c>
      <c r="P2255" t="s">
        <v>19</v>
      </c>
      <c r="Q2255">
        <f>I2255</f>
        <v>15</v>
      </c>
      <c r="R2255" t="s">
        <v>19</v>
      </c>
      <c r="S2255" t="s">
        <v>19</v>
      </c>
      <c r="T2255" t="s">
        <v>19</v>
      </c>
    </row>
    <row r="2256" spans="1:21" ht="15" customHeight="1" x14ac:dyDescent="0.25">
      <c r="A2256" s="2">
        <v>45253.787499999999</v>
      </c>
      <c r="B2256" t="s">
        <v>309</v>
      </c>
      <c r="C2256" t="s">
        <v>213</v>
      </c>
      <c r="D2256">
        <v>3</v>
      </c>
      <c r="E2256" t="s">
        <v>175</v>
      </c>
      <c r="F2256" t="s">
        <v>373</v>
      </c>
      <c r="G2256">
        <v>93.064516130000001</v>
      </c>
      <c r="H2256">
        <v>0</v>
      </c>
      <c r="I2256">
        <v>93.064516130000001</v>
      </c>
      <c r="J2256">
        <v>6.9354838709999997</v>
      </c>
      <c r="K2256">
        <v>0.8</v>
      </c>
      <c r="L2256">
        <v>0.2</v>
      </c>
      <c r="M2256">
        <v>0.7</v>
      </c>
      <c r="N2256">
        <v>43</v>
      </c>
      <c r="O2256">
        <v>577</v>
      </c>
      <c r="P2256">
        <v>0</v>
      </c>
      <c r="Q2256">
        <v>93.06</v>
      </c>
      <c r="R2256" t="s">
        <v>260</v>
      </c>
      <c r="S2256">
        <v>3.55</v>
      </c>
      <c r="T2256">
        <v>4.63</v>
      </c>
    </row>
    <row r="2257" spans="1:21" ht="15" customHeight="1" x14ac:dyDescent="0.25">
      <c r="A2257" s="2">
        <v>45253.965277777781</v>
      </c>
      <c r="B2257" t="s">
        <v>309</v>
      </c>
      <c r="C2257" t="s">
        <v>215</v>
      </c>
      <c r="D2257">
        <v>2</v>
      </c>
      <c r="E2257" t="s">
        <v>175</v>
      </c>
      <c r="F2257" t="s">
        <v>373</v>
      </c>
      <c r="G2257">
        <v>14.309484189999999</v>
      </c>
      <c r="H2257">
        <v>0</v>
      </c>
      <c r="I2257">
        <v>14.309484189999999</v>
      </c>
      <c r="J2257">
        <v>85.690515809999994</v>
      </c>
      <c r="K2257">
        <v>0.8</v>
      </c>
      <c r="L2257">
        <v>0.2</v>
      </c>
      <c r="M2257">
        <v>0.7</v>
      </c>
      <c r="N2257">
        <v>515</v>
      </c>
      <c r="O2257">
        <v>86</v>
      </c>
      <c r="P2257">
        <v>0</v>
      </c>
      <c r="Q2257">
        <v>14.31</v>
      </c>
      <c r="R2257" t="s">
        <v>216</v>
      </c>
      <c r="S2257">
        <v>0.43</v>
      </c>
      <c r="T2257">
        <v>0.46</v>
      </c>
    </row>
    <row r="2258" spans="1:21" ht="15" customHeight="1" x14ac:dyDescent="0.25">
      <c r="A2258" s="2">
        <v>45254.142361111109</v>
      </c>
      <c r="B2258" t="s">
        <v>309</v>
      </c>
      <c r="C2258" t="s">
        <v>217</v>
      </c>
      <c r="D2258">
        <v>2</v>
      </c>
      <c r="E2258" t="s">
        <v>175</v>
      </c>
      <c r="F2258" t="s">
        <v>373</v>
      </c>
      <c r="G2258">
        <v>21.221864950000001</v>
      </c>
      <c r="H2258">
        <v>0</v>
      </c>
      <c r="I2258">
        <v>21.221864950000001</v>
      </c>
      <c r="J2258">
        <v>78.778135050000003</v>
      </c>
      <c r="K2258">
        <v>0.8</v>
      </c>
      <c r="L2258">
        <v>0.2</v>
      </c>
      <c r="M2258">
        <v>0.7</v>
      </c>
      <c r="N2258">
        <v>490</v>
      </c>
      <c r="O2258">
        <v>132</v>
      </c>
      <c r="P2258">
        <v>0</v>
      </c>
      <c r="Q2258">
        <v>21.22</v>
      </c>
      <c r="R2258" t="s">
        <v>218</v>
      </c>
      <c r="S2258">
        <v>0.61</v>
      </c>
      <c r="T2258">
        <v>0.65</v>
      </c>
    </row>
    <row r="2259" spans="1:21" ht="15" customHeight="1" x14ac:dyDescent="0.25">
      <c r="A2259" s="2">
        <v>45316.477777777778</v>
      </c>
      <c r="B2259" t="s">
        <v>309</v>
      </c>
      <c r="C2259" t="s">
        <v>219</v>
      </c>
      <c r="D2259">
        <v>3</v>
      </c>
      <c r="E2259" t="s">
        <v>175</v>
      </c>
      <c r="F2259" t="s">
        <v>373</v>
      </c>
      <c r="G2259">
        <v>92.906574390000003</v>
      </c>
      <c r="H2259">
        <v>0</v>
      </c>
      <c r="I2259">
        <v>92.906574390000003</v>
      </c>
      <c r="J2259">
        <v>7.0934256060000003</v>
      </c>
      <c r="K2259">
        <v>0.8</v>
      </c>
      <c r="L2259">
        <v>0.2</v>
      </c>
      <c r="M2259">
        <v>0.7</v>
      </c>
      <c r="N2259">
        <v>41</v>
      </c>
      <c r="O2259">
        <v>537</v>
      </c>
      <c r="P2259">
        <v>0</v>
      </c>
      <c r="Q2259">
        <v>92.91</v>
      </c>
      <c r="R2259" t="s">
        <v>227</v>
      </c>
      <c r="S2259">
        <v>3.43</v>
      </c>
      <c r="T2259">
        <v>4.95</v>
      </c>
    </row>
    <row r="2260" spans="1:21" ht="15" customHeight="1" x14ac:dyDescent="0.25">
      <c r="A2260" s="2">
        <v>45321.004166666666</v>
      </c>
      <c r="B2260" t="s">
        <v>309</v>
      </c>
      <c r="C2260" t="s">
        <v>221</v>
      </c>
      <c r="D2260">
        <v>2</v>
      </c>
      <c r="E2260" t="s">
        <v>175</v>
      </c>
      <c r="F2260" t="s">
        <v>373</v>
      </c>
      <c r="G2260">
        <v>92.696629209999998</v>
      </c>
      <c r="H2260">
        <v>0</v>
      </c>
      <c r="I2260">
        <v>92.696629209999998</v>
      </c>
      <c r="J2260">
        <v>7.3033707870000004</v>
      </c>
      <c r="K2260">
        <v>0.8</v>
      </c>
      <c r="L2260">
        <v>0.3</v>
      </c>
      <c r="M2260">
        <v>0.7</v>
      </c>
      <c r="N2260">
        <v>39</v>
      </c>
      <c r="O2260">
        <v>495</v>
      </c>
      <c r="P2260">
        <v>0</v>
      </c>
      <c r="Q2260">
        <v>92.7</v>
      </c>
      <c r="R2260" t="s">
        <v>242</v>
      </c>
      <c r="S2260">
        <v>2.5</v>
      </c>
      <c r="T2260">
        <v>2.59</v>
      </c>
    </row>
    <row r="2261" spans="1:21" ht="15" customHeight="1" x14ac:dyDescent="0.25">
      <c r="A2261" t="s">
        <v>19</v>
      </c>
      <c r="B2261" t="s">
        <v>20</v>
      </c>
      <c r="C2261" t="s">
        <v>320</v>
      </c>
      <c r="D2261">
        <v>3</v>
      </c>
      <c r="E2261" t="s">
        <v>175</v>
      </c>
      <c r="F2261" t="s">
        <v>373</v>
      </c>
      <c r="G2261">
        <v>0</v>
      </c>
      <c r="H2261">
        <v>0</v>
      </c>
      <c r="I2261">
        <f>100-J2261</f>
        <v>0</v>
      </c>
      <c r="J2261">
        <f>100-G2261-H2261</f>
        <v>100</v>
      </c>
      <c r="K2261" t="s">
        <v>19</v>
      </c>
      <c r="L2261" t="s">
        <v>19</v>
      </c>
      <c r="M2261" t="s">
        <v>19</v>
      </c>
      <c r="N2261" t="s">
        <v>19</v>
      </c>
      <c r="O2261" t="s">
        <v>19</v>
      </c>
      <c r="P2261" t="s">
        <v>19</v>
      </c>
      <c r="Q2261">
        <f>I2261</f>
        <v>0</v>
      </c>
      <c r="R2261" t="s">
        <v>19</v>
      </c>
      <c r="S2261" t="s">
        <v>19</v>
      </c>
      <c r="T2261" t="s">
        <v>19</v>
      </c>
    </row>
    <row r="2262" spans="1:21" ht="15" customHeight="1" x14ac:dyDescent="0.25">
      <c r="A2262" s="2">
        <v>45323.638541666667</v>
      </c>
      <c r="B2262" t="s">
        <v>309</v>
      </c>
      <c r="C2262" t="s">
        <v>322</v>
      </c>
      <c r="D2262">
        <v>3</v>
      </c>
      <c r="E2262" t="s">
        <v>175</v>
      </c>
      <c r="F2262" t="s">
        <v>373</v>
      </c>
      <c r="G2262">
        <f>(O2262/(N2262+O2262+P2262))*100</f>
        <v>97.024793388429757</v>
      </c>
      <c r="H2262">
        <f>(P2262/(O2262+P2262+N2262))*100</f>
        <v>0</v>
      </c>
      <c r="I2262">
        <f>((O2262+P2262)/(P2262+O2262+N2262))*100</f>
        <v>97.024793388429757</v>
      </c>
      <c r="J2262">
        <f>(N2262/(P2262+O2262+N2262))*100</f>
        <v>2.9752066115702478</v>
      </c>
      <c r="K2262">
        <v>0.8</v>
      </c>
      <c r="L2262">
        <v>0.3</v>
      </c>
      <c r="M2262">
        <v>0.7</v>
      </c>
      <c r="N2262">
        <v>18</v>
      </c>
      <c r="O2262">
        <v>587</v>
      </c>
      <c r="P2262">
        <v>0</v>
      </c>
      <c r="Q2262">
        <v>97.02</v>
      </c>
      <c r="R2262" t="s">
        <v>240</v>
      </c>
      <c r="S2262">
        <v>3.29</v>
      </c>
      <c r="T2262">
        <v>3.88</v>
      </c>
      <c r="U2262">
        <v>35</v>
      </c>
    </row>
    <row r="2263" spans="1:21" ht="15" customHeight="1" x14ac:dyDescent="0.25">
      <c r="A2263" s="2">
        <v>45323.643518518518</v>
      </c>
      <c r="B2263" t="s">
        <v>309</v>
      </c>
      <c r="C2263" t="s">
        <v>322</v>
      </c>
      <c r="D2263">
        <v>3</v>
      </c>
      <c r="E2263" t="s">
        <v>175</v>
      </c>
      <c r="F2263" t="s">
        <v>373</v>
      </c>
      <c r="G2263">
        <f>(O2263/(N2263+O2263+P2263))*100</f>
        <v>97.082658022690438</v>
      </c>
      <c r="H2263">
        <f>(P2263/(O2263+P2263+N2263))*100</f>
        <v>0</v>
      </c>
      <c r="I2263">
        <f>((O2263+P2263)/(P2263+O2263+N2263))*100</f>
        <v>97.082658022690438</v>
      </c>
      <c r="J2263">
        <f>(N2263/(P2263+O2263+N2263))*100</f>
        <v>2.9173419773095626</v>
      </c>
      <c r="K2263">
        <v>0.7</v>
      </c>
      <c r="L2263">
        <v>0.3</v>
      </c>
      <c r="M2263">
        <v>0.7</v>
      </c>
      <c r="N2263">
        <v>18</v>
      </c>
      <c r="O2263">
        <v>599</v>
      </c>
      <c r="P2263">
        <v>0</v>
      </c>
      <c r="Q2263">
        <v>97.08</v>
      </c>
      <c r="R2263" t="s">
        <v>214</v>
      </c>
      <c r="S2263">
        <v>3.29</v>
      </c>
      <c r="T2263">
        <v>3.88</v>
      </c>
      <c r="U2263">
        <v>23</v>
      </c>
    </row>
    <row r="2264" spans="1:21" ht="15" customHeight="1" x14ac:dyDescent="0.25">
      <c r="A2264" s="2">
        <v>45325.198923611111</v>
      </c>
      <c r="B2264" t="s">
        <v>309</v>
      </c>
      <c r="C2264" t="s">
        <v>368</v>
      </c>
      <c r="D2264">
        <v>2</v>
      </c>
      <c r="E2264" t="s">
        <v>175</v>
      </c>
      <c r="F2264" t="s">
        <v>373</v>
      </c>
      <c r="G2264">
        <f>(O2264/(N2264+O2264+P2264))*100</f>
        <v>66.355140186915889</v>
      </c>
      <c r="H2264">
        <f>(P2264/(O2264+P2264+N2264))*100</f>
        <v>0</v>
      </c>
      <c r="I2264">
        <v>66.36</v>
      </c>
      <c r="J2264">
        <f>(N2264/(P2264+O2264+N2264))*100</f>
        <v>33.644859813084111</v>
      </c>
      <c r="K2264">
        <v>0.8</v>
      </c>
      <c r="L2264">
        <v>0.3</v>
      </c>
      <c r="M2264">
        <v>0.7</v>
      </c>
      <c r="N2264">
        <v>180</v>
      </c>
      <c r="O2264">
        <v>355</v>
      </c>
      <c r="P2264">
        <v>0</v>
      </c>
      <c r="Q2264">
        <v>66.36</v>
      </c>
      <c r="R2264" t="s">
        <v>214</v>
      </c>
      <c r="S2264">
        <v>1.67</v>
      </c>
      <c r="T2264">
        <v>1.73</v>
      </c>
    </row>
    <row r="2265" spans="1:21" ht="15" customHeight="1" x14ac:dyDescent="0.25">
      <c r="A2265" t="s">
        <v>19</v>
      </c>
      <c r="B2265" t="s">
        <v>20</v>
      </c>
      <c r="C2265" t="s">
        <v>308</v>
      </c>
      <c r="D2265">
        <v>3</v>
      </c>
      <c r="E2265" t="s">
        <v>176</v>
      </c>
      <c r="F2265" t="s">
        <v>388</v>
      </c>
      <c r="G2265">
        <v>2</v>
      </c>
      <c r="H2265">
        <v>98</v>
      </c>
      <c r="I2265">
        <f>G2265+H2265</f>
        <v>100</v>
      </c>
      <c r="J2265">
        <f>100-G2265-H2265</f>
        <v>0</v>
      </c>
      <c r="K2265" t="s">
        <v>19</v>
      </c>
      <c r="L2265" t="s">
        <v>19</v>
      </c>
      <c r="M2265" t="s">
        <v>19</v>
      </c>
      <c r="N2265" t="s">
        <v>19</v>
      </c>
      <c r="O2265" t="s">
        <v>19</v>
      </c>
      <c r="P2265" t="s">
        <v>19</v>
      </c>
      <c r="Q2265">
        <f>I2265</f>
        <v>100</v>
      </c>
      <c r="R2265" t="s">
        <v>19</v>
      </c>
      <c r="S2265" t="s">
        <v>19</v>
      </c>
      <c r="T2265" t="s">
        <v>19</v>
      </c>
    </row>
    <row r="2266" spans="1:21" ht="15" customHeight="1" x14ac:dyDescent="0.25">
      <c r="A2266" t="s">
        <v>19</v>
      </c>
      <c r="B2266" t="s">
        <v>20</v>
      </c>
      <c r="C2266" t="s">
        <v>22</v>
      </c>
      <c r="D2266">
        <v>3</v>
      </c>
      <c r="E2266" t="s">
        <v>176</v>
      </c>
      <c r="F2266" t="s">
        <v>388</v>
      </c>
      <c r="G2266">
        <v>0</v>
      </c>
      <c r="H2266">
        <v>100</v>
      </c>
      <c r="I2266">
        <f>G2266+H2266</f>
        <v>100</v>
      </c>
      <c r="J2266">
        <f>100-G2266-H2266</f>
        <v>0</v>
      </c>
      <c r="K2266" t="s">
        <v>19</v>
      </c>
      <c r="L2266" t="s">
        <v>19</v>
      </c>
      <c r="M2266" t="s">
        <v>19</v>
      </c>
      <c r="N2266" t="s">
        <v>19</v>
      </c>
      <c r="O2266" t="s">
        <v>19</v>
      </c>
      <c r="P2266" t="s">
        <v>19</v>
      </c>
      <c r="Q2266">
        <f>I2266</f>
        <v>100</v>
      </c>
      <c r="R2266" t="s">
        <v>19</v>
      </c>
      <c r="S2266" t="s">
        <v>19</v>
      </c>
      <c r="T2266" t="s">
        <v>19</v>
      </c>
    </row>
    <row r="2267" spans="1:21" ht="15" customHeight="1" x14ac:dyDescent="0.25">
      <c r="A2267" t="s">
        <v>19</v>
      </c>
      <c r="B2267" t="s">
        <v>20</v>
      </c>
      <c r="C2267" t="s">
        <v>305</v>
      </c>
      <c r="D2267">
        <v>3</v>
      </c>
      <c r="E2267" t="s">
        <v>176</v>
      </c>
      <c r="F2267" t="s">
        <v>388</v>
      </c>
      <c r="G2267">
        <v>48</v>
      </c>
      <c r="H2267">
        <v>50</v>
      </c>
      <c r="I2267">
        <f>G2267+H2267</f>
        <v>98</v>
      </c>
      <c r="J2267">
        <f>100-G2267-H2267</f>
        <v>2</v>
      </c>
      <c r="K2267" t="s">
        <v>19</v>
      </c>
      <c r="L2267" t="s">
        <v>19</v>
      </c>
      <c r="M2267" t="s">
        <v>19</v>
      </c>
      <c r="N2267" t="s">
        <v>19</v>
      </c>
      <c r="O2267" t="s">
        <v>19</v>
      </c>
      <c r="P2267" t="s">
        <v>19</v>
      </c>
      <c r="Q2267">
        <f>I2267</f>
        <v>98</v>
      </c>
      <c r="R2267" t="s">
        <v>19</v>
      </c>
      <c r="S2267" t="s">
        <v>19</v>
      </c>
      <c r="T2267" t="s">
        <v>19</v>
      </c>
    </row>
    <row r="2268" spans="1:21" ht="15" customHeight="1" x14ac:dyDescent="0.25">
      <c r="A2268" t="s">
        <v>19</v>
      </c>
      <c r="B2268" t="s">
        <v>20</v>
      </c>
      <c r="C2268" t="s">
        <v>307</v>
      </c>
      <c r="D2268">
        <v>3</v>
      </c>
      <c r="E2268" t="s">
        <v>176</v>
      </c>
      <c r="F2268" t="s">
        <v>388</v>
      </c>
      <c r="G2268">
        <v>45</v>
      </c>
      <c r="H2268">
        <v>45</v>
      </c>
      <c r="I2268">
        <f>G2268+H2268</f>
        <v>90</v>
      </c>
      <c r="J2268">
        <f>100-G2268-H2268</f>
        <v>10</v>
      </c>
      <c r="K2268" t="s">
        <v>19</v>
      </c>
      <c r="L2268" t="s">
        <v>19</v>
      </c>
      <c r="M2268" t="s">
        <v>19</v>
      </c>
      <c r="N2268" t="s">
        <v>19</v>
      </c>
      <c r="O2268" t="s">
        <v>19</v>
      </c>
      <c r="P2268" t="s">
        <v>19</v>
      </c>
      <c r="Q2268">
        <f>I2268</f>
        <v>90</v>
      </c>
      <c r="R2268" t="s">
        <v>19</v>
      </c>
      <c r="S2268" t="s">
        <v>19</v>
      </c>
      <c r="T2268" t="s">
        <v>19</v>
      </c>
    </row>
    <row r="2269" spans="1:21" ht="15" customHeight="1" x14ac:dyDescent="0.25">
      <c r="A2269" s="2">
        <v>45253.62777777778</v>
      </c>
      <c r="B2269" t="s">
        <v>309</v>
      </c>
      <c r="C2269" t="s">
        <v>213</v>
      </c>
      <c r="D2269">
        <v>3</v>
      </c>
      <c r="E2269" t="s">
        <v>176</v>
      </c>
      <c r="F2269" t="s">
        <v>388</v>
      </c>
      <c r="G2269">
        <v>0</v>
      </c>
      <c r="H2269">
        <v>97.720797719999993</v>
      </c>
      <c r="I2269">
        <v>97.720797719999993</v>
      </c>
      <c r="J2269">
        <v>2.2792022790000002</v>
      </c>
      <c r="K2269">
        <v>0.8</v>
      </c>
      <c r="L2269">
        <v>0.2</v>
      </c>
      <c r="M2269">
        <v>0.7</v>
      </c>
      <c r="N2269">
        <v>16</v>
      </c>
      <c r="O2269">
        <v>0</v>
      </c>
      <c r="P2269">
        <v>686</v>
      </c>
      <c r="Q2269">
        <v>97.72</v>
      </c>
      <c r="R2269" t="s">
        <v>289</v>
      </c>
      <c r="S2269">
        <v>2.98</v>
      </c>
      <c r="T2269">
        <v>4.42</v>
      </c>
    </row>
    <row r="2270" spans="1:21" ht="15" customHeight="1" x14ac:dyDescent="0.25">
      <c r="A2270" s="2">
        <v>45253.880555555559</v>
      </c>
      <c r="B2270" t="s">
        <v>309</v>
      </c>
      <c r="C2270" t="s">
        <v>215</v>
      </c>
      <c r="D2270">
        <v>2</v>
      </c>
      <c r="E2270" t="s">
        <v>176</v>
      </c>
      <c r="F2270" t="s">
        <v>388</v>
      </c>
      <c r="G2270">
        <v>9.692307692</v>
      </c>
      <c r="H2270">
        <v>0</v>
      </c>
      <c r="I2270">
        <v>9.692307692</v>
      </c>
      <c r="J2270">
        <v>90.307692309999993</v>
      </c>
      <c r="K2270">
        <v>0.8</v>
      </c>
      <c r="L2270">
        <v>0.2</v>
      </c>
      <c r="M2270">
        <v>0.7</v>
      </c>
      <c r="N2270">
        <v>587</v>
      </c>
      <c r="O2270">
        <v>63</v>
      </c>
      <c r="P2270">
        <v>0</v>
      </c>
      <c r="Q2270">
        <v>9.69</v>
      </c>
      <c r="R2270" t="s">
        <v>224</v>
      </c>
      <c r="S2270">
        <v>0.33</v>
      </c>
      <c r="T2270">
        <v>0.37</v>
      </c>
    </row>
    <row r="2271" spans="1:21" ht="15" customHeight="1" x14ac:dyDescent="0.25">
      <c r="A2271" s="2">
        <v>45254.051388888889</v>
      </c>
      <c r="B2271" t="s">
        <v>309</v>
      </c>
      <c r="C2271" t="s">
        <v>217</v>
      </c>
      <c r="D2271">
        <v>2</v>
      </c>
      <c r="E2271" t="s">
        <v>176</v>
      </c>
      <c r="F2271" t="s">
        <v>388</v>
      </c>
      <c r="G2271">
        <v>13.42383107</v>
      </c>
      <c r="H2271">
        <v>0</v>
      </c>
      <c r="I2271">
        <v>13.42383107</v>
      </c>
      <c r="J2271">
        <v>86.576168929999994</v>
      </c>
      <c r="K2271">
        <v>0.8</v>
      </c>
      <c r="L2271">
        <v>0.2</v>
      </c>
      <c r="M2271">
        <v>0.7</v>
      </c>
      <c r="N2271">
        <v>574</v>
      </c>
      <c r="O2271">
        <v>89</v>
      </c>
      <c r="P2271">
        <v>0</v>
      </c>
      <c r="Q2271">
        <v>13.42</v>
      </c>
      <c r="R2271" t="s">
        <v>218</v>
      </c>
      <c r="S2271">
        <v>0.44</v>
      </c>
      <c r="T2271">
        <v>0.49</v>
      </c>
    </row>
    <row r="2272" spans="1:21" ht="15" customHeight="1" x14ac:dyDescent="0.25">
      <c r="A2272" s="2">
        <v>45316.560416666667</v>
      </c>
      <c r="B2272" t="s">
        <v>309</v>
      </c>
      <c r="C2272" t="s">
        <v>219</v>
      </c>
      <c r="D2272">
        <v>3</v>
      </c>
      <c r="E2272" t="s">
        <v>176</v>
      </c>
      <c r="F2272" t="s">
        <v>388</v>
      </c>
      <c r="G2272">
        <v>0</v>
      </c>
      <c r="H2272">
        <v>96.681096679999996</v>
      </c>
      <c r="I2272">
        <v>96.681096679999996</v>
      </c>
      <c r="J2272">
        <v>3.3189033189999999</v>
      </c>
      <c r="K2272">
        <v>0.8</v>
      </c>
      <c r="L2272">
        <v>0.2</v>
      </c>
      <c r="M2272">
        <v>0.7</v>
      </c>
      <c r="N2272">
        <v>23</v>
      </c>
      <c r="O2272">
        <v>0</v>
      </c>
      <c r="P2272">
        <v>670</v>
      </c>
      <c r="Q2272">
        <v>96.68</v>
      </c>
      <c r="R2272" t="s">
        <v>231</v>
      </c>
      <c r="S2272">
        <v>3.11</v>
      </c>
      <c r="T2272">
        <v>4.43</v>
      </c>
    </row>
    <row r="2273" spans="1:21" ht="15" customHeight="1" x14ac:dyDescent="0.25">
      <c r="A2273" s="2">
        <v>45320.905555555553</v>
      </c>
      <c r="B2273" t="s">
        <v>309</v>
      </c>
      <c r="C2273" t="s">
        <v>221</v>
      </c>
      <c r="D2273">
        <v>2</v>
      </c>
      <c r="E2273" t="s">
        <v>176</v>
      </c>
      <c r="F2273" t="s">
        <v>388</v>
      </c>
      <c r="G2273">
        <v>99.855072460000002</v>
      </c>
      <c r="H2273">
        <v>0</v>
      </c>
      <c r="I2273">
        <v>99.855072460000002</v>
      </c>
      <c r="J2273">
        <v>0.144927536</v>
      </c>
      <c r="K2273">
        <v>0.8</v>
      </c>
      <c r="L2273">
        <v>0.3</v>
      </c>
      <c r="M2273">
        <v>0.7</v>
      </c>
      <c r="N2273">
        <v>1</v>
      </c>
      <c r="O2273">
        <v>689</v>
      </c>
      <c r="P2273">
        <v>0</v>
      </c>
      <c r="Q2273">
        <v>99.86</v>
      </c>
      <c r="R2273" t="s">
        <v>244</v>
      </c>
      <c r="S2273">
        <v>2.58</v>
      </c>
      <c r="T2273">
        <v>2.68</v>
      </c>
    </row>
    <row r="2274" spans="1:21" ht="15" customHeight="1" x14ac:dyDescent="0.25">
      <c r="A2274" t="s">
        <v>19</v>
      </c>
      <c r="B2274" t="s">
        <v>20</v>
      </c>
      <c r="C2274" t="s">
        <v>306</v>
      </c>
      <c r="D2274">
        <v>3</v>
      </c>
      <c r="E2274" t="s">
        <v>176</v>
      </c>
      <c r="F2274" t="s">
        <v>388</v>
      </c>
      <c r="G2274">
        <v>2</v>
      </c>
      <c r="H2274">
        <v>98</v>
      </c>
      <c r="I2274">
        <f>G2274+H2274</f>
        <v>100</v>
      </c>
      <c r="J2274">
        <f>100-G2274-H2274</f>
        <v>0</v>
      </c>
      <c r="K2274" t="s">
        <v>19</v>
      </c>
      <c r="L2274" t="s">
        <v>19</v>
      </c>
      <c r="M2274" t="s">
        <v>19</v>
      </c>
      <c r="N2274" t="s">
        <v>19</v>
      </c>
      <c r="O2274" t="s">
        <v>19</v>
      </c>
      <c r="P2274" t="s">
        <v>19</v>
      </c>
      <c r="Q2274">
        <f>I2274</f>
        <v>100</v>
      </c>
      <c r="R2274" t="s">
        <v>19</v>
      </c>
      <c r="S2274" t="s">
        <v>19</v>
      </c>
      <c r="T2274" t="s">
        <v>19</v>
      </c>
    </row>
    <row r="2275" spans="1:21" ht="15" customHeight="1" x14ac:dyDescent="0.25">
      <c r="A2275" t="s">
        <v>19</v>
      </c>
      <c r="B2275" t="s">
        <v>20</v>
      </c>
      <c r="C2275" t="s">
        <v>320</v>
      </c>
      <c r="D2275">
        <v>3</v>
      </c>
      <c r="E2275" t="s">
        <v>176</v>
      </c>
      <c r="F2275" t="s">
        <v>388</v>
      </c>
      <c r="G2275">
        <v>0</v>
      </c>
      <c r="H2275">
        <v>100</v>
      </c>
      <c r="I2275">
        <f>100-J2275</f>
        <v>100</v>
      </c>
      <c r="J2275">
        <f>100-G2275-H2275</f>
        <v>0</v>
      </c>
      <c r="K2275" t="s">
        <v>19</v>
      </c>
      <c r="L2275" t="s">
        <v>19</v>
      </c>
      <c r="M2275" t="s">
        <v>19</v>
      </c>
      <c r="N2275" t="s">
        <v>19</v>
      </c>
      <c r="O2275" t="s">
        <v>19</v>
      </c>
      <c r="P2275" t="s">
        <v>19</v>
      </c>
      <c r="Q2275">
        <f>I2275</f>
        <v>100</v>
      </c>
      <c r="R2275" t="s">
        <v>19</v>
      </c>
      <c r="S2275" t="s">
        <v>19</v>
      </c>
      <c r="T2275" t="s">
        <v>19</v>
      </c>
    </row>
    <row r="2276" spans="1:21" ht="15" customHeight="1" x14ac:dyDescent="0.25">
      <c r="A2276" s="2">
        <v>45323.640486111108</v>
      </c>
      <c r="B2276" t="s">
        <v>309</v>
      </c>
      <c r="C2276" t="s">
        <v>322</v>
      </c>
      <c r="D2276">
        <v>3</v>
      </c>
      <c r="E2276" t="s">
        <v>176</v>
      </c>
      <c r="F2276" t="s">
        <v>388</v>
      </c>
      <c r="G2276">
        <f>(O2276/(N2276+O2276+P2276))*100</f>
        <v>1.0703363914373087</v>
      </c>
      <c r="H2276">
        <f>(P2276/(O2276+P2276+N2276))*100</f>
        <v>96.024464831804281</v>
      </c>
      <c r="I2276">
        <v>97.09</v>
      </c>
      <c r="J2276">
        <f>(N2276/(P2276+O2276+N2276))*100</f>
        <v>2.90519877675841</v>
      </c>
      <c r="K2276">
        <v>0.8</v>
      </c>
      <c r="L2276">
        <v>0.3</v>
      </c>
      <c r="M2276">
        <v>0.7</v>
      </c>
      <c r="N2276">
        <v>19</v>
      </c>
      <c r="O2276">
        <v>7</v>
      </c>
      <c r="P2276">
        <v>628</v>
      </c>
      <c r="Q2276">
        <v>97.09</v>
      </c>
      <c r="R2276" t="s">
        <v>289</v>
      </c>
      <c r="S2276">
        <v>2.92</v>
      </c>
      <c r="T2276">
        <v>4.72</v>
      </c>
      <c r="U2276">
        <v>44</v>
      </c>
    </row>
    <row r="2277" spans="1:21" ht="15" customHeight="1" x14ac:dyDescent="0.25">
      <c r="A2277" s="2">
        <v>45323.636377314811</v>
      </c>
      <c r="B2277" t="s">
        <v>309</v>
      </c>
      <c r="C2277" t="s">
        <v>322</v>
      </c>
      <c r="D2277">
        <v>3</v>
      </c>
      <c r="E2277" t="s">
        <v>176</v>
      </c>
      <c r="F2277" t="s">
        <v>388</v>
      </c>
      <c r="G2277">
        <f>(O2277/(N2277+O2277+P2277))*100</f>
        <v>2.118003025718608</v>
      </c>
      <c r="H2277">
        <f>(P2277/(O2277+P2277+N2277))*100</f>
        <v>97.125567322239036</v>
      </c>
      <c r="I2277">
        <v>99.24</v>
      </c>
      <c r="J2277">
        <f>(N2277/(P2277+O2277+N2277))*100</f>
        <v>0.75642965204236012</v>
      </c>
      <c r="K2277">
        <v>0.7</v>
      </c>
      <c r="L2277">
        <v>0.3</v>
      </c>
      <c r="M2277">
        <v>0.7</v>
      </c>
      <c r="N2277">
        <v>5</v>
      </c>
      <c r="O2277">
        <v>14</v>
      </c>
      <c r="P2277">
        <v>642</v>
      </c>
      <c r="Q2277">
        <v>99.24</v>
      </c>
      <c r="R2277" t="s">
        <v>289</v>
      </c>
      <c r="S2277">
        <v>2.92</v>
      </c>
      <c r="T2277">
        <v>4.72</v>
      </c>
      <c r="U2277">
        <v>37</v>
      </c>
    </row>
    <row r="2278" spans="1:21" ht="15" customHeight="1" x14ac:dyDescent="0.25">
      <c r="A2278" s="2">
        <v>45325.052685185183</v>
      </c>
      <c r="B2278" t="s">
        <v>309</v>
      </c>
      <c r="C2278" t="s">
        <v>368</v>
      </c>
      <c r="D2278">
        <v>2</v>
      </c>
      <c r="E2278" t="s">
        <v>176</v>
      </c>
      <c r="F2278" t="s">
        <v>388</v>
      </c>
      <c r="G2278">
        <f>(O2278/(N2278+O2278+P2278))*100</f>
        <v>100</v>
      </c>
      <c r="H2278">
        <f>(P2278/(O2278+P2278+N2278))*100</f>
        <v>0</v>
      </c>
      <c r="I2278">
        <v>100</v>
      </c>
      <c r="J2278">
        <f>(N2278/(P2278+O2278+N2278))*100</f>
        <v>0</v>
      </c>
      <c r="K2278">
        <v>0.8</v>
      </c>
      <c r="L2278">
        <v>0.3</v>
      </c>
      <c r="M2278">
        <v>0.7</v>
      </c>
      <c r="N2278">
        <v>0</v>
      </c>
      <c r="O2278">
        <v>696</v>
      </c>
      <c r="P2278">
        <v>0</v>
      </c>
      <c r="Q2278">
        <v>100</v>
      </c>
      <c r="R2278" t="s">
        <v>330</v>
      </c>
      <c r="S2278">
        <v>2.4300000000000002</v>
      </c>
      <c r="T2278">
        <v>2.7</v>
      </c>
    </row>
    <row r="2279" spans="1:21" ht="15" customHeight="1" x14ac:dyDescent="0.25">
      <c r="A2279" t="s">
        <v>19</v>
      </c>
      <c r="B2279" t="s">
        <v>20</v>
      </c>
      <c r="C2279" t="s">
        <v>308</v>
      </c>
      <c r="D2279">
        <v>3</v>
      </c>
      <c r="E2279" t="s">
        <v>177</v>
      </c>
      <c r="F2279" t="s">
        <v>388</v>
      </c>
      <c r="G2279">
        <v>35</v>
      </c>
      <c r="H2279">
        <v>20</v>
      </c>
      <c r="I2279">
        <f>G2279+H2279</f>
        <v>55</v>
      </c>
      <c r="J2279">
        <f>100-G2279-H2279</f>
        <v>45</v>
      </c>
      <c r="K2279" t="s">
        <v>19</v>
      </c>
      <c r="L2279" t="s">
        <v>19</v>
      </c>
      <c r="M2279" t="s">
        <v>19</v>
      </c>
      <c r="N2279" t="s">
        <v>19</v>
      </c>
      <c r="O2279" t="s">
        <v>19</v>
      </c>
      <c r="P2279" t="s">
        <v>19</v>
      </c>
      <c r="Q2279">
        <f>I2279</f>
        <v>55</v>
      </c>
      <c r="R2279" t="s">
        <v>19</v>
      </c>
      <c r="S2279" t="s">
        <v>19</v>
      </c>
      <c r="T2279" t="s">
        <v>19</v>
      </c>
    </row>
    <row r="2280" spans="1:21" ht="15" customHeight="1" x14ac:dyDescent="0.25">
      <c r="A2280" t="s">
        <v>19</v>
      </c>
      <c r="B2280" t="s">
        <v>20</v>
      </c>
      <c r="C2280" t="s">
        <v>22</v>
      </c>
      <c r="D2280">
        <v>3</v>
      </c>
      <c r="E2280" t="s">
        <v>177</v>
      </c>
      <c r="F2280" t="s">
        <v>388</v>
      </c>
      <c r="G2280">
        <v>25</v>
      </c>
      <c r="H2280">
        <v>7</v>
      </c>
      <c r="I2280">
        <f>G2280+H2280</f>
        <v>32</v>
      </c>
      <c r="J2280">
        <f>100-G2280-H2280</f>
        <v>68</v>
      </c>
      <c r="K2280" t="s">
        <v>19</v>
      </c>
      <c r="L2280" t="s">
        <v>19</v>
      </c>
      <c r="M2280" t="s">
        <v>19</v>
      </c>
      <c r="N2280" t="s">
        <v>19</v>
      </c>
      <c r="O2280" t="s">
        <v>19</v>
      </c>
      <c r="P2280" t="s">
        <v>19</v>
      </c>
      <c r="Q2280">
        <f>I2280</f>
        <v>32</v>
      </c>
      <c r="R2280" t="s">
        <v>19</v>
      </c>
      <c r="S2280" t="s">
        <v>19</v>
      </c>
      <c r="T2280" t="s">
        <v>19</v>
      </c>
    </row>
    <row r="2281" spans="1:21" ht="15" customHeight="1" x14ac:dyDescent="0.25">
      <c r="A2281" t="s">
        <v>19</v>
      </c>
      <c r="B2281" t="s">
        <v>20</v>
      </c>
      <c r="C2281" t="s">
        <v>305</v>
      </c>
      <c r="D2281">
        <v>3</v>
      </c>
      <c r="E2281" t="s">
        <v>177</v>
      </c>
      <c r="F2281" t="s">
        <v>388</v>
      </c>
      <c r="G2281">
        <v>35</v>
      </c>
      <c r="H2281">
        <v>10</v>
      </c>
      <c r="I2281">
        <f>G2281+H2281</f>
        <v>45</v>
      </c>
      <c r="J2281">
        <f>100-G2281-H2281</f>
        <v>55</v>
      </c>
      <c r="K2281" t="s">
        <v>19</v>
      </c>
      <c r="L2281" t="s">
        <v>19</v>
      </c>
      <c r="M2281" t="s">
        <v>19</v>
      </c>
      <c r="N2281" t="s">
        <v>19</v>
      </c>
      <c r="O2281" t="s">
        <v>19</v>
      </c>
      <c r="P2281" t="s">
        <v>19</v>
      </c>
      <c r="Q2281">
        <f>I2281</f>
        <v>45</v>
      </c>
      <c r="R2281" t="s">
        <v>19</v>
      </c>
      <c r="S2281" t="s">
        <v>19</v>
      </c>
      <c r="T2281" t="s">
        <v>19</v>
      </c>
    </row>
    <row r="2282" spans="1:21" ht="15" customHeight="1" x14ac:dyDescent="0.25">
      <c r="A2282" t="s">
        <v>19</v>
      </c>
      <c r="B2282" t="s">
        <v>20</v>
      </c>
      <c r="C2282" t="s">
        <v>307</v>
      </c>
      <c r="D2282">
        <v>3</v>
      </c>
      <c r="E2282" t="s">
        <v>177</v>
      </c>
      <c r="F2282" t="s">
        <v>388</v>
      </c>
      <c r="G2282">
        <v>15</v>
      </c>
      <c r="H2282">
        <v>5</v>
      </c>
      <c r="I2282">
        <f>G2282+H2282</f>
        <v>20</v>
      </c>
      <c r="J2282">
        <f>100-G2282-H2282</f>
        <v>80</v>
      </c>
      <c r="K2282" t="s">
        <v>19</v>
      </c>
      <c r="L2282" t="s">
        <v>19</v>
      </c>
      <c r="M2282" t="s">
        <v>19</v>
      </c>
      <c r="N2282" t="s">
        <v>19</v>
      </c>
      <c r="O2282" t="s">
        <v>19</v>
      </c>
      <c r="P2282" t="s">
        <v>19</v>
      </c>
      <c r="Q2282">
        <f>I2282</f>
        <v>20</v>
      </c>
      <c r="R2282" t="s">
        <v>19</v>
      </c>
      <c r="S2282" t="s">
        <v>19</v>
      </c>
      <c r="T2282" t="s">
        <v>19</v>
      </c>
    </row>
    <row r="2283" spans="1:21" ht="15" customHeight="1" x14ac:dyDescent="0.25">
      <c r="A2283" s="2">
        <v>45253.629861111112</v>
      </c>
      <c r="B2283" t="s">
        <v>309</v>
      </c>
      <c r="C2283" t="s">
        <v>213</v>
      </c>
      <c r="D2283">
        <v>3</v>
      </c>
      <c r="E2283" t="s">
        <v>177</v>
      </c>
      <c r="F2283" t="s">
        <v>388</v>
      </c>
      <c r="G2283">
        <v>0.80906148899999997</v>
      </c>
      <c r="H2283">
        <v>11.165048540000001</v>
      </c>
      <c r="I2283">
        <v>11.97411003</v>
      </c>
      <c r="J2283">
        <v>88.025889969999994</v>
      </c>
      <c r="K2283">
        <v>0.8</v>
      </c>
      <c r="L2283">
        <v>0.2</v>
      </c>
      <c r="M2283">
        <v>0.7</v>
      </c>
      <c r="N2283">
        <v>544</v>
      </c>
      <c r="O2283">
        <v>5</v>
      </c>
      <c r="P2283">
        <v>69</v>
      </c>
      <c r="Q2283">
        <v>11.97</v>
      </c>
      <c r="R2283" t="s">
        <v>255</v>
      </c>
      <c r="S2283">
        <v>2.74</v>
      </c>
      <c r="T2283">
        <v>3.19</v>
      </c>
    </row>
    <row r="2284" spans="1:21" ht="15" customHeight="1" x14ac:dyDescent="0.25">
      <c r="A2284" s="2">
        <v>45253.881249999999</v>
      </c>
      <c r="B2284" t="s">
        <v>309</v>
      </c>
      <c r="C2284" t="s">
        <v>215</v>
      </c>
      <c r="D2284">
        <v>2</v>
      </c>
      <c r="E2284" t="s">
        <v>177</v>
      </c>
      <c r="F2284" t="s">
        <v>388</v>
      </c>
      <c r="G2284">
        <v>7.9825834540000002</v>
      </c>
      <c r="H2284">
        <v>0</v>
      </c>
      <c r="I2284">
        <v>7.9825834540000002</v>
      </c>
      <c r="J2284">
        <v>92.017416549999993</v>
      </c>
      <c r="K2284">
        <v>0.8</v>
      </c>
      <c r="L2284">
        <v>0.2</v>
      </c>
      <c r="M2284">
        <v>0.7</v>
      </c>
      <c r="N2284">
        <v>634</v>
      </c>
      <c r="O2284">
        <v>55</v>
      </c>
      <c r="P2284">
        <v>0</v>
      </c>
      <c r="Q2284">
        <v>7.98</v>
      </c>
      <c r="R2284" t="s">
        <v>224</v>
      </c>
      <c r="S2284">
        <v>0.24</v>
      </c>
      <c r="T2284">
        <v>0.26</v>
      </c>
    </row>
    <row r="2285" spans="1:21" ht="15" customHeight="1" x14ac:dyDescent="0.25">
      <c r="A2285" s="2">
        <v>45254.052083333336</v>
      </c>
      <c r="B2285" t="s">
        <v>309</v>
      </c>
      <c r="C2285" t="s">
        <v>217</v>
      </c>
      <c r="D2285">
        <v>2</v>
      </c>
      <c r="E2285" t="s">
        <v>177</v>
      </c>
      <c r="F2285" t="s">
        <v>388</v>
      </c>
      <c r="G2285">
        <v>11.66180758</v>
      </c>
      <c r="H2285">
        <v>0</v>
      </c>
      <c r="I2285">
        <v>11.66180758</v>
      </c>
      <c r="J2285">
        <v>88.338192419999999</v>
      </c>
      <c r="K2285">
        <v>0.8</v>
      </c>
      <c r="L2285">
        <v>0.2</v>
      </c>
      <c r="M2285">
        <v>0.7</v>
      </c>
      <c r="N2285">
        <v>606</v>
      </c>
      <c r="O2285">
        <v>80</v>
      </c>
      <c r="P2285">
        <v>0</v>
      </c>
      <c r="Q2285">
        <v>11.66</v>
      </c>
      <c r="R2285" t="s">
        <v>218</v>
      </c>
      <c r="S2285">
        <v>0.35</v>
      </c>
      <c r="T2285">
        <v>0.37</v>
      </c>
    </row>
    <row r="2286" spans="1:21" ht="15" customHeight="1" x14ac:dyDescent="0.25">
      <c r="A2286" s="2">
        <v>45316.561805555553</v>
      </c>
      <c r="B2286" t="s">
        <v>309</v>
      </c>
      <c r="C2286" t="s">
        <v>219</v>
      </c>
      <c r="D2286">
        <v>3</v>
      </c>
      <c r="E2286" t="s">
        <v>177</v>
      </c>
      <c r="F2286" t="s">
        <v>388</v>
      </c>
      <c r="G2286">
        <v>1.374570447</v>
      </c>
      <c r="H2286">
        <v>10.996563569999999</v>
      </c>
      <c r="I2286">
        <v>12.37113402</v>
      </c>
      <c r="J2286">
        <v>87.62886598</v>
      </c>
      <c r="K2286">
        <v>0.8</v>
      </c>
      <c r="L2286">
        <v>0.2</v>
      </c>
      <c r="M2286">
        <v>0.7</v>
      </c>
      <c r="N2286">
        <v>510</v>
      </c>
      <c r="O2286">
        <v>8</v>
      </c>
      <c r="P2286">
        <v>64</v>
      </c>
      <c r="Q2286">
        <v>12.37</v>
      </c>
      <c r="R2286" t="s">
        <v>220</v>
      </c>
      <c r="S2286">
        <v>3.13</v>
      </c>
      <c r="T2286">
        <v>4.6900000000000004</v>
      </c>
    </row>
    <row r="2287" spans="1:21" ht="15" customHeight="1" x14ac:dyDescent="0.25">
      <c r="A2287" s="2">
        <v>45320.90625</v>
      </c>
      <c r="B2287" t="s">
        <v>309</v>
      </c>
      <c r="C2287" t="s">
        <v>221</v>
      </c>
      <c r="D2287">
        <v>2</v>
      </c>
      <c r="E2287" t="s">
        <v>177</v>
      </c>
      <c r="F2287" t="s">
        <v>388</v>
      </c>
      <c r="G2287">
        <v>30.35714286</v>
      </c>
      <c r="H2287">
        <v>0</v>
      </c>
      <c r="I2287">
        <v>30.35714286</v>
      </c>
      <c r="J2287">
        <v>69.642857140000004</v>
      </c>
      <c r="K2287">
        <v>0.8</v>
      </c>
      <c r="L2287">
        <v>0.3</v>
      </c>
      <c r="M2287">
        <v>0.7</v>
      </c>
      <c r="N2287">
        <v>429</v>
      </c>
      <c r="O2287">
        <v>187</v>
      </c>
      <c r="P2287">
        <v>0</v>
      </c>
      <c r="Q2287">
        <v>30.36</v>
      </c>
      <c r="R2287" t="s">
        <v>239</v>
      </c>
      <c r="S2287">
        <v>0.91</v>
      </c>
      <c r="T2287">
        <v>0.97</v>
      </c>
    </row>
    <row r="2288" spans="1:21" ht="15" customHeight="1" x14ac:dyDescent="0.25">
      <c r="A2288" t="s">
        <v>19</v>
      </c>
      <c r="B2288" t="s">
        <v>20</v>
      </c>
      <c r="C2288" t="s">
        <v>306</v>
      </c>
      <c r="D2288">
        <v>3</v>
      </c>
      <c r="E2288" t="s">
        <v>177</v>
      </c>
      <c r="F2288" t="s">
        <v>388</v>
      </c>
      <c r="G2288">
        <v>55</v>
      </c>
      <c r="H2288">
        <v>20</v>
      </c>
      <c r="I2288">
        <f>G2288+H2288</f>
        <v>75</v>
      </c>
      <c r="J2288">
        <f>100-G2288-H2288</f>
        <v>25</v>
      </c>
      <c r="K2288" t="s">
        <v>19</v>
      </c>
      <c r="L2288" t="s">
        <v>19</v>
      </c>
      <c r="M2288" t="s">
        <v>19</v>
      </c>
      <c r="N2288" t="s">
        <v>19</v>
      </c>
      <c r="O2288" t="s">
        <v>19</v>
      </c>
      <c r="P2288" t="s">
        <v>19</v>
      </c>
      <c r="Q2288">
        <f>I2288</f>
        <v>75</v>
      </c>
      <c r="R2288" t="s">
        <v>19</v>
      </c>
      <c r="S2288" t="s">
        <v>19</v>
      </c>
      <c r="T2288" t="s">
        <v>19</v>
      </c>
    </row>
    <row r="2289" spans="1:21" ht="15" customHeight="1" x14ac:dyDescent="0.25">
      <c r="A2289" t="s">
        <v>19</v>
      </c>
      <c r="B2289" t="s">
        <v>20</v>
      </c>
      <c r="C2289" t="s">
        <v>320</v>
      </c>
      <c r="D2289">
        <v>3</v>
      </c>
      <c r="E2289" t="s">
        <v>177</v>
      </c>
      <c r="F2289" t="s">
        <v>388</v>
      </c>
      <c r="G2289">
        <v>35</v>
      </c>
      <c r="H2289">
        <v>35</v>
      </c>
      <c r="I2289">
        <f>100-J2289</f>
        <v>70</v>
      </c>
      <c r="J2289">
        <f>100-G2289-H2289</f>
        <v>30</v>
      </c>
      <c r="K2289" t="s">
        <v>19</v>
      </c>
      <c r="L2289" t="s">
        <v>19</v>
      </c>
      <c r="M2289" t="s">
        <v>19</v>
      </c>
      <c r="N2289" t="s">
        <v>19</v>
      </c>
      <c r="O2289" t="s">
        <v>19</v>
      </c>
      <c r="P2289" t="s">
        <v>19</v>
      </c>
      <c r="Q2289">
        <f>I2289</f>
        <v>70</v>
      </c>
      <c r="R2289" t="s">
        <v>19</v>
      </c>
      <c r="S2289" t="s">
        <v>19</v>
      </c>
      <c r="T2289" t="s">
        <v>19</v>
      </c>
    </row>
    <row r="2290" spans="1:21" ht="15" customHeight="1" x14ac:dyDescent="0.25">
      <c r="A2290" s="2">
        <v>45323.642013888886</v>
      </c>
      <c r="B2290" t="s">
        <v>309</v>
      </c>
      <c r="C2290" t="s">
        <v>322</v>
      </c>
      <c r="D2290">
        <v>3</v>
      </c>
      <c r="E2290" t="s">
        <v>177</v>
      </c>
      <c r="F2290" t="s">
        <v>388</v>
      </c>
      <c r="G2290">
        <f>(O2290/(N2290+O2290+P2290))*100</f>
        <v>17.21311475409836</v>
      </c>
      <c r="H2290">
        <f>(P2290/(O2290+P2290+N2290))*100</f>
        <v>6.0655737704918034</v>
      </c>
      <c r="I2290">
        <v>23.28</v>
      </c>
      <c r="J2290">
        <f>(N2290/(P2290+O2290+N2290))*100</f>
        <v>76.721311475409834</v>
      </c>
      <c r="K2290">
        <v>0.8</v>
      </c>
      <c r="L2290">
        <v>0.3</v>
      </c>
      <c r="M2290">
        <v>0.7</v>
      </c>
      <c r="N2290">
        <v>468</v>
      </c>
      <c r="O2290">
        <v>105</v>
      </c>
      <c r="P2290">
        <v>37</v>
      </c>
      <c r="Q2290">
        <v>23.28</v>
      </c>
      <c r="R2290" t="s">
        <v>332</v>
      </c>
      <c r="S2290">
        <v>2.57</v>
      </c>
      <c r="T2290">
        <v>3.43</v>
      </c>
      <c r="U2290">
        <v>134</v>
      </c>
    </row>
    <row r="2291" spans="1:21" ht="15" customHeight="1" x14ac:dyDescent="0.25">
      <c r="A2291" s="2">
        <v>45323.637916666667</v>
      </c>
      <c r="B2291" t="s">
        <v>309</v>
      </c>
      <c r="C2291" t="s">
        <v>322</v>
      </c>
      <c r="D2291">
        <v>3</v>
      </c>
      <c r="E2291" t="s">
        <v>177</v>
      </c>
      <c r="F2291" t="s">
        <v>388</v>
      </c>
      <c r="G2291">
        <f>(O2291/(N2291+O2291+P2291))*100</f>
        <v>21.09375</v>
      </c>
      <c r="H2291">
        <f>(P2291/(O2291+P2291+N2291))*100</f>
        <v>7.1874999999999991</v>
      </c>
      <c r="I2291">
        <v>28.28</v>
      </c>
      <c r="J2291">
        <f>(N2291/(P2291+O2291+N2291))*100</f>
        <v>71.71875</v>
      </c>
      <c r="K2291">
        <v>0.7</v>
      </c>
      <c r="L2291">
        <v>0.3</v>
      </c>
      <c r="M2291">
        <v>0.7</v>
      </c>
      <c r="N2291">
        <v>459</v>
      </c>
      <c r="O2291">
        <v>135</v>
      </c>
      <c r="P2291">
        <v>46</v>
      </c>
      <c r="Q2291">
        <v>28.28</v>
      </c>
      <c r="R2291" t="s">
        <v>342</v>
      </c>
      <c r="S2291">
        <v>2.57</v>
      </c>
      <c r="T2291">
        <v>3.43</v>
      </c>
      <c r="U2291">
        <v>104</v>
      </c>
    </row>
    <row r="2292" spans="1:21" ht="15" customHeight="1" x14ac:dyDescent="0.25">
      <c r="A2292" s="2">
        <v>45325.054363425923</v>
      </c>
      <c r="B2292" t="s">
        <v>309</v>
      </c>
      <c r="C2292" t="s">
        <v>368</v>
      </c>
      <c r="D2292">
        <v>2</v>
      </c>
      <c r="E2292" t="s">
        <v>177</v>
      </c>
      <c r="F2292" t="s">
        <v>388</v>
      </c>
      <c r="G2292">
        <f>(O2292/(N2292+O2292+P2292))*100</f>
        <v>38.740157480314963</v>
      </c>
      <c r="H2292">
        <f>(P2292/(O2292+P2292+N2292))*100</f>
        <v>0</v>
      </c>
      <c r="I2292">
        <v>38.74</v>
      </c>
      <c r="J2292">
        <f>(N2292/(P2292+O2292+N2292))*100</f>
        <v>61.259842519685037</v>
      </c>
      <c r="K2292">
        <v>0.8</v>
      </c>
      <c r="L2292">
        <v>0.3</v>
      </c>
      <c r="M2292">
        <v>0.7</v>
      </c>
      <c r="N2292">
        <v>389</v>
      </c>
      <c r="O2292">
        <v>246</v>
      </c>
      <c r="P2292">
        <v>0</v>
      </c>
      <c r="Q2292">
        <v>38.74</v>
      </c>
      <c r="R2292" t="s">
        <v>240</v>
      </c>
      <c r="S2292">
        <v>1.04</v>
      </c>
      <c r="T2292">
        <v>1.1200000000000001</v>
      </c>
    </row>
    <row r="2293" spans="1:21" ht="15" customHeight="1" x14ac:dyDescent="0.25">
      <c r="A2293" t="s">
        <v>19</v>
      </c>
      <c r="B2293" t="s">
        <v>20</v>
      </c>
      <c r="C2293" t="s">
        <v>306</v>
      </c>
      <c r="D2293">
        <v>3</v>
      </c>
      <c r="E2293" t="s">
        <v>178</v>
      </c>
      <c r="F2293" t="s">
        <v>373</v>
      </c>
      <c r="G2293">
        <v>0</v>
      </c>
      <c r="H2293">
        <v>0</v>
      </c>
      <c r="I2293">
        <f>G2293+H2293</f>
        <v>0</v>
      </c>
      <c r="J2293">
        <f>100-G2293-H2293</f>
        <v>100</v>
      </c>
      <c r="K2293" t="s">
        <v>19</v>
      </c>
      <c r="L2293" t="s">
        <v>19</v>
      </c>
      <c r="M2293" t="s">
        <v>19</v>
      </c>
      <c r="N2293" t="s">
        <v>19</v>
      </c>
      <c r="O2293" t="s">
        <v>19</v>
      </c>
      <c r="P2293" t="s">
        <v>19</v>
      </c>
      <c r="Q2293">
        <f>I2293</f>
        <v>0</v>
      </c>
      <c r="R2293" t="s">
        <v>19</v>
      </c>
      <c r="S2293" t="s">
        <v>19</v>
      </c>
      <c r="T2293" t="s">
        <v>19</v>
      </c>
    </row>
    <row r="2294" spans="1:21" ht="15" customHeight="1" x14ac:dyDescent="0.25">
      <c r="A2294" t="s">
        <v>19</v>
      </c>
      <c r="B2294" t="s">
        <v>20</v>
      </c>
      <c r="C2294" t="s">
        <v>308</v>
      </c>
      <c r="D2294">
        <v>3</v>
      </c>
      <c r="E2294" t="s">
        <v>178</v>
      </c>
      <c r="F2294" t="s">
        <v>373</v>
      </c>
      <c r="G2294">
        <v>2</v>
      </c>
      <c r="H2294">
        <v>0</v>
      </c>
      <c r="I2294">
        <f>G2294+H2294</f>
        <v>2</v>
      </c>
      <c r="J2294">
        <f>100-G2294-H2294</f>
        <v>98</v>
      </c>
      <c r="K2294" t="s">
        <v>19</v>
      </c>
      <c r="L2294" t="s">
        <v>19</v>
      </c>
      <c r="M2294" t="s">
        <v>19</v>
      </c>
      <c r="N2294" t="s">
        <v>19</v>
      </c>
      <c r="O2294" t="s">
        <v>19</v>
      </c>
      <c r="P2294" t="s">
        <v>19</v>
      </c>
      <c r="Q2294">
        <f>I2294</f>
        <v>2</v>
      </c>
      <c r="R2294" t="s">
        <v>19</v>
      </c>
      <c r="S2294" t="s">
        <v>19</v>
      </c>
      <c r="T2294" t="s">
        <v>19</v>
      </c>
    </row>
    <row r="2295" spans="1:21" ht="15" customHeight="1" x14ac:dyDescent="0.25">
      <c r="A2295" t="s">
        <v>19</v>
      </c>
      <c r="B2295" t="s">
        <v>20</v>
      </c>
      <c r="C2295" t="s">
        <v>22</v>
      </c>
      <c r="D2295">
        <v>3</v>
      </c>
      <c r="E2295" t="s">
        <v>178</v>
      </c>
      <c r="F2295" t="s">
        <v>373</v>
      </c>
      <c r="G2295">
        <v>0</v>
      </c>
      <c r="H2295">
        <v>0</v>
      </c>
      <c r="I2295">
        <f>G2295+H2295</f>
        <v>0</v>
      </c>
      <c r="J2295">
        <f>100-G2295-H2295</f>
        <v>100</v>
      </c>
      <c r="K2295" t="s">
        <v>19</v>
      </c>
      <c r="L2295" t="s">
        <v>19</v>
      </c>
      <c r="M2295" t="s">
        <v>19</v>
      </c>
      <c r="N2295" t="s">
        <v>19</v>
      </c>
      <c r="O2295" t="s">
        <v>19</v>
      </c>
      <c r="P2295" t="s">
        <v>19</v>
      </c>
      <c r="Q2295">
        <f>I2295</f>
        <v>0</v>
      </c>
      <c r="R2295" t="s">
        <v>19</v>
      </c>
      <c r="S2295" t="s">
        <v>19</v>
      </c>
      <c r="T2295" t="s">
        <v>19</v>
      </c>
    </row>
    <row r="2296" spans="1:21" ht="15" customHeight="1" x14ac:dyDescent="0.25">
      <c r="A2296" t="s">
        <v>19</v>
      </c>
      <c r="B2296" t="s">
        <v>20</v>
      </c>
      <c r="C2296" t="s">
        <v>305</v>
      </c>
      <c r="D2296">
        <v>3</v>
      </c>
      <c r="E2296" t="s">
        <v>178</v>
      </c>
      <c r="F2296" t="s">
        <v>373</v>
      </c>
      <c r="G2296">
        <v>0</v>
      </c>
      <c r="H2296">
        <v>0</v>
      </c>
      <c r="I2296">
        <f>G2296+H2296</f>
        <v>0</v>
      </c>
      <c r="J2296">
        <f>100-G2296-H2296</f>
        <v>100</v>
      </c>
      <c r="K2296" t="s">
        <v>19</v>
      </c>
      <c r="L2296" t="s">
        <v>19</v>
      </c>
      <c r="M2296" t="s">
        <v>19</v>
      </c>
      <c r="N2296" t="s">
        <v>19</v>
      </c>
      <c r="O2296" t="s">
        <v>19</v>
      </c>
      <c r="P2296" t="s">
        <v>19</v>
      </c>
      <c r="Q2296">
        <f>I2296</f>
        <v>0</v>
      </c>
      <c r="R2296" t="s">
        <v>19</v>
      </c>
      <c r="S2296" t="s">
        <v>19</v>
      </c>
      <c r="T2296" t="s">
        <v>19</v>
      </c>
    </row>
    <row r="2297" spans="1:21" ht="15" customHeight="1" x14ac:dyDescent="0.25">
      <c r="A2297" t="s">
        <v>19</v>
      </c>
      <c r="B2297" t="s">
        <v>20</v>
      </c>
      <c r="C2297" t="s">
        <v>307</v>
      </c>
      <c r="D2297">
        <v>3</v>
      </c>
      <c r="E2297" t="s">
        <v>178</v>
      </c>
      <c r="F2297" t="s">
        <v>373</v>
      </c>
      <c r="G2297">
        <v>0</v>
      </c>
      <c r="H2297">
        <v>0</v>
      </c>
      <c r="I2297">
        <f>G2297+H2297</f>
        <v>0</v>
      </c>
      <c r="J2297">
        <f>100-G2297-H2297</f>
        <v>100</v>
      </c>
      <c r="K2297" t="s">
        <v>19</v>
      </c>
      <c r="L2297" t="s">
        <v>19</v>
      </c>
      <c r="M2297" t="s">
        <v>19</v>
      </c>
      <c r="N2297" t="s">
        <v>19</v>
      </c>
      <c r="O2297" t="s">
        <v>19</v>
      </c>
      <c r="P2297" t="s">
        <v>19</v>
      </c>
      <c r="Q2297">
        <f>I2297</f>
        <v>0</v>
      </c>
      <c r="R2297" t="s">
        <v>19</v>
      </c>
      <c r="S2297" t="s">
        <v>19</v>
      </c>
      <c r="T2297" t="s">
        <v>19</v>
      </c>
    </row>
    <row r="2298" spans="1:21" ht="15" customHeight="1" x14ac:dyDescent="0.25">
      <c r="A2298" s="2">
        <v>45253.788888888892</v>
      </c>
      <c r="B2298" t="s">
        <v>309</v>
      </c>
      <c r="C2298" t="s">
        <v>213</v>
      </c>
      <c r="D2298">
        <v>3</v>
      </c>
      <c r="E2298" t="s">
        <v>178</v>
      </c>
      <c r="F2298" t="s">
        <v>373</v>
      </c>
      <c r="G2298">
        <v>1.5898251189999999</v>
      </c>
      <c r="H2298">
        <v>0.31796502399999999</v>
      </c>
      <c r="I2298">
        <v>1.9077901429999999</v>
      </c>
      <c r="J2298">
        <v>98.092209859999997</v>
      </c>
      <c r="K2298">
        <v>0.8</v>
      </c>
      <c r="L2298">
        <v>0.2</v>
      </c>
      <c r="M2298">
        <v>0.7</v>
      </c>
      <c r="N2298">
        <v>617</v>
      </c>
      <c r="O2298">
        <v>10</v>
      </c>
      <c r="P2298">
        <v>2</v>
      </c>
      <c r="Q2298">
        <v>1.91</v>
      </c>
      <c r="R2298" t="s">
        <v>214</v>
      </c>
      <c r="S2298">
        <v>3.03</v>
      </c>
      <c r="T2298">
        <v>3.39</v>
      </c>
    </row>
    <row r="2299" spans="1:21" ht="15" customHeight="1" x14ac:dyDescent="0.25">
      <c r="A2299" s="2">
        <v>45253.96597222222</v>
      </c>
      <c r="B2299" t="s">
        <v>309</v>
      </c>
      <c r="C2299" t="s">
        <v>215</v>
      </c>
      <c r="D2299">
        <v>2</v>
      </c>
      <c r="E2299" t="s">
        <v>178</v>
      </c>
      <c r="F2299" t="s">
        <v>373</v>
      </c>
      <c r="G2299">
        <v>0.65359477099999996</v>
      </c>
      <c r="H2299">
        <v>0</v>
      </c>
      <c r="I2299">
        <v>0.65359477099999996</v>
      </c>
      <c r="J2299">
        <v>99.346405230000002</v>
      </c>
      <c r="K2299">
        <v>0.8</v>
      </c>
      <c r="L2299">
        <v>0.2</v>
      </c>
      <c r="M2299">
        <v>0.7</v>
      </c>
      <c r="N2299">
        <v>760</v>
      </c>
      <c r="O2299">
        <v>5</v>
      </c>
      <c r="P2299">
        <v>0</v>
      </c>
      <c r="Q2299">
        <v>0.65</v>
      </c>
      <c r="R2299" t="s">
        <v>257</v>
      </c>
      <c r="S2299">
        <v>0.03</v>
      </c>
      <c r="T2299">
        <v>0.03</v>
      </c>
    </row>
    <row r="2300" spans="1:21" ht="15" customHeight="1" x14ac:dyDescent="0.25">
      <c r="A2300" s="2">
        <v>45254.143055555556</v>
      </c>
      <c r="B2300" t="s">
        <v>309</v>
      </c>
      <c r="C2300" t="s">
        <v>217</v>
      </c>
      <c r="D2300">
        <v>2</v>
      </c>
      <c r="E2300" t="s">
        <v>178</v>
      </c>
      <c r="F2300" t="s">
        <v>373</v>
      </c>
      <c r="G2300">
        <v>1.6</v>
      </c>
      <c r="H2300">
        <v>0</v>
      </c>
      <c r="I2300">
        <v>1.6</v>
      </c>
      <c r="J2300">
        <v>98.4</v>
      </c>
      <c r="K2300">
        <v>0.8</v>
      </c>
      <c r="L2300">
        <v>0.2</v>
      </c>
      <c r="M2300">
        <v>0.7</v>
      </c>
      <c r="N2300">
        <v>738</v>
      </c>
      <c r="O2300">
        <v>12</v>
      </c>
      <c r="P2300">
        <v>0</v>
      </c>
      <c r="Q2300">
        <v>1.6</v>
      </c>
      <c r="R2300" t="s">
        <v>231</v>
      </c>
      <c r="S2300">
        <v>0.06</v>
      </c>
      <c r="T2300">
        <v>0.06</v>
      </c>
    </row>
    <row r="2301" spans="1:21" ht="15" customHeight="1" x14ac:dyDescent="0.25">
      <c r="A2301" s="2">
        <v>45316.478472222225</v>
      </c>
      <c r="B2301" t="s">
        <v>309</v>
      </c>
      <c r="C2301" t="s">
        <v>219</v>
      </c>
      <c r="D2301">
        <v>3</v>
      </c>
      <c r="E2301" t="s">
        <v>178</v>
      </c>
      <c r="F2301" t="s">
        <v>373</v>
      </c>
      <c r="G2301">
        <v>1.478743068</v>
      </c>
      <c r="H2301">
        <v>0</v>
      </c>
      <c r="I2301">
        <v>1.478743068</v>
      </c>
      <c r="J2301">
        <v>98.521256930000007</v>
      </c>
      <c r="K2301">
        <v>0.8</v>
      </c>
      <c r="L2301">
        <v>0.2</v>
      </c>
      <c r="M2301">
        <v>0.7</v>
      </c>
      <c r="N2301">
        <v>533</v>
      </c>
      <c r="O2301">
        <v>8</v>
      </c>
      <c r="P2301">
        <v>0</v>
      </c>
      <c r="Q2301">
        <v>1.48</v>
      </c>
      <c r="R2301" t="s">
        <v>229</v>
      </c>
      <c r="S2301">
        <v>3.16</v>
      </c>
      <c r="T2301">
        <v>4.6900000000000004</v>
      </c>
    </row>
    <row r="2302" spans="1:21" ht="15" customHeight="1" x14ac:dyDescent="0.25">
      <c r="A2302" s="2">
        <v>45321.005555555559</v>
      </c>
      <c r="B2302" t="s">
        <v>309</v>
      </c>
      <c r="C2302" t="s">
        <v>221</v>
      </c>
      <c r="D2302">
        <v>2</v>
      </c>
      <c r="E2302" t="s">
        <v>178</v>
      </c>
      <c r="F2302" t="s">
        <v>373</v>
      </c>
      <c r="G2302">
        <v>1.02189781</v>
      </c>
      <c r="H2302">
        <v>0</v>
      </c>
      <c r="I2302">
        <v>1.02189781</v>
      </c>
      <c r="J2302">
        <v>98.978102190000001</v>
      </c>
      <c r="K2302">
        <v>0.8</v>
      </c>
      <c r="L2302">
        <v>0.3</v>
      </c>
      <c r="M2302">
        <v>0.7</v>
      </c>
      <c r="N2302">
        <v>678</v>
      </c>
      <c r="O2302">
        <v>7</v>
      </c>
      <c r="P2302">
        <v>0</v>
      </c>
      <c r="Q2302">
        <v>1.02</v>
      </c>
      <c r="R2302" t="s">
        <v>232</v>
      </c>
      <c r="S2302">
        <v>0.14000000000000001</v>
      </c>
      <c r="T2302">
        <v>0.15</v>
      </c>
    </row>
    <row r="2303" spans="1:21" ht="15" customHeight="1" x14ac:dyDescent="0.25">
      <c r="A2303" t="s">
        <v>19</v>
      </c>
      <c r="B2303" t="s">
        <v>20</v>
      </c>
      <c r="C2303" t="s">
        <v>320</v>
      </c>
      <c r="D2303">
        <v>3</v>
      </c>
      <c r="E2303" t="s">
        <v>178</v>
      </c>
      <c r="F2303" t="s">
        <v>373</v>
      </c>
      <c r="G2303">
        <v>0</v>
      </c>
      <c r="H2303">
        <v>0</v>
      </c>
      <c r="I2303">
        <f>100-J2303</f>
        <v>0</v>
      </c>
      <c r="J2303">
        <f>100-G2303-H2303</f>
        <v>100</v>
      </c>
      <c r="K2303" t="s">
        <v>19</v>
      </c>
      <c r="L2303" t="s">
        <v>19</v>
      </c>
      <c r="M2303" t="s">
        <v>19</v>
      </c>
      <c r="N2303" t="s">
        <v>19</v>
      </c>
      <c r="O2303" t="s">
        <v>19</v>
      </c>
      <c r="P2303" t="s">
        <v>19</v>
      </c>
      <c r="Q2303">
        <f>I2303</f>
        <v>0</v>
      </c>
      <c r="R2303" t="s">
        <v>19</v>
      </c>
      <c r="S2303" t="s">
        <v>19</v>
      </c>
      <c r="T2303" t="s">
        <v>19</v>
      </c>
    </row>
    <row r="2304" spans="1:21" ht="15" customHeight="1" x14ac:dyDescent="0.25">
      <c r="A2304" s="2">
        <v>45323.640034722222</v>
      </c>
      <c r="B2304" t="s">
        <v>309</v>
      </c>
      <c r="C2304" t="s">
        <v>322</v>
      </c>
      <c r="D2304">
        <v>3</v>
      </c>
      <c r="E2304" t="s">
        <v>178</v>
      </c>
      <c r="F2304" t="s">
        <v>373</v>
      </c>
      <c r="G2304">
        <f>(O2304/(N2304+O2304+P2304))*100</f>
        <v>2.1613832853025938</v>
      </c>
      <c r="H2304">
        <f>(P2304/(O2304+P2304+N2304))*100</f>
        <v>0</v>
      </c>
      <c r="I2304">
        <f>((O2304+P2304)/(P2304+O2304+N2304))*100</f>
        <v>2.1613832853025938</v>
      </c>
      <c r="J2304">
        <f>(N2304/(P2304+O2304+N2304))*100</f>
        <v>97.838616714697395</v>
      </c>
      <c r="K2304">
        <v>0.8</v>
      </c>
      <c r="L2304">
        <v>0.3</v>
      </c>
      <c r="M2304">
        <v>0.7</v>
      </c>
      <c r="N2304">
        <v>679</v>
      </c>
      <c r="O2304">
        <v>15</v>
      </c>
      <c r="P2304">
        <v>0</v>
      </c>
      <c r="Q2304">
        <v>2.16</v>
      </c>
      <c r="R2304" t="s">
        <v>332</v>
      </c>
      <c r="S2304">
        <v>2.91</v>
      </c>
      <c r="T2304">
        <v>3.09</v>
      </c>
      <c r="U2304">
        <v>68</v>
      </c>
    </row>
    <row r="2305" spans="1:21" ht="15" customHeight="1" x14ac:dyDescent="0.25">
      <c r="A2305" s="2">
        <v>45323.645046296297</v>
      </c>
      <c r="B2305" t="s">
        <v>309</v>
      </c>
      <c r="C2305" t="s">
        <v>322</v>
      </c>
      <c r="D2305">
        <v>3</v>
      </c>
      <c r="E2305" t="s">
        <v>178</v>
      </c>
      <c r="F2305" t="s">
        <v>373</v>
      </c>
      <c r="G2305">
        <f>(O2305/(N2305+O2305+P2305))*100</f>
        <v>3.8243626062322948</v>
      </c>
      <c r="H2305">
        <f>(P2305/(O2305+P2305+N2305))*100</f>
        <v>0</v>
      </c>
      <c r="I2305">
        <f>((O2305+P2305)/(P2305+O2305+N2305))*100</f>
        <v>3.8243626062322948</v>
      </c>
      <c r="J2305">
        <f>(N2305/(P2305+O2305+N2305))*100</f>
        <v>96.175637393767715</v>
      </c>
      <c r="K2305">
        <v>0.7</v>
      </c>
      <c r="L2305">
        <v>0.3</v>
      </c>
      <c r="M2305">
        <v>0.7</v>
      </c>
      <c r="N2305">
        <v>679</v>
      </c>
      <c r="O2305">
        <v>27</v>
      </c>
      <c r="P2305">
        <v>0</v>
      </c>
      <c r="Q2305">
        <v>3.82</v>
      </c>
      <c r="R2305" t="s">
        <v>343</v>
      </c>
      <c r="S2305">
        <v>2.91</v>
      </c>
      <c r="T2305">
        <v>3.09</v>
      </c>
      <c r="U2305">
        <v>56</v>
      </c>
    </row>
    <row r="2306" spans="1:21" ht="15" customHeight="1" x14ac:dyDescent="0.25">
      <c r="A2306" s="2">
        <v>45325.20045138889</v>
      </c>
      <c r="B2306" t="s">
        <v>309</v>
      </c>
      <c r="C2306" t="s">
        <v>368</v>
      </c>
      <c r="D2306">
        <v>2</v>
      </c>
      <c r="E2306" t="s">
        <v>178</v>
      </c>
      <c r="F2306" t="s">
        <v>373</v>
      </c>
      <c r="G2306">
        <f>(O2306/(N2306+O2306+P2306))*100</f>
        <v>4.1297935103244834</v>
      </c>
      <c r="H2306">
        <f>(P2306/(O2306+P2306+N2306))*100</f>
        <v>0</v>
      </c>
      <c r="I2306">
        <v>4.13</v>
      </c>
      <c r="J2306">
        <f>(N2306/(P2306+O2306+N2306))*100</f>
        <v>95.87020648967551</v>
      </c>
      <c r="K2306">
        <v>0.8</v>
      </c>
      <c r="L2306">
        <v>0.3</v>
      </c>
      <c r="M2306">
        <v>0.7</v>
      </c>
      <c r="N2306">
        <v>650</v>
      </c>
      <c r="O2306">
        <v>28</v>
      </c>
      <c r="P2306">
        <v>0</v>
      </c>
      <c r="Q2306">
        <v>4.13</v>
      </c>
      <c r="R2306" t="s">
        <v>279</v>
      </c>
      <c r="S2306">
        <v>0.26</v>
      </c>
      <c r="T2306">
        <v>0.27</v>
      </c>
    </row>
    <row r="2307" spans="1:21" ht="15" customHeight="1" x14ac:dyDescent="0.25">
      <c r="A2307" t="s">
        <v>19</v>
      </c>
      <c r="B2307" t="s">
        <v>20</v>
      </c>
      <c r="C2307" t="s">
        <v>306</v>
      </c>
      <c r="D2307">
        <v>3</v>
      </c>
      <c r="E2307" t="s">
        <v>179</v>
      </c>
      <c r="F2307" t="s">
        <v>373</v>
      </c>
      <c r="G2307">
        <v>35</v>
      </c>
      <c r="H2307">
        <v>0</v>
      </c>
      <c r="I2307">
        <f>G2307+H2307</f>
        <v>35</v>
      </c>
      <c r="J2307">
        <f>100-G2307-H2307</f>
        <v>65</v>
      </c>
      <c r="K2307" t="s">
        <v>19</v>
      </c>
      <c r="L2307" t="s">
        <v>19</v>
      </c>
      <c r="M2307" t="s">
        <v>19</v>
      </c>
      <c r="N2307" t="s">
        <v>19</v>
      </c>
      <c r="O2307" t="s">
        <v>19</v>
      </c>
      <c r="P2307" t="s">
        <v>19</v>
      </c>
      <c r="Q2307">
        <f>I2307</f>
        <v>35</v>
      </c>
      <c r="R2307" t="s">
        <v>19</v>
      </c>
      <c r="S2307" t="s">
        <v>19</v>
      </c>
      <c r="T2307" t="s">
        <v>19</v>
      </c>
    </row>
    <row r="2308" spans="1:21" ht="15" customHeight="1" x14ac:dyDescent="0.25">
      <c r="A2308" t="s">
        <v>19</v>
      </c>
      <c r="B2308" t="s">
        <v>20</v>
      </c>
      <c r="C2308" t="s">
        <v>308</v>
      </c>
      <c r="D2308">
        <v>3</v>
      </c>
      <c r="E2308" t="s">
        <v>179</v>
      </c>
      <c r="F2308" t="s">
        <v>373</v>
      </c>
      <c r="G2308">
        <v>58</v>
      </c>
      <c r="H2308">
        <v>2</v>
      </c>
      <c r="I2308">
        <f>G2308+H2308</f>
        <v>60</v>
      </c>
      <c r="J2308">
        <f>100-G2308-H2308</f>
        <v>40</v>
      </c>
      <c r="K2308" t="s">
        <v>19</v>
      </c>
      <c r="L2308" t="s">
        <v>19</v>
      </c>
      <c r="M2308" t="s">
        <v>19</v>
      </c>
      <c r="N2308" t="s">
        <v>19</v>
      </c>
      <c r="O2308" t="s">
        <v>19</v>
      </c>
      <c r="P2308" t="s">
        <v>19</v>
      </c>
      <c r="Q2308">
        <f>I2308</f>
        <v>60</v>
      </c>
      <c r="R2308" t="s">
        <v>19</v>
      </c>
      <c r="S2308" t="s">
        <v>19</v>
      </c>
      <c r="T2308" t="s">
        <v>19</v>
      </c>
    </row>
    <row r="2309" spans="1:21" ht="15" customHeight="1" x14ac:dyDescent="0.25">
      <c r="A2309" t="s">
        <v>19</v>
      </c>
      <c r="B2309" t="s">
        <v>20</v>
      </c>
      <c r="C2309" t="s">
        <v>22</v>
      </c>
      <c r="D2309">
        <v>3</v>
      </c>
      <c r="E2309" t="s">
        <v>179</v>
      </c>
      <c r="F2309" t="s">
        <v>373</v>
      </c>
      <c r="G2309">
        <v>10</v>
      </c>
      <c r="H2309">
        <v>0</v>
      </c>
      <c r="I2309">
        <f>G2309+H2309</f>
        <v>10</v>
      </c>
      <c r="J2309">
        <f>100-G2309-H2309</f>
        <v>90</v>
      </c>
      <c r="K2309" t="s">
        <v>19</v>
      </c>
      <c r="L2309" t="s">
        <v>19</v>
      </c>
      <c r="M2309" t="s">
        <v>19</v>
      </c>
      <c r="N2309" t="s">
        <v>19</v>
      </c>
      <c r="O2309" t="s">
        <v>19</v>
      </c>
      <c r="P2309" t="s">
        <v>19</v>
      </c>
      <c r="Q2309">
        <f>I2309</f>
        <v>10</v>
      </c>
      <c r="R2309" t="s">
        <v>19</v>
      </c>
      <c r="S2309" t="s">
        <v>19</v>
      </c>
      <c r="T2309" t="s">
        <v>19</v>
      </c>
    </row>
    <row r="2310" spans="1:21" ht="15" customHeight="1" x14ac:dyDescent="0.25">
      <c r="A2310" t="s">
        <v>19</v>
      </c>
      <c r="B2310" t="s">
        <v>20</v>
      </c>
      <c r="C2310" t="s">
        <v>305</v>
      </c>
      <c r="D2310">
        <v>3</v>
      </c>
      <c r="E2310" t="s">
        <v>179</v>
      </c>
      <c r="F2310" t="s">
        <v>373</v>
      </c>
      <c r="G2310">
        <v>6</v>
      </c>
      <c r="H2310">
        <v>0</v>
      </c>
      <c r="I2310">
        <f>G2310+H2310</f>
        <v>6</v>
      </c>
      <c r="J2310">
        <f>100-G2310-H2310</f>
        <v>94</v>
      </c>
      <c r="K2310" t="s">
        <v>19</v>
      </c>
      <c r="L2310" t="s">
        <v>19</v>
      </c>
      <c r="M2310" t="s">
        <v>19</v>
      </c>
      <c r="N2310" t="s">
        <v>19</v>
      </c>
      <c r="O2310" t="s">
        <v>19</v>
      </c>
      <c r="P2310" t="s">
        <v>19</v>
      </c>
      <c r="Q2310">
        <f>I2310</f>
        <v>6</v>
      </c>
      <c r="R2310" t="s">
        <v>19</v>
      </c>
      <c r="S2310" t="s">
        <v>19</v>
      </c>
      <c r="T2310" t="s">
        <v>19</v>
      </c>
    </row>
    <row r="2311" spans="1:21" ht="15" customHeight="1" x14ac:dyDescent="0.25">
      <c r="A2311" t="s">
        <v>19</v>
      </c>
      <c r="B2311" t="s">
        <v>20</v>
      </c>
      <c r="C2311" t="s">
        <v>307</v>
      </c>
      <c r="D2311">
        <v>3</v>
      </c>
      <c r="E2311" t="s">
        <v>179</v>
      </c>
      <c r="F2311" t="s">
        <v>373</v>
      </c>
      <c r="G2311">
        <v>0</v>
      </c>
      <c r="H2311">
        <v>0</v>
      </c>
      <c r="I2311">
        <f>G2311+H2311</f>
        <v>0</v>
      </c>
      <c r="J2311">
        <f>100-G2311-H2311</f>
        <v>100</v>
      </c>
      <c r="K2311" t="s">
        <v>19</v>
      </c>
      <c r="L2311" t="s">
        <v>19</v>
      </c>
      <c r="M2311" t="s">
        <v>19</v>
      </c>
      <c r="N2311" t="s">
        <v>19</v>
      </c>
      <c r="O2311" t="s">
        <v>19</v>
      </c>
      <c r="P2311" t="s">
        <v>19</v>
      </c>
      <c r="Q2311">
        <f>I2311</f>
        <v>0</v>
      </c>
      <c r="R2311" t="s">
        <v>19</v>
      </c>
      <c r="S2311" t="s">
        <v>19</v>
      </c>
      <c r="T2311" t="s">
        <v>19</v>
      </c>
    </row>
    <row r="2312" spans="1:21" ht="15" customHeight="1" x14ac:dyDescent="0.25">
      <c r="A2312" s="2">
        <v>45253.790277777778</v>
      </c>
      <c r="B2312" t="s">
        <v>309</v>
      </c>
      <c r="C2312" t="s">
        <v>213</v>
      </c>
      <c r="D2312">
        <v>3</v>
      </c>
      <c r="E2312" t="s">
        <v>179</v>
      </c>
      <c r="F2312" t="s">
        <v>373</v>
      </c>
      <c r="G2312">
        <v>10.13133208</v>
      </c>
      <c r="H2312">
        <v>0.18761726100000001</v>
      </c>
      <c r="I2312">
        <v>10.31894934</v>
      </c>
      <c r="J2312">
        <v>89.681050659999997</v>
      </c>
      <c r="K2312">
        <v>0.8</v>
      </c>
      <c r="L2312">
        <v>0.2</v>
      </c>
      <c r="M2312">
        <v>0.7</v>
      </c>
      <c r="N2312">
        <v>478</v>
      </c>
      <c r="O2312">
        <v>54</v>
      </c>
      <c r="P2312">
        <v>1</v>
      </c>
      <c r="Q2312">
        <v>10.32</v>
      </c>
      <c r="R2312" t="s">
        <v>238</v>
      </c>
      <c r="S2312">
        <v>3.03</v>
      </c>
      <c r="T2312">
        <v>3.56</v>
      </c>
    </row>
    <row r="2313" spans="1:21" ht="15" customHeight="1" x14ac:dyDescent="0.25">
      <c r="A2313" s="2">
        <v>45253.966666666667</v>
      </c>
      <c r="B2313" t="s">
        <v>309</v>
      </c>
      <c r="C2313" t="s">
        <v>215</v>
      </c>
      <c r="D2313">
        <v>2</v>
      </c>
      <c r="E2313" t="s">
        <v>179</v>
      </c>
      <c r="F2313" t="s">
        <v>373</v>
      </c>
      <c r="G2313">
        <v>0.13986013999999999</v>
      </c>
      <c r="H2313">
        <v>0</v>
      </c>
      <c r="I2313">
        <v>0.13986013999999999</v>
      </c>
      <c r="J2313">
        <v>99.860139860000004</v>
      </c>
      <c r="K2313">
        <v>0.8</v>
      </c>
      <c r="L2313">
        <v>0.2</v>
      </c>
      <c r="M2313">
        <v>0.7</v>
      </c>
      <c r="N2313">
        <v>714</v>
      </c>
      <c r="O2313">
        <v>1</v>
      </c>
      <c r="P2313">
        <v>0</v>
      </c>
      <c r="Q2313">
        <v>0.14000000000000001</v>
      </c>
      <c r="R2313" t="s">
        <v>257</v>
      </c>
      <c r="S2313">
        <v>0.01</v>
      </c>
      <c r="T2313">
        <v>0.02</v>
      </c>
    </row>
    <row r="2314" spans="1:21" ht="15" customHeight="1" x14ac:dyDescent="0.25">
      <c r="A2314" s="2">
        <v>45254.144444444442</v>
      </c>
      <c r="B2314" t="s">
        <v>309</v>
      </c>
      <c r="C2314" t="s">
        <v>217</v>
      </c>
      <c r="D2314">
        <v>2</v>
      </c>
      <c r="E2314" t="s">
        <v>179</v>
      </c>
      <c r="F2314" t="s">
        <v>373</v>
      </c>
      <c r="G2314">
        <v>0.55632823399999998</v>
      </c>
      <c r="H2314">
        <v>0</v>
      </c>
      <c r="I2314">
        <v>0.55632823399999998</v>
      </c>
      <c r="J2314">
        <v>99.443671769999995</v>
      </c>
      <c r="K2314">
        <v>0.8</v>
      </c>
      <c r="L2314">
        <v>0.2</v>
      </c>
      <c r="M2314">
        <v>0.7</v>
      </c>
      <c r="N2314">
        <v>715</v>
      </c>
      <c r="O2314">
        <v>4</v>
      </c>
      <c r="P2314">
        <v>0</v>
      </c>
      <c r="Q2314">
        <v>0.56000000000000005</v>
      </c>
      <c r="R2314" t="s">
        <v>227</v>
      </c>
      <c r="S2314">
        <v>0.03</v>
      </c>
      <c r="T2314">
        <v>0.03</v>
      </c>
    </row>
    <row r="2315" spans="1:21" ht="15" customHeight="1" x14ac:dyDescent="0.25">
      <c r="A2315" s="2">
        <v>45316.479166666664</v>
      </c>
      <c r="B2315" t="s">
        <v>309</v>
      </c>
      <c r="C2315" t="s">
        <v>219</v>
      </c>
      <c r="D2315">
        <v>3</v>
      </c>
      <c r="E2315" t="s">
        <v>179</v>
      </c>
      <c r="F2315" t="s">
        <v>373</v>
      </c>
      <c r="G2315">
        <v>34.834834829999998</v>
      </c>
      <c r="H2315">
        <v>0</v>
      </c>
      <c r="I2315">
        <v>34.834834829999998</v>
      </c>
      <c r="J2315">
        <v>65.165165169999995</v>
      </c>
      <c r="K2315">
        <v>0.8</v>
      </c>
      <c r="L2315">
        <v>0.2</v>
      </c>
      <c r="M2315">
        <v>0.7</v>
      </c>
      <c r="N2315">
        <v>217</v>
      </c>
      <c r="O2315">
        <v>116</v>
      </c>
      <c r="P2315">
        <v>0</v>
      </c>
      <c r="Q2315">
        <v>34.83</v>
      </c>
      <c r="R2315" t="s">
        <v>225</v>
      </c>
      <c r="S2315">
        <v>3.1</v>
      </c>
      <c r="T2315">
        <v>4.66</v>
      </c>
    </row>
    <row r="2316" spans="1:21" ht="15" customHeight="1" x14ac:dyDescent="0.25">
      <c r="A2316" s="2">
        <v>45321.006249999999</v>
      </c>
      <c r="B2316" t="s">
        <v>309</v>
      </c>
      <c r="C2316" t="s">
        <v>221</v>
      </c>
      <c r="D2316">
        <v>2</v>
      </c>
      <c r="E2316" t="s">
        <v>179</v>
      </c>
      <c r="F2316" t="s">
        <v>373</v>
      </c>
      <c r="G2316">
        <v>26.470588240000001</v>
      </c>
      <c r="H2316">
        <v>0</v>
      </c>
      <c r="I2316">
        <v>26.470588240000001</v>
      </c>
      <c r="J2316">
        <v>73.529411760000002</v>
      </c>
      <c r="K2316">
        <v>0.8</v>
      </c>
      <c r="L2316">
        <v>0.3</v>
      </c>
      <c r="M2316">
        <v>0.7</v>
      </c>
      <c r="N2316">
        <v>425</v>
      </c>
      <c r="O2316">
        <v>153</v>
      </c>
      <c r="P2316">
        <v>0</v>
      </c>
      <c r="Q2316">
        <v>26.47</v>
      </c>
      <c r="R2316" t="s">
        <v>239</v>
      </c>
      <c r="S2316">
        <v>0.96</v>
      </c>
      <c r="T2316">
        <v>1.02</v>
      </c>
    </row>
    <row r="2317" spans="1:21" ht="15" customHeight="1" x14ac:dyDescent="0.25">
      <c r="A2317" t="s">
        <v>19</v>
      </c>
      <c r="B2317" t="s">
        <v>20</v>
      </c>
      <c r="C2317" t="s">
        <v>320</v>
      </c>
      <c r="D2317">
        <v>3</v>
      </c>
      <c r="E2317" t="s">
        <v>179</v>
      </c>
      <c r="F2317" t="s">
        <v>373</v>
      </c>
      <c r="G2317">
        <v>20</v>
      </c>
      <c r="H2317">
        <v>0</v>
      </c>
      <c r="I2317">
        <f>100-J2317</f>
        <v>20</v>
      </c>
      <c r="J2317">
        <f>100-G2317-H2317</f>
        <v>80</v>
      </c>
      <c r="K2317" t="s">
        <v>19</v>
      </c>
      <c r="L2317" t="s">
        <v>19</v>
      </c>
      <c r="M2317" t="s">
        <v>19</v>
      </c>
      <c r="N2317" t="s">
        <v>19</v>
      </c>
      <c r="O2317" t="s">
        <v>19</v>
      </c>
      <c r="P2317" t="s">
        <v>19</v>
      </c>
      <c r="Q2317">
        <f>I2317</f>
        <v>20</v>
      </c>
      <c r="R2317" t="s">
        <v>19</v>
      </c>
      <c r="S2317" t="s">
        <v>19</v>
      </c>
      <c r="T2317" t="s">
        <v>19</v>
      </c>
    </row>
    <row r="2318" spans="1:21" ht="15" customHeight="1" x14ac:dyDescent="0.25">
      <c r="A2318" s="2">
        <v>45323.641747685186</v>
      </c>
      <c r="B2318" t="s">
        <v>309</v>
      </c>
      <c r="C2318" t="s">
        <v>322</v>
      </c>
      <c r="D2318">
        <v>3</v>
      </c>
      <c r="E2318" t="s">
        <v>179</v>
      </c>
      <c r="F2318" t="s">
        <v>373</v>
      </c>
      <c r="G2318">
        <f>(O2318/(N2318+O2318+P2318))*100</f>
        <v>12.374581939799331</v>
      </c>
      <c r="H2318">
        <f>(P2318/(O2318+P2318+N2318))*100</f>
        <v>0</v>
      </c>
      <c r="I2318">
        <f>((O2318+P2318)/(P2318+O2318+N2318))*100</f>
        <v>12.374581939799331</v>
      </c>
      <c r="J2318">
        <f>(N2318/(P2318+O2318+N2318))*100</f>
        <v>87.625418060200673</v>
      </c>
      <c r="K2318">
        <v>0.8</v>
      </c>
      <c r="L2318">
        <v>0.3</v>
      </c>
      <c r="M2318">
        <v>0.7</v>
      </c>
      <c r="N2318">
        <v>524</v>
      </c>
      <c r="O2318">
        <v>74</v>
      </c>
      <c r="P2318">
        <v>0</v>
      </c>
      <c r="Q2318">
        <v>12.37</v>
      </c>
      <c r="R2318" t="s">
        <v>230</v>
      </c>
      <c r="S2318">
        <v>2.83</v>
      </c>
      <c r="T2318">
        <v>3.27</v>
      </c>
      <c r="U2318">
        <v>126</v>
      </c>
    </row>
    <row r="2319" spans="1:21" ht="15" customHeight="1" x14ac:dyDescent="0.25">
      <c r="A2319" s="2">
        <v>45323.646724537037</v>
      </c>
      <c r="B2319" t="s">
        <v>309</v>
      </c>
      <c r="C2319" t="s">
        <v>322</v>
      </c>
      <c r="D2319">
        <v>3</v>
      </c>
      <c r="E2319" t="s">
        <v>179</v>
      </c>
      <c r="F2319" t="s">
        <v>373</v>
      </c>
      <c r="G2319">
        <f>(O2319/(N2319+O2319+P2319))*100</f>
        <v>14.935064935064934</v>
      </c>
      <c r="H2319">
        <f>(P2319/(O2319+P2319+N2319))*100</f>
        <v>0</v>
      </c>
      <c r="I2319">
        <f>((O2319+P2319)/(P2319+O2319+N2319))*100</f>
        <v>14.935064935064934</v>
      </c>
      <c r="J2319">
        <f>(N2319/(P2319+O2319+N2319))*100</f>
        <v>85.064935064935071</v>
      </c>
      <c r="K2319">
        <v>0.7</v>
      </c>
      <c r="L2319">
        <v>0.3</v>
      </c>
      <c r="M2319">
        <v>0.7</v>
      </c>
      <c r="N2319">
        <v>524</v>
      </c>
      <c r="O2319">
        <v>92</v>
      </c>
      <c r="P2319">
        <v>0</v>
      </c>
      <c r="Q2319">
        <v>14.94</v>
      </c>
      <c r="R2319" t="s">
        <v>332</v>
      </c>
      <c r="S2319">
        <v>2.83</v>
      </c>
      <c r="T2319">
        <v>3.27</v>
      </c>
      <c r="U2319">
        <v>108</v>
      </c>
    </row>
    <row r="2320" spans="1:21" ht="15" customHeight="1" x14ac:dyDescent="0.25">
      <c r="A2320" s="2">
        <v>45325.201863425929</v>
      </c>
      <c r="B2320" t="s">
        <v>309</v>
      </c>
      <c r="C2320" t="s">
        <v>368</v>
      </c>
      <c r="D2320">
        <v>2</v>
      </c>
      <c r="E2320" t="s">
        <v>179</v>
      </c>
      <c r="F2320" t="s">
        <v>373</v>
      </c>
      <c r="G2320">
        <f>(O2320/(N2320+O2320+P2320))*100</f>
        <v>60.344827586206897</v>
      </c>
      <c r="H2320">
        <f>(P2320/(O2320+P2320+N2320))*100</f>
        <v>0</v>
      </c>
      <c r="I2320">
        <v>60.34</v>
      </c>
      <c r="J2320">
        <f>(N2320/(P2320+O2320+N2320))*100</f>
        <v>39.655172413793103</v>
      </c>
      <c r="K2320">
        <v>0.8</v>
      </c>
      <c r="L2320">
        <v>0.3</v>
      </c>
      <c r="M2320">
        <v>0.7</v>
      </c>
      <c r="N2320">
        <v>207</v>
      </c>
      <c r="O2320">
        <v>315</v>
      </c>
      <c r="P2320">
        <v>0</v>
      </c>
      <c r="Q2320">
        <v>60.34</v>
      </c>
      <c r="R2320" t="s">
        <v>332</v>
      </c>
      <c r="S2320">
        <v>1.64</v>
      </c>
      <c r="T2320">
        <v>1.7</v>
      </c>
    </row>
    <row r="2321" spans="1:21" ht="15" customHeight="1" x14ac:dyDescent="0.25">
      <c r="A2321" t="s">
        <v>19</v>
      </c>
      <c r="B2321" t="s">
        <v>20</v>
      </c>
      <c r="C2321" t="s">
        <v>306</v>
      </c>
      <c r="D2321">
        <v>3</v>
      </c>
      <c r="E2321" t="s">
        <v>180</v>
      </c>
      <c r="F2321" t="s">
        <v>373</v>
      </c>
      <c r="G2321">
        <v>0</v>
      </c>
      <c r="H2321">
        <v>0</v>
      </c>
      <c r="I2321">
        <f>G2321+H2321</f>
        <v>0</v>
      </c>
      <c r="J2321">
        <f>100-G2321-H2321</f>
        <v>100</v>
      </c>
      <c r="K2321" t="s">
        <v>19</v>
      </c>
      <c r="L2321" t="s">
        <v>19</v>
      </c>
      <c r="M2321" t="s">
        <v>19</v>
      </c>
      <c r="N2321" t="s">
        <v>19</v>
      </c>
      <c r="O2321" t="s">
        <v>19</v>
      </c>
      <c r="P2321" t="s">
        <v>19</v>
      </c>
      <c r="Q2321">
        <f>I2321</f>
        <v>0</v>
      </c>
      <c r="R2321" t="s">
        <v>19</v>
      </c>
      <c r="S2321" t="s">
        <v>19</v>
      </c>
      <c r="T2321" t="s">
        <v>19</v>
      </c>
    </row>
    <row r="2322" spans="1:21" ht="15" customHeight="1" x14ac:dyDescent="0.25">
      <c r="A2322" t="s">
        <v>19</v>
      </c>
      <c r="B2322" t="s">
        <v>20</v>
      </c>
      <c r="C2322" t="s">
        <v>308</v>
      </c>
      <c r="D2322">
        <v>3</v>
      </c>
      <c r="E2322" t="s">
        <v>180</v>
      </c>
      <c r="F2322" t="s">
        <v>373</v>
      </c>
      <c r="G2322">
        <v>4</v>
      </c>
      <c r="H2322">
        <v>0</v>
      </c>
      <c r="I2322">
        <f>G2322+H2322</f>
        <v>4</v>
      </c>
      <c r="J2322">
        <f>100-G2322-H2322</f>
        <v>96</v>
      </c>
      <c r="K2322" t="s">
        <v>19</v>
      </c>
      <c r="L2322" t="s">
        <v>19</v>
      </c>
      <c r="M2322" t="s">
        <v>19</v>
      </c>
      <c r="N2322" t="s">
        <v>19</v>
      </c>
      <c r="O2322" t="s">
        <v>19</v>
      </c>
      <c r="P2322" t="s">
        <v>19</v>
      </c>
      <c r="Q2322">
        <f>I2322</f>
        <v>4</v>
      </c>
      <c r="R2322" t="s">
        <v>19</v>
      </c>
      <c r="S2322" t="s">
        <v>19</v>
      </c>
      <c r="T2322" t="s">
        <v>19</v>
      </c>
    </row>
    <row r="2323" spans="1:21" ht="15" customHeight="1" x14ac:dyDescent="0.25">
      <c r="A2323" t="s">
        <v>19</v>
      </c>
      <c r="B2323" t="s">
        <v>20</v>
      </c>
      <c r="C2323" t="s">
        <v>22</v>
      </c>
      <c r="D2323">
        <v>3</v>
      </c>
      <c r="E2323" t="s">
        <v>180</v>
      </c>
      <c r="F2323" t="s">
        <v>373</v>
      </c>
      <c r="G2323">
        <v>0</v>
      </c>
      <c r="H2323">
        <v>0</v>
      </c>
      <c r="I2323">
        <f>G2323+H2323</f>
        <v>0</v>
      </c>
      <c r="J2323">
        <f>100-G2323-H2323</f>
        <v>100</v>
      </c>
      <c r="K2323" t="s">
        <v>19</v>
      </c>
      <c r="L2323" t="s">
        <v>19</v>
      </c>
      <c r="M2323" t="s">
        <v>19</v>
      </c>
      <c r="N2323" t="s">
        <v>19</v>
      </c>
      <c r="O2323" t="s">
        <v>19</v>
      </c>
      <c r="P2323" t="s">
        <v>19</v>
      </c>
      <c r="Q2323">
        <f>I2323</f>
        <v>0</v>
      </c>
      <c r="R2323" t="s">
        <v>19</v>
      </c>
      <c r="S2323" t="s">
        <v>19</v>
      </c>
      <c r="T2323" t="s">
        <v>19</v>
      </c>
    </row>
    <row r="2324" spans="1:21" ht="15" customHeight="1" x14ac:dyDescent="0.25">
      <c r="A2324" t="s">
        <v>19</v>
      </c>
      <c r="B2324" t="s">
        <v>20</v>
      </c>
      <c r="C2324" t="s">
        <v>305</v>
      </c>
      <c r="D2324">
        <v>3</v>
      </c>
      <c r="E2324" t="s">
        <v>180</v>
      </c>
      <c r="F2324" t="s">
        <v>373</v>
      </c>
      <c r="G2324">
        <v>1</v>
      </c>
      <c r="H2324">
        <v>0</v>
      </c>
      <c r="I2324">
        <f>G2324+H2324</f>
        <v>1</v>
      </c>
      <c r="J2324">
        <f>100-G2324-H2324</f>
        <v>99</v>
      </c>
      <c r="K2324" t="s">
        <v>19</v>
      </c>
      <c r="L2324" t="s">
        <v>19</v>
      </c>
      <c r="M2324" t="s">
        <v>19</v>
      </c>
      <c r="N2324" t="s">
        <v>19</v>
      </c>
      <c r="O2324" t="s">
        <v>19</v>
      </c>
      <c r="P2324" t="s">
        <v>19</v>
      </c>
      <c r="Q2324">
        <f>I2324</f>
        <v>1</v>
      </c>
      <c r="R2324" t="s">
        <v>19</v>
      </c>
      <c r="S2324" t="s">
        <v>19</v>
      </c>
      <c r="T2324" t="s">
        <v>19</v>
      </c>
    </row>
    <row r="2325" spans="1:21" ht="15" customHeight="1" x14ac:dyDescent="0.25">
      <c r="A2325" t="s">
        <v>19</v>
      </c>
      <c r="B2325" t="s">
        <v>20</v>
      </c>
      <c r="C2325" t="s">
        <v>307</v>
      </c>
      <c r="D2325">
        <v>3</v>
      </c>
      <c r="E2325" t="s">
        <v>180</v>
      </c>
      <c r="F2325" t="s">
        <v>373</v>
      </c>
      <c r="G2325">
        <v>0</v>
      </c>
      <c r="H2325">
        <v>0</v>
      </c>
      <c r="I2325">
        <f>G2325+H2325</f>
        <v>0</v>
      </c>
      <c r="J2325">
        <f>100-G2325-H2325</f>
        <v>100</v>
      </c>
      <c r="K2325" t="s">
        <v>19</v>
      </c>
      <c r="L2325" t="s">
        <v>19</v>
      </c>
      <c r="M2325" t="s">
        <v>19</v>
      </c>
      <c r="N2325" t="s">
        <v>19</v>
      </c>
      <c r="O2325" t="s">
        <v>19</v>
      </c>
      <c r="P2325" t="s">
        <v>19</v>
      </c>
      <c r="Q2325">
        <f>I2325</f>
        <v>0</v>
      </c>
      <c r="R2325" t="s">
        <v>19</v>
      </c>
      <c r="S2325" t="s">
        <v>19</v>
      </c>
      <c r="T2325" t="s">
        <v>19</v>
      </c>
    </row>
    <row r="2326" spans="1:21" ht="15" customHeight="1" x14ac:dyDescent="0.25">
      <c r="A2326" s="2">
        <v>45253.791666666664</v>
      </c>
      <c r="B2326" t="s">
        <v>309</v>
      </c>
      <c r="C2326" t="s">
        <v>213</v>
      </c>
      <c r="D2326">
        <v>3</v>
      </c>
      <c r="E2326" t="s">
        <v>180</v>
      </c>
      <c r="F2326" t="s">
        <v>373</v>
      </c>
      <c r="G2326">
        <v>2.8409090909999999</v>
      </c>
      <c r="H2326">
        <v>0</v>
      </c>
      <c r="I2326">
        <v>2.8409090909999999</v>
      </c>
      <c r="J2326">
        <v>97.159090910000003</v>
      </c>
      <c r="K2326">
        <v>0.8</v>
      </c>
      <c r="L2326">
        <v>0.2</v>
      </c>
      <c r="M2326">
        <v>0.7</v>
      </c>
      <c r="N2326">
        <v>513</v>
      </c>
      <c r="O2326">
        <v>15</v>
      </c>
      <c r="P2326">
        <v>0</v>
      </c>
      <c r="Q2326">
        <v>2.84</v>
      </c>
      <c r="R2326" t="s">
        <v>256</v>
      </c>
      <c r="S2326">
        <v>2.83</v>
      </c>
      <c r="T2326">
        <v>3.04</v>
      </c>
    </row>
    <row r="2327" spans="1:21" ht="15" customHeight="1" x14ac:dyDescent="0.25">
      <c r="A2327" s="2">
        <v>45253.968055555553</v>
      </c>
      <c r="B2327" t="s">
        <v>309</v>
      </c>
      <c r="C2327" t="s">
        <v>215</v>
      </c>
      <c r="D2327">
        <v>2</v>
      </c>
      <c r="E2327" t="s">
        <v>180</v>
      </c>
      <c r="F2327" t="s">
        <v>373</v>
      </c>
      <c r="G2327">
        <v>8.1174438690000006</v>
      </c>
      <c r="H2327">
        <v>0</v>
      </c>
      <c r="I2327">
        <v>8.1174438690000006</v>
      </c>
      <c r="J2327">
        <v>91.882556129999998</v>
      </c>
      <c r="K2327">
        <v>0.8</v>
      </c>
      <c r="L2327">
        <v>0.2</v>
      </c>
      <c r="M2327">
        <v>0.7</v>
      </c>
      <c r="N2327">
        <v>532</v>
      </c>
      <c r="O2327">
        <v>47</v>
      </c>
      <c r="P2327">
        <v>0</v>
      </c>
      <c r="Q2327">
        <v>8.1199999999999992</v>
      </c>
      <c r="R2327" t="s">
        <v>243</v>
      </c>
      <c r="S2327">
        <v>0.24</v>
      </c>
      <c r="T2327">
        <v>0.26</v>
      </c>
    </row>
    <row r="2328" spans="1:21" ht="15" customHeight="1" x14ac:dyDescent="0.25">
      <c r="A2328" s="2">
        <v>45254.145138888889</v>
      </c>
      <c r="B2328" t="s">
        <v>309</v>
      </c>
      <c r="C2328" t="s">
        <v>217</v>
      </c>
      <c r="D2328">
        <v>2</v>
      </c>
      <c r="E2328" t="s">
        <v>180</v>
      </c>
      <c r="F2328" t="s">
        <v>373</v>
      </c>
      <c r="G2328">
        <v>5.6542810990000003</v>
      </c>
      <c r="H2328">
        <v>0</v>
      </c>
      <c r="I2328">
        <v>5.6542810990000003</v>
      </c>
      <c r="J2328">
        <v>94.345718899999994</v>
      </c>
      <c r="K2328">
        <v>0.8</v>
      </c>
      <c r="L2328">
        <v>0.2</v>
      </c>
      <c r="M2328">
        <v>0.7</v>
      </c>
      <c r="N2328">
        <v>584</v>
      </c>
      <c r="O2328">
        <v>35</v>
      </c>
      <c r="P2328">
        <v>0</v>
      </c>
      <c r="Q2328">
        <v>5.65</v>
      </c>
      <c r="R2328" t="s">
        <v>227</v>
      </c>
      <c r="S2328">
        <v>0.16</v>
      </c>
      <c r="T2328">
        <v>0.17</v>
      </c>
    </row>
    <row r="2329" spans="1:21" ht="15" customHeight="1" x14ac:dyDescent="0.25">
      <c r="A2329" s="2">
        <v>45316.479861111111</v>
      </c>
      <c r="B2329" t="s">
        <v>309</v>
      </c>
      <c r="C2329" t="s">
        <v>219</v>
      </c>
      <c r="D2329">
        <v>3</v>
      </c>
      <c r="E2329" t="s">
        <v>180</v>
      </c>
      <c r="F2329" t="s">
        <v>373</v>
      </c>
      <c r="G2329">
        <v>1.361867704</v>
      </c>
      <c r="H2329">
        <v>0.194552529</v>
      </c>
      <c r="I2329">
        <v>1.5564202330000001</v>
      </c>
      <c r="J2329">
        <v>98.443579769999999</v>
      </c>
      <c r="K2329">
        <v>0.8</v>
      </c>
      <c r="L2329">
        <v>0.2</v>
      </c>
      <c r="M2329">
        <v>0.7</v>
      </c>
      <c r="N2329">
        <v>506</v>
      </c>
      <c r="O2329">
        <v>7</v>
      </c>
      <c r="P2329">
        <v>1</v>
      </c>
      <c r="Q2329">
        <v>1.56</v>
      </c>
      <c r="R2329" t="s">
        <v>243</v>
      </c>
      <c r="S2329">
        <v>3.03</v>
      </c>
      <c r="T2329">
        <v>3.96</v>
      </c>
    </row>
    <row r="2330" spans="1:21" ht="15" customHeight="1" x14ac:dyDescent="0.25">
      <c r="A2330" s="2">
        <v>45321.006944444445</v>
      </c>
      <c r="B2330" t="s">
        <v>309</v>
      </c>
      <c r="C2330" t="s">
        <v>221</v>
      </c>
      <c r="D2330">
        <v>2</v>
      </c>
      <c r="E2330" t="s">
        <v>180</v>
      </c>
      <c r="F2330" t="s">
        <v>373</v>
      </c>
      <c r="G2330">
        <v>2.2653721679999999</v>
      </c>
      <c r="H2330">
        <v>0</v>
      </c>
      <c r="I2330">
        <v>2.2653721679999999</v>
      </c>
      <c r="J2330">
        <v>97.734627829999994</v>
      </c>
      <c r="K2330">
        <v>0.8</v>
      </c>
      <c r="L2330">
        <v>0.3</v>
      </c>
      <c r="M2330">
        <v>0.7</v>
      </c>
      <c r="N2330">
        <v>604</v>
      </c>
      <c r="O2330">
        <v>14</v>
      </c>
      <c r="P2330">
        <v>0</v>
      </c>
      <c r="Q2330">
        <v>2.27</v>
      </c>
      <c r="R2330" t="s">
        <v>220</v>
      </c>
      <c r="S2330">
        <v>0.08</v>
      </c>
      <c r="T2330">
        <v>0.09</v>
      </c>
    </row>
    <row r="2331" spans="1:21" ht="15" customHeight="1" x14ac:dyDescent="0.25">
      <c r="A2331" t="s">
        <v>19</v>
      </c>
      <c r="B2331" t="s">
        <v>20</v>
      </c>
      <c r="C2331" t="s">
        <v>320</v>
      </c>
      <c r="D2331">
        <v>3</v>
      </c>
      <c r="E2331" t="s">
        <v>180</v>
      </c>
      <c r="F2331" t="s">
        <v>373</v>
      </c>
      <c r="G2331">
        <v>0</v>
      </c>
      <c r="H2331">
        <v>0</v>
      </c>
      <c r="I2331">
        <f>100-J2331</f>
        <v>0</v>
      </c>
      <c r="J2331">
        <f>100-G2331-H2331</f>
        <v>100</v>
      </c>
      <c r="K2331" t="s">
        <v>19</v>
      </c>
      <c r="L2331" t="s">
        <v>19</v>
      </c>
      <c r="M2331" t="s">
        <v>19</v>
      </c>
      <c r="N2331" t="s">
        <v>19</v>
      </c>
      <c r="O2331" t="s">
        <v>19</v>
      </c>
      <c r="P2331" t="s">
        <v>19</v>
      </c>
      <c r="Q2331">
        <f>I2331</f>
        <v>0</v>
      </c>
      <c r="R2331" t="s">
        <v>19</v>
      </c>
      <c r="S2331" t="s">
        <v>19</v>
      </c>
      <c r="T2331" t="s">
        <v>19</v>
      </c>
    </row>
    <row r="2332" spans="1:21" ht="15" customHeight="1" x14ac:dyDescent="0.25">
      <c r="A2332" s="2">
        <v>45323.64340277778</v>
      </c>
      <c r="B2332" t="s">
        <v>309</v>
      </c>
      <c r="C2332" t="s">
        <v>322</v>
      </c>
      <c r="D2332">
        <v>3</v>
      </c>
      <c r="E2332" t="s">
        <v>180</v>
      </c>
      <c r="F2332" t="s">
        <v>373</v>
      </c>
      <c r="G2332">
        <f>(O2332/(N2332+O2332+P2332))*100</f>
        <v>2.1739130434782608</v>
      </c>
      <c r="H2332">
        <f>(P2332/(O2332+P2332+N2332))*100</f>
        <v>0</v>
      </c>
      <c r="I2332">
        <f>((O2332+P2332)/(P2332+O2332+N2332))*100</f>
        <v>2.1739130434782608</v>
      </c>
      <c r="J2332">
        <f>(N2332/(P2332+O2332+N2332))*100</f>
        <v>97.826086956521735</v>
      </c>
      <c r="K2332">
        <v>0.8</v>
      </c>
      <c r="L2332">
        <v>0.3</v>
      </c>
      <c r="M2332">
        <v>0.7</v>
      </c>
      <c r="N2332">
        <v>585</v>
      </c>
      <c r="O2332">
        <v>13</v>
      </c>
      <c r="P2332">
        <v>0</v>
      </c>
      <c r="Q2332">
        <v>2.17</v>
      </c>
      <c r="R2332" t="s">
        <v>248</v>
      </c>
      <c r="S2332">
        <v>2.72</v>
      </c>
      <c r="T2332">
        <v>3</v>
      </c>
      <c r="U2332">
        <v>48</v>
      </c>
    </row>
    <row r="2333" spans="1:21" ht="15" customHeight="1" x14ac:dyDescent="0.25">
      <c r="A2333" s="2">
        <v>45323.6484375</v>
      </c>
      <c r="B2333" t="s">
        <v>309</v>
      </c>
      <c r="C2333" t="s">
        <v>322</v>
      </c>
      <c r="D2333">
        <v>3</v>
      </c>
      <c r="E2333" t="s">
        <v>180</v>
      </c>
      <c r="F2333" t="s">
        <v>373</v>
      </c>
      <c r="G2333">
        <f>(O2333/(N2333+O2333+P2333))*100</f>
        <v>3.4653465346534658</v>
      </c>
      <c r="H2333">
        <f>(P2333/(O2333+P2333+N2333))*100</f>
        <v>0</v>
      </c>
      <c r="I2333">
        <f>((O2333+P2333)/(P2333+O2333+N2333))*100</f>
        <v>3.4653465346534658</v>
      </c>
      <c r="J2333">
        <f>(N2333/(P2333+O2333+N2333))*100</f>
        <v>96.534653465346537</v>
      </c>
      <c r="K2333">
        <v>0.7</v>
      </c>
      <c r="L2333">
        <v>0.3</v>
      </c>
      <c r="M2333">
        <v>0.7</v>
      </c>
      <c r="N2333">
        <v>585</v>
      </c>
      <c r="O2333">
        <v>21</v>
      </c>
      <c r="P2333">
        <v>0</v>
      </c>
      <c r="Q2333">
        <v>3.47</v>
      </c>
      <c r="R2333" t="s">
        <v>234</v>
      </c>
      <c r="S2333">
        <v>2.72</v>
      </c>
      <c r="T2333">
        <v>3</v>
      </c>
      <c r="U2333">
        <v>40</v>
      </c>
    </row>
    <row r="2334" spans="1:21" ht="15" customHeight="1" x14ac:dyDescent="0.25">
      <c r="A2334" s="2">
        <v>45325.203576388885</v>
      </c>
      <c r="B2334" t="s">
        <v>309</v>
      </c>
      <c r="C2334" t="s">
        <v>368</v>
      </c>
      <c r="D2334">
        <v>2</v>
      </c>
      <c r="E2334" t="s">
        <v>180</v>
      </c>
      <c r="F2334" t="s">
        <v>373</v>
      </c>
      <c r="G2334">
        <f>(O2334/(N2334+O2334+P2334))*100</f>
        <v>0.81168831168831157</v>
      </c>
      <c r="H2334">
        <f>(P2334/(O2334+P2334+N2334))*100</f>
        <v>0</v>
      </c>
      <c r="I2334">
        <v>0.81</v>
      </c>
      <c r="J2334">
        <f>(N2334/(P2334+O2334+N2334))*100</f>
        <v>99.188311688311686</v>
      </c>
      <c r="K2334">
        <v>0.8</v>
      </c>
      <c r="L2334">
        <v>0.3</v>
      </c>
      <c r="M2334">
        <v>0.7</v>
      </c>
      <c r="N2334">
        <v>611</v>
      </c>
      <c r="O2334">
        <v>5</v>
      </c>
      <c r="P2334">
        <v>0</v>
      </c>
      <c r="Q2334">
        <v>0.81</v>
      </c>
      <c r="R2334" t="s">
        <v>277</v>
      </c>
      <c r="S2334">
        <v>0.06</v>
      </c>
      <c r="T2334">
        <v>0.06</v>
      </c>
    </row>
    <row r="2335" spans="1:21" ht="15" customHeight="1" x14ac:dyDescent="0.25">
      <c r="A2335" t="s">
        <v>19</v>
      </c>
      <c r="B2335" t="s">
        <v>20</v>
      </c>
      <c r="C2335" t="s">
        <v>308</v>
      </c>
      <c r="D2335">
        <v>3</v>
      </c>
      <c r="E2335" t="s">
        <v>181</v>
      </c>
      <c r="F2335" t="s">
        <v>388</v>
      </c>
      <c r="G2335">
        <v>30</v>
      </c>
      <c r="H2335">
        <v>25</v>
      </c>
      <c r="I2335">
        <f>G2335+H2335</f>
        <v>55</v>
      </c>
      <c r="J2335">
        <f>100-G2335-H2335</f>
        <v>45</v>
      </c>
      <c r="K2335" t="s">
        <v>19</v>
      </c>
      <c r="L2335" t="s">
        <v>19</v>
      </c>
      <c r="M2335" t="s">
        <v>19</v>
      </c>
      <c r="N2335" t="s">
        <v>19</v>
      </c>
      <c r="O2335" t="s">
        <v>19</v>
      </c>
      <c r="P2335" t="s">
        <v>19</v>
      </c>
      <c r="Q2335">
        <f>I2335</f>
        <v>55</v>
      </c>
      <c r="R2335" t="s">
        <v>19</v>
      </c>
      <c r="S2335" t="s">
        <v>19</v>
      </c>
      <c r="T2335" t="s">
        <v>19</v>
      </c>
    </row>
    <row r="2336" spans="1:21" ht="15" customHeight="1" x14ac:dyDescent="0.25">
      <c r="A2336" t="s">
        <v>19</v>
      </c>
      <c r="B2336" t="s">
        <v>20</v>
      </c>
      <c r="C2336" t="s">
        <v>22</v>
      </c>
      <c r="D2336">
        <v>3</v>
      </c>
      <c r="E2336" t="s">
        <v>181</v>
      </c>
      <c r="F2336" t="s">
        <v>388</v>
      </c>
      <c r="G2336">
        <v>15</v>
      </c>
      <c r="H2336">
        <v>30</v>
      </c>
      <c r="I2336">
        <f>G2336+H2336</f>
        <v>45</v>
      </c>
      <c r="J2336">
        <f>100-G2336-H2336</f>
        <v>55</v>
      </c>
      <c r="K2336" t="s">
        <v>19</v>
      </c>
      <c r="L2336" t="s">
        <v>19</v>
      </c>
      <c r="M2336" t="s">
        <v>19</v>
      </c>
      <c r="N2336" t="s">
        <v>19</v>
      </c>
      <c r="O2336" t="s">
        <v>19</v>
      </c>
      <c r="P2336" t="s">
        <v>19</v>
      </c>
      <c r="Q2336">
        <f>I2336</f>
        <v>45</v>
      </c>
      <c r="R2336" t="s">
        <v>19</v>
      </c>
      <c r="S2336" t="s">
        <v>19</v>
      </c>
      <c r="T2336" t="s">
        <v>19</v>
      </c>
    </row>
    <row r="2337" spans="1:21" ht="15" customHeight="1" x14ac:dyDescent="0.25">
      <c r="A2337" t="s">
        <v>19</v>
      </c>
      <c r="B2337" t="s">
        <v>20</v>
      </c>
      <c r="C2337" t="s">
        <v>305</v>
      </c>
      <c r="D2337">
        <v>3</v>
      </c>
      <c r="E2337" t="s">
        <v>181</v>
      </c>
      <c r="F2337" t="s">
        <v>388</v>
      </c>
      <c r="G2337">
        <v>20</v>
      </c>
      <c r="H2337">
        <v>25</v>
      </c>
      <c r="I2337">
        <f>G2337+H2337</f>
        <v>45</v>
      </c>
      <c r="J2337">
        <f>100-G2337-H2337</f>
        <v>55</v>
      </c>
      <c r="K2337" t="s">
        <v>19</v>
      </c>
      <c r="L2337" t="s">
        <v>19</v>
      </c>
      <c r="M2337" t="s">
        <v>19</v>
      </c>
      <c r="N2337" t="s">
        <v>19</v>
      </c>
      <c r="O2337" t="s">
        <v>19</v>
      </c>
      <c r="P2337" t="s">
        <v>19</v>
      </c>
      <c r="Q2337">
        <f>I2337</f>
        <v>45</v>
      </c>
      <c r="R2337" t="s">
        <v>19</v>
      </c>
      <c r="S2337" t="s">
        <v>19</v>
      </c>
      <c r="T2337" t="s">
        <v>19</v>
      </c>
    </row>
    <row r="2338" spans="1:21" ht="15" customHeight="1" x14ac:dyDescent="0.25">
      <c r="A2338" t="s">
        <v>19</v>
      </c>
      <c r="B2338" t="s">
        <v>20</v>
      </c>
      <c r="C2338" t="s">
        <v>307</v>
      </c>
      <c r="D2338">
        <v>3</v>
      </c>
      <c r="E2338" t="s">
        <v>181</v>
      </c>
      <c r="F2338" t="s">
        <v>388</v>
      </c>
      <c r="G2338">
        <v>15</v>
      </c>
      <c r="H2338">
        <v>15</v>
      </c>
      <c r="I2338">
        <f>G2338+H2338</f>
        <v>30</v>
      </c>
      <c r="J2338">
        <f>100-G2338-H2338</f>
        <v>70</v>
      </c>
      <c r="K2338" t="s">
        <v>19</v>
      </c>
      <c r="L2338" t="s">
        <v>19</v>
      </c>
      <c r="M2338" t="s">
        <v>19</v>
      </c>
      <c r="N2338" t="s">
        <v>19</v>
      </c>
      <c r="O2338" t="s">
        <v>19</v>
      </c>
      <c r="P2338" t="s">
        <v>19</v>
      </c>
      <c r="Q2338">
        <f>I2338</f>
        <v>30</v>
      </c>
      <c r="R2338" t="s">
        <v>19</v>
      </c>
      <c r="S2338" t="s">
        <v>19</v>
      </c>
      <c r="T2338" t="s">
        <v>19</v>
      </c>
    </row>
    <row r="2339" spans="1:21" ht="15" customHeight="1" x14ac:dyDescent="0.25">
      <c r="A2339" s="2">
        <v>45253.631249999999</v>
      </c>
      <c r="B2339" t="s">
        <v>309</v>
      </c>
      <c r="C2339" t="s">
        <v>213</v>
      </c>
      <c r="D2339">
        <v>3</v>
      </c>
      <c r="E2339" t="s">
        <v>181</v>
      </c>
      <c r="F2339" t="s">
        <v>388</v>
      </c>
      <c r="G2339">
        <v>3.231292517</v>
      </c>
      <c r="H2339">
        <v>47.789115649999999</v>
      </c>
      <c r="I2339">
        <v>51.020408160000002</v>
      </c>
      <c r="J2339">
        <v>48.979591839999998</v>
      </c>
      <c r="K2339">
        <v>0.8</v>
      </c>
      <c r="L2339">
        <v>0.2</v>
      </c>
      <c r="M2339">
        <v>0.7</v>
      </c>
      <c r="N2339">
        <v>288</v>
      </c>
      <c r="O2339">
        <v>19</v>
      </c>
      <c r="P2339">
        <v>281</v>
      </c>
      <c r="Q2339">
        <v>51.02</v>
      </c>
      <c r="R2339" t="s">
        <v>245</v>
      </c>
      <c r="S2339">
        <v>2.77</v>
      </c>
      <c r="T2339">
        <v>3.66</v>
      </c>
    </row>
    <row r="2340" spans="1:21" ht="15" customHeight="1" x14ac:dyDescent="0.25">
      <c r="A2340" s="2">
        <v>45253.882638888892</v>
      </c>
      <c r="B2340" t="s">
        <v>309</v>
      </c>
      <c r="C2340" t="s">
        <v>215</v>
      </c>
      <c r="D2340">
        <v>2</v>
      </c>
      <c r="E2340" t="s">
        <v>181</v>
      </c>
      <c r="F2340" t="s">
        <v>388</v>
      </c>
      <c r="G2340">
        <v>17.613636360000001</v>
      </c>
      <c r="H2340">
        <v>0</v>
      </c>
      <c r="I2340">
        <v>17.613636360000001</v>
      </c>
      <c r="J2340">
        <v>82.386363639999999</v>
      </c>
      <c r="K2340">
        <v>0.8</v>
      </c>
      <c r="L2340">
        <v>0.2</v>
      </c>
      <c r="M2340">
        <v>0.7</v>
      </c>
      <c r="N2340">
        <v>580</v>
      </c>
      <c r="O2340">
        <v>124</v>
      </c>
      <c r="P2340">
        <v>0</v>
      </c>
      <c r="Q2340">
        <v>17.61</v>
      </c>
      <c r="R2340" t="s">
        <v>227</v>
      </c>
      <c r="S2340">
        <v>0.48</v>
      </c>
      <c r="T2340">
        <v>0.52</v>
      </c>
    </row>
    <row r="2341" spans="1:21" ht="15" customHeight="1" x14ac:dyDescent="0.25">
      <c r="A2341" s="2">
        <v>45254.052777777775</v>
      </c>
      <c r="B2341" t="s">
        <v>309</v>
      </c>
      <c r="C2341" t="s">
        <v>217</v>
      </c>
      <c r="D2341">
        <v>2</v>
      </c>
      <c r="E2341" t="s">
        <v>181</v>
      </c>
      <c r="F2341" t="s">
        <v>388</v>
      </c>
      <c r="G2341">
        <v>23.983169709999999</v>
      </c>
      <c r="H2341">
        <v>0</v>
      </c>
      <c r="I2341">
        <v>23.983169709999999</v>
      </c>
      <c r="J2341">
        <v>76.016830290000001</v>
      </c>
      <c r="K2341">
        <v>0.8</v>
      </c>
      <c r="L2341">
        <v>0.2</v>
      </c>
      <c r="M2341">
        <v>0.7</v>
      </c>
      <c r="N2341">
        <v>542</v>
      </c>
      <c r="O2341">
        <v>171</v>
      </c>
      <c r="P2341">
        <v>0</v>
      </c>
      <c r="Q2341">
        <v>23.98</v>
      </c>
      <c r="R2341" t="s">
        <v>229</v>
      </c>
      <c r="S2341">
        <v>0.63</v>
      </c>
      <c r="T2341">
        <v>0.67</v>
      </c>
    </row>
    <row r="2342" spans="1:21" ht="15" customHeight="1" x14ac:dyDescent="0.25">
      <c r="A2342" s="2">
        <v>45316.5625</v>
      </c>
      <c r="B2342" t="s">
        <v>309</v>
      </c>
      <c r="C2342" t="s">
        <v>219</v>
      </c>
      <c r="D2342">
        <v>3</v>
      </c>
      <c r="E2342" t="s">
        <v>181</v>
      </c>
      <c r="F2342" t="s">
        <v>388</v>
      </c>
      <c r="G2342">
        <v>8.0246913580000001</v>
      </c>
      <c r="H2342">
        <v>56.172839510000003</v>
      </c>
      <c r="I2342">
        <v>64.197530860000001</v>
      </c>
      <c r="J2342">
        <v>35.802469139999999</v>
      </c>
      <c r="K2342">
        <v>0.8</v>
      </c>
      <c r="L2342">
        <v>0.2</v>
      </c>
      <c r="M2342">
        <v>0.7</v>
      </c>
      <c r="N2342">
        <v>174</v>
      </c>
      <c r="O2342">
        <v>39</v>
      </c>
      <c r="P2342">
        <v>273</v>
      </c>
      <c r="Q2342">
        <v>64.2</v>
      </c>
      <c r="R2342" t="s">
        <v>225</v>
      </c>
      <c r="S2342">
        <v>3.13</v>
      </c>
      <c r="T2342">
        <v>4.53</v>
      </c>
    </row>
    <row r="2343" spans="1:21" ht="15" customHeight="1" x14ac:dyDescent="0.25">
      <c r="A2343" s="2">
        <v>45320.907638888886</v>
      </c>
      <c r="B2343" t="s">
        <v>309</v>
      </c>
      <c r="C2343" t="s">
        <v>221</v>
      </c>
      <c r="D2343">
        <v>2</v>
      </c>
      <c r="E2343" t="s">
        <v>181</v>
      </c>
      <c r="F2343" t="s">
        <v>388</v>
      </c>
      <c r="G2343">
        <v>64.285714290000001</v>
      </c>
      <c r="H2343">
        <v>0</v>
      </c>
      <c r="I2343">
        <v>64.285714290000001</v>
      </c>
      <c r="J2343">
        <v>35.714285709999999</v>
      </c>
      <c r="K2343">
        <v>0.8</v>
      </c>
      <c r="L2343">
        <v>0.3</v>
      </c>
      <c r="M2343">
        <v>0.7</v>
      </c>
      <c r="N2343">
        <v>220</v>
      </c>
      <c r="O2343">
        <v>396</v>
      </c>
      <c r="P2343">
        <v>0</v>
      </c>
      <c r="Q2343">
        <v>64.290000000000006</v>
      </c>
      <c r="R2343" t="s">
        <v>242</v>
      </c>
      <c r="S2343">
        <v>1.61</v>
      </c>
      <c r="T2343">
        <v>1.72</v>
      </c>
    </row>
    <row r="2344" spans="1:21" ht="15" customHeight="1" x14ac:dyDescent="0.25">
      <c r="A2344" t="s">
        <v>19</v>
      </c>
      <c r="B2344" t="s">
        <v>20</v>
      </c>
      <c r="C2344" t="s">
        <v>306</v>
      </c>
      <c r="D2344">
        <v>3</v>
      </c>
      <c r="E2344" t="s">
        <v>181</v>
      </c>
      <c r="F2344" t="s">
        <v>388</v>
      </c>
      <c r="G2344">
        <v>25</v>
      </c>
      <c r="H2344">
        <v>45</v>
      </c>
      <c r="I2344">
        <f>G2344+H2344</f>
        <v>70</v>
      </c>
      <c r="J2344">
        <f>100-G2344-H2344</f>
        <v>30</v>
      </c>
      <c r="K2344" t="s">
        <v>19</v>
      </c>
      <c r="L2344" t="s">
        <v>19</v>
      </c>
      <c r="M2344" t="s">
        <v>19</v>
      </c>
      <c r="N2344" t="s">
        <v>19</v>
      </c>
      <c r="O2344" t="s">
        <v>19</v>
      </c>
      <c r="P2344" t="s">
        <v>19</v>
      </c>
      <c r="Q2344">
        <f>I2344</f>
        <v>70</v>
      </c>
      <c r="R2344" t="s">
        <v>19</v>
      </c>
      <c r="S2344" t="s">
        <v>19</v>
      </c>
      <c r="T2344" t="s">
        <v>19</v>
      </c>
    </row>
    <row r="2345" spans="1:21" ht="15" customHeight="1" x14ac:dyDescent="0.25">
      <c r="A2345" t="s">
        <v>19</v>
      </c>
      <c r="B2345" t="s">
        <v>20</v>
      </c>
      <c r="C2345" t="s">
        <v>320</v>
      </c>
      <c r="D2345">
        <v>3</v>
      </c>
      <c r="E2345" t="s">
        <v>181</v>
      </c>
      <c r="F2345" t="s">
        <v>388</v>
      </c>
      <c r="G2345">
        <v>15</v>
      </c>
      <c r="H2345">
        <v>30</v>
      </c>
      <c r="I2345">
        <f>100-J2345</f>
        <v>45</v>
      </c>
      <c r="J2345">
        <f>100-G2345-H2345</f>
        <v>55</v>
      </c>
      <c r="K2345" t="s">
        <v>19</v>
      </c>
      <c r="L2345" t="s">
        <v>19</v>
      </c>
      <c r="M2345" t="s">
        <v>19</v>
      </c>
      <c r="N2345" t="s">
        <v>19</v>
      </c>
      <c r="O2345" t="s">
        <v>19</v>
      </c>
      <c r="P2345" t="s">
        <v>19</v>
      </c>
      <c r="Q2345">
        <f>I2345</f>
        <v>45</v>
      </c>
      <c r="R2345" t="s">
        <v>19</v>
      </c>
      <c r="S2345" t="s">
        <v>19</v>
      </c>
      <c r="T2345" t="s">
        <v>19</v>
      </c>
    </row>
    <row r="2346" spans="1:21" ht="15" customHeight="1" x14ac:dyDescent="0.25">
      <c r="A2346" s="2">
        <v>45323.64371527778</v>
      </c>
      <c r="B2346" t="s">
        <v>309</v>
      </c>
      <c r="C2346" t="s">
        <v>322</v>
      </c>
      <c r="D2346">
        <v>3</v>
      </c>
      <c r="E2346" t="s">
        <v>181</v>
      </c>
      <c r="F2346" t="s">
        <v>388</v>
      </c>
      <c r="G2346">
        <f>(O2346/(N2346+O2346+P2346))*100</f>
        <v>17.80821917808219</v>
      </c>
      <c r="H2346">
        <f>(P2346/(O2346+P2346+N2346))*100</f>
        <v>39.041095890410958</v>
      </c>
      <c r="I2346">
        <v>56.85</v>
      </c>
      <c r="J2346">
        <f>(N2346/(P2346+O2346+N2346))*100</f>
        <v>43.150684931506852</v>
      </c>
      <c r="K2346">
        <v>0.8</v>
      </c>
      <c r="L2346">
        <v>0.3</v>
      </c>
      <c r="M2346">
        <v>0.7</v>
      </c>
      <c r="N2346">
        <v>252</v>
      </c>
      <c r="O2346">
        <v>104</v>
      </c>
      <c r="P2346">
        <v>228</v>
      </c>
      <c r="Q2346">
        <v>56.85</v>
      </c>
      <c r="R2346" t="s">
        <v>255</v>
      </c>
      <c r="S2346">
        <v>2.56</v>
      </c>
      <c r="T2346">
        <v>4.32</v>
      </c>
      <c r="U2346">
        <v>80</v>
      </c>
    </row>
    <row r="2347" spans="1:21" ht="15" customHeight="1" x14ac:dyDescent="0.25">
      <c r="A2347" s="2">
        <v>45323.639606481483</v>
      </c>
      <c r="B2347" t="s">
        <v>309</v>
      </c>
      <c r="C2347" t="s">
        <v>322</v>
      </c>
      <c r="D2347">
        <v>3</v>
      </c>
      <c r="E2347" t="s">
        <v>181</v>
      </c>
      <c r="F2347" t="s">
        <v>388</v>
      </c>
      <c r="G2347">
        <f>(O2347/(N2347+O2347+P2347))*100</f>
        <v>19.86644407345576</v>
      </c>
      <c r="H2347">
        <f>(P2347/(O2347+P2347+N2347))*100</f>
        <v>40.233722871452422</v>
      </c>
      <c r="I2347">
        <v>60.1</v>
      </c>
      <c r="J2347">
        <f>(N2347/(P2347+O2347+N2347))*100</f>
        <v>39.899833055091818</v>
      </c>
      <c r="K2347">
        <v>0.7</v>
      </c>
      <c r="L2347">
        <v>0.3</v>
      </c>
      <c r="M2347">
        <v>0.7</v>
      </c>
      <c r="N2347">
        <v>239</v>
      </c>
      <c r="O2347">
        <v>119</v>
      </c>
      <c r="P2347">
        <v>241</v>
      </c>
      <c r="Q2347">
        <v>60.1</v>
      </c>
      <c r="R2347" t="s">
        <v>240</v>
      </c>
      <c r="S2347">
        <v>2.56</v>
      </c>
      <c r="T2347">
        <v>4.32</v>
      </c>
      <c r="U2347">
        <v>65</v>
      </c>
    </row>
    <row r="2348" spans="1:21" ht="15" customHeight="1" x14ac:dyDescent="0.25">
      <c r="A2348" s="2">
        <v>45325.055879629632</v>
      </c>
      <c r="B2348" t="s">
        <v>309</v>
      </c>
      <c r="C2348" t="s">
        <v>368</v>
      </c>
      <c r="D2348">
        <v>2</v>
      </c>
      <c r="E2348" t="s">
        <v>181</v>
      </c>
      <c r="F2348" t="s">
        <v>388</v>
      </c>
      <c r="G2348">
        <f>(O2348/(N2348+O2348+P2348))*100</f>
        <v>69.384359400998335</v>
      </c>
      <c r="H2348">
        <f>(P2348/(O2348+P2348+N2348))*100</f>
        <v>0</v>
      </c>
      <c r="I2348">
        <v>69.38</v>
      </c>
      <c r="J2348">
        <f>(N2348/(P2348+O2348+N2348))*100</f>
        <v>30.615640599001665</v>
      </c>
      <c r="K2348">
        <v>0.8</v>
      </c>
      <c r="L2348">
        <v>0.3</v>
      </c>
      <c r="M2348">
        <v>0.7</v>
      </c>
      <c r="N2348">
        <v>184</v>
      </c>
      <c r="O2348">
        <v>417</v>
      </c>
      <c r="P2348">
        <v>0</v>
      </c>
      <c r="Q2348">
        <v>69.38</v>
      </c>
      <c r="R2348" t="s">
        <v>238</v>
      </c>
      <c r="S2348">
        <v>1.6</v>
      </c>
      <c r="T2348">
        <v>1.74</v>
      </c>
    </row>
    <row r="2349" spans="1:21" ht="15" customHeight="1" x14ac:dyDescent="0.25">
      <c r="A2349" t="s">
        <v>19</v>
      </c>
      <c r="B2349" t="s">
        <v>20</v>
      </c>
      <c r="C2349" t="s">
        <v>308</v>
      </c>
      <c r="D2349">
        <v>3</v>
      </c>
      <c r="E2349" t="s">
        <v>182</v>
      </c>
      <c r="F2349" t="s">
        <v>388</v>
      </c>
      <c r="G2349">
        <v>0</v>
      </c>
      <c r="H2349">
        <v>0</v>
      </c>
      <c r="I2349">
        <f>G2349+H2349</f>
        <v>0</v>
      </c>
      <c r="J2349">
        <f>100-G2349-H2349</f>
        <v>100</v>
      </c>
      <c r="K2349" t="s">
        <v>19</v>
      </c>
      <c r="L2349" t="s">
        <v>19</v>
      </c>
      <c r="M2349" t="s">
        <v>19</v>
      </c>
      <c r="N2349" t="s">
        <v>19</v>
      </c>
      <c r="O2349" t="s">
        <v>19</v>
      </c>
      <c r="P2349" t="s">
        <v>19</v>
      </c>
      <c r="Q2349">
        <f>I2349</f>
        <v>0</v>
      </c>
      <c r="R2349" t="s">
        <v>19</v>
      </c>
      <c r="S2349" t="s">
        <v>19</v>
      </c>
      <c r="T2349" t="s">
        <v>19</v>
      </c>
    </row>
    <row r="2350" spans="1:21" ht="15" customHeight="1" x14ac:dyDescent="0.25">
      <c r="A2350" t="s">
        <v>19</v>
      </c>
      <c r="B2350" t="s">
        <v>20</v>
      </c>
      <c r="C2350" t="s">
        <v>22</v>
      </c>
      <c r="D2350">
        <v>3</v>
      </c>
      <c r="E2350" t="s">
        <v>182</v>
      </c>
      <c r="F2350" t="s">
        <v>388</v>
      </c>
      <c r="G2350">
        <v>0</v>
      </c>
      <c r="H2350">
        <v>0</v>
      </c>
      <c r="I2350">
        <f>G2350+H2350</f>
        <v>0</v>
      </c>
      <c r="J2350">
        <f>100-G2350-H2350</f>
        <v>100</v>
      </c>
      <c r="K2350" t="s">
        <v>19</v>
      </c>
      <c r="L2350" t="s">
        <v>19</v>
      </c>
      <c r="M2350" t="s">
        <v>19</v>
      </c>
      <c r="N2350" t="s">
        <v>19</v>
      </c>
      <c r="O2350" t="s">
        <v>19</v>
      </c>
      <c r="P2350" t="s">
        <v>19</v>
      </c>
      <c r="Q2350">
        <f>I2350</f>
        <v>0</v>
      </c>
      <c r="R2350" t="s">
        <v>19</v>
      </c>
      <c r="S2350" t="s">
        <v>19</v>
      </c>
      <c r="T2350" t="s">
        <v>19</v>
      </c>
    </row>
    <row r="2351" spans="1:21" ht="15" customHeight="1" x14ac:dyDescent="0.25">
      <c r="A2351" t="s">
        <v>19</v>
      </c>
      <c r="B2351" t="s">
        <v>20</v>
      </c>
      <c r="C2351" t="s">
        <v>305</v>
      </c>
      <c r="D2351">
        <v>3</v>
      </c>
      <c r="E2351" t="s">
        <v>182</v>
      </c>
      <c r="F2351" t="s">
        <v>388</v>
      </c>
      <c r="G2351">
        <v>4</v>
      </c>
      <c r="H2351">
        <v>0</v>
      </c>
      <c r="I2351">
        <f>G2351+H2351</f>
        <v>4</v>
      </c>
      <c r="J2351">
        <f>100-G2351-H2351</f>
        <v>96</v>
      </c>
      <c r="K2351" t="s">
        <v>19</v>
      </c>
      <c r="L2351" t="s">
        <v>19</v>
      </c>
      <c r="M2351" t="s">
        <v>19</v>
      </c>
      <c r="N2351" t="s">
        <v>19</v>
      </c>
      <c r="O2351" t="s">
        <v>19</v>
      </c>
      <c r="P2351" t="s">
        <v>19</v>
      </c>
      <c r="Q2351">
        <f>I2351</f>
        <v>4</v>
      </c>
      <c r="R2351" t="s">
        <v>19</v>
      </c>
      <c r="S2351" t="s">
        <v>19</v>
      </c>
      <c r="T2351" t="s">
        <v>19</v>
      </c>
    </row>
    <row r="2352" spans="1:21" ht="15" customHeight="1" x14ac:dyDescent="0.25">
      <c r="A2352" t="s">
        <v>19</v>
      </c>
      <c r="B2352" t="s">
        <v>20</v>
      </c>
      <c r="C2352" t="s">
        <v>307</v>
      </c>
      <c r="D2352">
        <v>3</v>
      </c>
      <c r="E2352" t="s">
        <v>182</v>
      </c>
      <c r="F2352" t="s">
        <v>388</v>
      </c>
      <c r="G2352">
        <v>0</v>
      </c>
      <c r="H2352">
        <v>0</v>
      </c>
      <c r="I2352">
        <f>G2352+H2352</f>
        <v>0</v>
      </c>
      <c r="J2352">
        <f>100-G2352-H2352</f>
        <v>100</v>
      </c>
      <c r="K2352" t="s">
        <v>19</v>
      </c>
      <c r="L2352" t="s">
        <v>19</v>
      </c>
      <c r="M2352" t="s">
        <v>19</v>
      </c>
      <c r="N2352" t="s">
        <v>19</v>
      </c>
      <c r="O2352" t="s">
        <v>19</v>
      </c>
      <c r="P2352" t="s">
        <v>19</v>
      </c>
      <c r="Q2352">
        <f>I2352</f>
        <v>0</v>
      </c>
      <c r="R2352" t="s">
        <v>19</v>
      </c>
      <c r="S2352" t="s">
        <v>19</v>
      </c>
      <c r="T2352" t="s">
        <v>19</v>
      </c>
    </row>
    <row r="2353" spans="1:21" ht="15" customHeight="1" x14ac:dyDescent="0.25">
      <c r="A2353" s="2">
        <v>45253.632638888892</v>
      </c>
      <c r="B2353" t="s">
        <v>309</v>
      </c>
      <c r="C2353" t="s">
        <v>213</v>
      </c>
      <c r="D2353">
        <v>3</v>
      </c>
      <c r="E2353" t="s">
        <v>182</v>
      </c>
      <c r="F2353" t="s">
        <v>388</v>
      </c>
      <c r="G2353">
        <v>0</v>
      </c>
      <c r="H2353">
        <v>1.169590643</v>
      </c>
      <c r="I2353">
        <v>1.169590643</v>
      </c>
      <c r="J2353">
        <v>98.830409360000004</v>
      </c>
      <c r="K2353">
        <v>0.8</v>
      </c>
      <c r="L2353">
        <v>0.2</v>
      </c>
      <c r="M2353">
        <v>0.7</v>
      </c>
      <c r="N2353">
        <v>676</v>
      </c>
      <c r="O2353">
        <v>0</v>
      </c>
      <c r="P2353">
        <v>8</v>
      </c>
      <c r="Q2353">
        <v>1.17</v>
      </c>
      <c r="R2353" t="s">
        <v>253</v>
      </c>
      <c r="S2353">
        <v>2.63</v>
      </c>
      <c r="T2353">
        <v>3.33</v>
      </c>
    </row>
    <row r="2354" spans="1:21" ht="15" customHeight="1" x14ac:dyDescent="0.25">
      <c r="A2354" s="2">
        <v>45253.883333333331</v>
      </c>
      <c r="B2354" t="s">
        <v>309</v>
      </c>
      <c r="C2354" t="s">
        <v>215</v>
      </c>
      <c r="D2354">
        <v>2</v>
      </c>
      <c r="E2354" t="s">
        <v>182</v>
      </c>
      <c r="F2354" t="s">
        <v>388</v>
      </c>
      <c r="G2354">
        <v>15.21418021</v>
      </c>
      <c r="H2354">
        <v>0</v>
      </c>
      <c r="I2354">
        <v>15.21418021</v>
      </c>
      <c r="J2354">
        <v>84.785819790000005</v>
      </c>
      <c r="K2354">
        <v>0.8</v>
      </c>
      <c r="L2354">
        <v>0.2</v>
      </c>
      <c r="M2354">
        <v>0.7</v>
      </c>
      <c r="N2354">
        <v>574</v>
      </c>
      <c r="O2354">
        <v>103</v>
      </c>
      <c r="P2354">
        <v>0</v>
      </c>
      <c r="Q2354">
        <v>15.21</v>
      </c>
      <c r="R2354" t="s">
        <v>227</v>
      </c>
      <c r="S2354">
        <v>0.41</v>
      </c>
      <c r="T2354">
        <v>0.45</v>
      </c>
    </row>
    <row r="2355" spans="1:21" ht="15" customHeight="1" x14ac:dyDescent="0.25">
      <c r="A2355" s="2">
        <v>45254.054166666669</v>
      </c>
      <c r="B2355" t="s">
        <v>309</v>
      </c>
      <c r="C2355" t="s">
        <v>217</v>
      </c>
      <c r="D2355">
        <v>2</v>
      </c>
      <c r="E2355" t="s">
        <v>182</v>
      </c>
      <c r="F2355" t="s">
        <v>388</v>
      </c>
      <c r="G2355">
        <v>24.528301890000002</v>
      </c>
      <c r="H2355">
        <v>0</v>
      </c>
      <c r="I2355">
        <v>24.528301890000002</v>
      </c>
      <c r="J2355">
        <v>75.471698110000005</v>
      </c>
      <c r="K2355">
        <v>0.8</v>
      </c>
      <c r="L2355">
        <v>0.2</v>
      </c>
      <c r="M2355">
        <v>0.7</v>
      </c>
      <c r="N2355">
        <v>480</v>
      </c>
      <c r="O2355">
        <v>156</v>
      </c>
      <c r="P2355">
        <v>0</v>
      </c>
      <c r="Q2355">
        <v>24.53</v>
      </c>
      <c r="R2355" t="s">
        <v>222</v>
      </c>
      <c r="S2355">
        <v>0.67</v>
      </c>
      <c r="T2355">
        <v>0.71</v>
      </c>
    </row>
    <row r="2356" spans="1:21" ht="15" customHeight="1" x14ac:dyDescent="0.25">
      <c r="A2356" s="2">
        <v>45316.563194444447</v>
      </c>
      <c r="B2356" t="s">
        <v>309</v>
      </c>
      <c r="C2356" t="s">
        <v>219</v>
      </c>
      <c r="D2356">
        <v>3</v>
      </c>
      <c r="E2356" t="s">
        <v>182</v>
      </c>
      <c r="F2356" t="s">
        <v>388</v>
      </c>
      <c r="G2356">
        <v>0.31595576600000003</v>
      </c>
      <c r="H2356">
        <v>1.421800948</v>
      </c>
      <c r="I2356">
        <v>1.7377567140000001</v>
      </c>
      <c r="J2356">
        <v>98.262243290000001</v>
      </c>
      <c r="K2356">
        <v>0.8</v>
      </c>
      <c r="L2356">
        <v>0.2</v>
      </c>
      <c r="M2356">
        <v>0.7</v>
      </c>
      <c r="N2356">
        <v>622</v>
      </c>
      <c r="O2356">
        <v>2</v>
      </c>
      <c r="P2356">
        <v>9</v>
      </c>
      <c r="Q2356">
        <v>1.74</v>
      </c>
      <c r="R2356" t="s">
        <v>225</v>
      </c>
      <c r="S2356">
        <v>3.03</v>
      </c>
      <c r="T2356">
        <v>4.57</v>
      </c>
    </row>
    <row r="2357" spans="1:21" ht="15" customHeight="1" x14ac:dyDescent="0.25">
      <c r="A2357" s="2">
        <v>45320.908333333333</v>
      </c>
      <c r="B2357" t="s">
        <v>309</v>
      </c>
      <c r="C2357" t="s">
        <v>221</v>
      </c>
      <c r="D2357">
        <v>2</v>
      </c>
      <c r="E2357" t="s">
        <v>182</v>
      </c>
      <c r="F2357" t="s">
        <v>388</v>
      </c>
      <c r="G2357">
        <v>2.7027027029999999</v>
      </c>
      <c r="H2357">
        <v>0</v>
      </c>
      <c r="I2357">
        <v>2.7027027029999999</v>
      </c>
      <c r="J2357">
        <v>97.297297299999997</v>
      </c>
      <c r="K2357">
        <v>0.8</v>
      </c>
      <c r="L2357">
        <v>0.3</v>
      </c>
      <c r="M2357">
        <v>0.7</v>
      </c>
      <c r="N2357">
        <v>612</v>
      </c>
      <c r="O2357">
        <v>17</v>
      </c>
      <c r="P2357">
        <v>0</v>
      </c>
      <c r="Q2357">
        <v>2.7</v>
      </c>
      <c r="R2357" t="s">
        <v>228</v>
      </c>
      <c r="S2357">
        <v>0.18</v>
      </c>
      <c r="T2357">
        <v>0.2</v>
      </c>
    </row>
    <row r="2358" spans="1:21" ht="15" customHeight="1" x14ac:dyDescent="0.25">
      <c r="A2358" t="s">
        <v>19</v>
      </c>
      <c r="B2358" t="s">
        <v>20</v>
      </c>
      <c r="C2358" t="s">
        <v>306</v>
      </c>
      <c r="D2358">
        <v>3</v>
      </c>
      <c r="E2358" t="s">
        <v>182</v>
      </c>
      <c r="F2358" t="s">
        <v>388</v>
      </c>
      <c r="G2358">
        <v>0</v>
      </c>
      <c r="H2358">
        <v>0</v>
      </c>
      <c r="I2358">
        <f>G2358+H2358</f>
        <v>0</v>
      </c>
      <c r="J2358">
        <f>100-G2358-H2358</f>
        <v>100</v>
      </c>
      <c r="K2358" t="s">
        <v>19</v>
      </c>
      <c r="L2358" t="s">
        <v>19</v>
      </c>
      <c r="M2358" t="s">
        <v>19</v>
      </c>
      <c r="N2358" t="s">
        <v>19</v>
      </c>
      <c r="O2358" t="s">
        <v>19</v>
      </c>
      <c r="P2358" t="s">
        <v>19</v>
      </c>
      <c r="Q2358">
        <f>I2358</f>
        <v>0</v>
      </c>
      <c r="R2358" t="s">
        <v>19</v>
      </c>
      <c r="S2358" t="s">
        <v>19</v>
      </c>
      <c r="T2358" t="s">
        <v>19</v>
      </c>
    </row>
    <row r="2359" spans="1:21" ht="15" customHeight="1" x14ac:dyDescent="0.25">
      <c r="A2359" t="s">
        <v>19</v>
      </c>
      <c r="B2359" t="s">
        <v>20</v>
      </c>
      <c r="C2359" t="s">
        <v>320</v>
      </c>
      <c r="D2359">
        <v>3</v>
      </c>
      <c r="E2359" t="s">
        <v>182</v>
      </c>
      <c r="F2359" t="s">
        <v>388</v>
      </c>
      <c r="G2359">
        <v>0</v>
      </c>
      <c r="H2359">
        <v>0</v>
      </c>
      <c r="I2359">
        <f>100-J2359</f>
        <v>0</v>
      </c>
      <c r="J2359">
        <f>100-G2359-H2359</f>
        <v>100</v>
      </c>
      <c r="K2359" t="s">
        <v>19</v>
      </c>
      <c r="L2359" t="s">
        <v>19</v>
      </c>
      <c r="M2359" t="s">
        <v>19</v>
      </c>
      <c r="N2359" t="s">
        <v>19</v>
      </c>
      <c r="O2359" t="s">
        <v>19</v>
      </c>
      <c r="P2359" t="s">
        <v>19</v>
      </c>
      <c r="Q2359">
        <f>I2359</f>
        <v>0</v>
      </c>
      <c r="R2359" t="s">
        <v>19</v>
      </c>
      <c r="S2359" t="s">
        <v>19</v>
      </c>
      <c r="T2359" t="s">
        <v>19</v>
      </c>
    </row>
    <row r="2360" spans="1:21" ht="15" customHeight="1" x14ac:dyDescent="0.25">
      <c r="A2360" s="2">
        <v>45323.645266203705</v>
      </c>
      <c r="B2360" t="s">
        <v>309</v>
      </c>
      <c r="C2360" t="s">
        <v>322</v>
      </c>
      <c r="D2360">
        <v>3</v>
      </c>
      <c r="E2360" t="s">
        <v>182</v>
      </c>
      <c r="F2360" t="s">
        <v>388</v>
      </c>
      <c r="G2360">
        <f>(O2360/(N2360+O2360+P2360))*100</f>
        <v>0.74626865671641784</v>
      </c>
      <c r="H2360">
        <f>(P2360/(O2360+P2360+N2360))*100</f>
        <v>0</v>
      </c>
      <c r="I2360">
        <v>0.75</v>
      </c>
      <c r="J2360">
        <f>(N2360/(P2360+O2360+N2360))*100</f>
        <v>99.253731343283576</v>
      </c>
      <c r="K2360">
        <v>0.8</v>
      </c>
      <c r="L2360">
        <v>0.3</v>
      </c>
      <c r="M2360">
        <v>0.7</v>
      </c>
      <c r="N2360">
        <v>665</v>
      </c>
      <c r="O2360">
        <v>5</v>
      </c>
      <c r="P2360">
        <v>0</v>
      </c>
      <c r="Q2360">
        <v>0.75</v>
      </c>
      <c r="R2360" t="s">
        <v>245</v>
      </c>
      <c r="S2360">
        <v>2.48</v>
      </c>
      <c r="T2360">
        <v>3.31</v>
      </c>
      <c r="U2360">
        <v>24</v>
      </c>
    </row>
    <row r="2361" spans="1:21" ht="15" customHeight="1" x14ac:dyDescent="0.25">
      <c r="A2361" s="2">
        <v>45323.641111111108</v>
      </c>
      <c r="B2361" t="s">
        <v>309</v>
      </c>
      <c r="C2361" t="s">
        <v>322</v>
      </c>
      <c r="D2361">
        <v>3</v>
      </c>
      <c r="E2361" t="s">
        <v>182</v>
      </c>
      <c r="F2361" t="s">
        <v>388</v>
      </c>
      <c r="G2361">
        <f>(O2361/(N2361+O2361+P2361))*100</f>
        <v>1.1887072808320951</v>
      </c>
      <c r="H2361">
        <f>(P2361/(O2361+P2361+N2361))*100</f>
        <v>0</v>
      </c>
      <c r="I2361">
        <v>1.19</v>
      </c>
      <c r="J2361">
        <f>(N2361/(P2361+O2361+N2361))*100</f>
        <v>98.811292719167909</v>
      </c>
      <c r="K2361">
        <v>0.7</v>
      </c>
      <c r="L2361">
        <v>0.3</v>
      </c>
      <c r="M2361">
        <v>0.7</v>
      </c>
      <c r="N2361">
        <v>665</v>
      </c>
      <c r="O2361">
        <v>8</v>
      </c>
      <c r="P2361">
        <v>0</v>
      </c>
      <c r="Q2361">
        <v>1.19</v>
      </c>
      <c r="R2361" t="s">
        <v>248</v>
      </c>
      <c r="S2361">
        <v>2.48</v>
      </c>
      <c r="T2361">
        <v>3.31</v>
      </c>
      <c r="U2361">
        <v>21</v>
      </c>
    </row>
    <row r="2362" spans="1:21" ht="15" customHeight="1" x14ac:dyDescent="0.25">
      <c r="A2362" s="2">
        <v>45325.057372685187</v>
      </c>
      <c r="B2362" t="s">
        <v>309</v>
      </c>
      <c r="C2362" t="s">
        <v>368</v>
      </c>
      <c r="D2362">
        <v>2</v>
      </c>
      <c r="E2362" t="s">
        <v>182</v>
      </c>
      <c r="F2362" t="s">
        <v>388</v>
      </c>
      <c r="G2362">
        <f>(O2362/(N2362+O2362+P2362))*100</f>
        <v>3.9872408293460926</v>
      </c>
      <c r="H2362">
        <f>(P2362/(O2362+P2362+N2362))*100</f>
        <v>0</v>
      </c>
      <c r="I2362">
        <v>3.99</v>
      </c>
      <c r="J2362">
        <f>(N2362/(P2362+O2362+N2362))*100</f>
        <v>96.012759170653908</v>
      </c>
      <c r="K2362">
        <v>0.8</v>
      </c>
      <c r="L2362">
        <v>0.3</v>
      </c>
      <c r="M2362">
        <v>0.7</v>
      </c>
      <c r="N2362">
        <v>602</v>
      </c>
      <c r="O2362">
        <v>25</v>
      </c>
      <c r="P2362">
        <v>0</v>
      </c>
      <c r="Q2362">
        <v>3.99</v>
      </c>
      <c r="R2362" t="s">
        <v>346</v>
      </c>
      <c r="S2362">
        <v>0.19</v>
      </c>
      <c r="T2362">
        <v>0.21</v>
      </c>
    </row>
    <row r="2363" spans="1:21" ht="15" customHeight="1" x14ac:dyDescent="0.25">
      <c r="A2363" t="s">
        <v>19</v>
      </c>
      <c r="B2363" t="s">
        <v>20</v>
      </c>
      <c r="C2363" t="s">
        <v>308</v>
      </c>
      <c r="D2363">
        <v>3</v>
      </c>
      <c r="E2363" t="s">
        <v>183</v>
      </c>
      <c r="F2363" t="s">
        <v>388</v>
      </c>
      <c r="G2363">
        <v>2</v>
      </c>
      <c r="H2363">
        <v>0</v>
      </c>
      <c r="I2363">
        <f>G2363+H2363</f>
        <v>2</v>
      </c>
      <c r="J2363">
        <f>100-G2363-H2363</f>
        <v>98</v>
      </c>
      <c r="K2363" t="s">
        <v>19</v>
      </c>
      <c r="L2363" t="s">
        <v>19</v>
      </c>
      <c r="M2363" t="s">
        <v>19</v>
      </c>
      <c r="N2363" t="s">
        <v>19</v>
      </c>
      <c r="O2363" t="s">
        <v>19</v>
      </c>
      <c r="P2363" t="s">
        <v>19</v>
      </c>
      <c r="Q2363">
        <f>I2363</f>
        <v>2</v>
      </c>
      <c r="R2363" t="s">
        <v>19</v>
      </c>
      <c r="S2363" t="s">
        <v>19</v>
      </c>
      <c r="T2363" t="s">
        <v>19</v>
      </c>
    </row>
    <row r="2364" spans="1:21" ht="15" customHeight="1" x14ac:dyDescent="0.25">
      <c r="A2364" t="s">
        <v>19</v>
      </c>
      <c r="B2364" t="s">
        <v>20</v>
      </c>
      <c r="C2364" t="s">
        <v>22</v>
      </c>
      <c r="D2364">
        <v>3</v>
      </c>
      <c r="E2364" t="s">
        <v>183</v>
      </c>
      <c r="F2364" t="s">
        <v>388</v>
      </c>
      <c r="G2364">
        <v>0</v>
      </c>
      <c r="H2364">
        <v>0</v>
      </c>
      <c r="I2364">
        <f>G2364+H2364</f>
        <v>0</v>
      </c>
      <c r="J2364">
        <f>100-G2364-H2364</f>
        <v>100</v>
      </c>
      <c r="K2364" t="s">
        <v>19</v>
      </c>
      <c r="L2364" t="s">
        <v>19</v>
      </c>
      <c r="M2364" t="s">
        <v>19</v>
      </c>
      <c r="N2364" t="s">
        <v>19</v>
      </c>
      <c r="O2364" t="s">
        <v>19</v>
      </c>
      <c r="P2364" t="s">
        <v>19</v>
      </c>
      <c r="Q2364">
        <f>I2364</f>
        <v>0</v>
      </c>
      <c r="R2364" t="s">
        <v>19</v>
      </c>
      <c r="S2364" t="s">
        <v>19</v>
      </c>
      <c r="T2364" t="s">
        <v>19</v>
      </c>
    </row>
    <row r="2365" spans="1:21" ht="15" customHeight="1" x14ac:dyDescent="0.25">
      <c r="A2365" t="s">
        <v>19</v>
      </c>
      <c r="B2365" t="s">
        <v>20</v>
      </c>
      <c r="C2365" t="s">
        <v>305</v>
      </c>
      <c r="D2365">
        <v>3</v>
      </c>
      <c r="E2365" t="s">
        <v>183</v>
      </c>
      <c r="F2365" t="s">
        <v>388</v>
      </c>
      <c r="G2365">
        <v>2</v>
      </c>
      <c r="H2365">
        <v>0</v>
      </c>
      <c r="I2365">
        <f>G2365+H2365</f>
        <v>2</v>
      </c>
      <c r="J2365">
        <f>100-G2365-H2365</f>
        <v>98</v>
      </c>
      <c r="K2365" t="s">
        <v>19</v>
      </c>
      <c r="L2365" t="s">
        <v>19</v>
      </c>
      <c r="M2365" t="s">
        <v>19</v>
      </c>
      <c r="N2365" t="s">
        <v>19</v>
      </c>
      <c r="O2365" t="s">
        <v>19</v>
      </c>
      <c r="P2365" t="s">
        <v>19</v>
      </c>
      <c r="Q2365">
        <f>I2365</f>
        <v>2</v>
      </c>
      <c r="R2365" t="s">
        <v>19</v>
      </c>
      <c r="S2365" t="s">
        <v>19</v>
      </c>
      <c r="T2365" t="s">
        <v>19</v>
      </c>
    </row>
    <row r="2366" spans="1:21" ht="15" customHeight="1" x14ac:dyDescent="0.25">
      <c r="A2366" t="s">
        <v>19</v>
      </c>
      <c r="B2366" t="s">
        <v>20</v>
      </c>
      <c r="C2366" t="s">
        <v>307</v>
      </c>
      <c r="D2366">
        <v>3</v>
      </c>
      <c r="E2366" t="s">
        <v>183</v>
      </c>
      <c r="F2366" t="s">
        <v>388</v>
      </c>
      <c r="G2366">
        <v>0</v>
      </c>
      <c r="H2366">
        <v>0</v>
      </c>
      <c r="I2366">
        <f>G2366+H2366</f>
        <v>0</v>
      </c>
      <c r="J2366">
        <f>100-G2366-H2366</f>
        <v>100</v>
      </c>
      <c r="K2366" t="s">
        <v>19</v>
      </c>
      <c r="L2366" t="s">
        <v>19</v>
      </c>
      <c r="M2366" t="s">
        <v>19</v>
      </c>
      <c r="N2366" t="s">
        <v>19</v>
      </c>
      <c r="O2366" t="s">
        <v>19</v>
      </c>
      <c r="P2366" t="s">
        <v>19</v>
      </c>
      <c r="Q2366">
        <f>I2366</f>
        <v>0</v>
      </c>
      <c r="R2366" t="s">
        <v>19</v>
      </c>
      <c r="S2366" t="s">
        <v>19</v>
      </c>
      <c r="T2366" t="s">
        <v>19</v>
      </c>
    </row>
    <row r="2367" spans="1:21" ht="15" customHeight="1" x14ac:dyDescent="0.25">
      <c r="A2367" s="2">
        <v>45253.634027777778</v>
      </c>
      <c r="B2367" t="s">
        <v>309</v>
      </c>
      <c r="C2367" t="s">
        <v>213</v>
      </c>
      <c r="D2367">
        <v>3</v>
      </c>
      <c r="E2367" t="s">
        <v>183</v>
      </c>
      <c r="F2367" t="s">
        <v>388</v>
      </c>
      <c r="G2367" t="e">
        <v>#VALUE!</v>
      </c>
      <c r="H2367" t="e">
        <v>#VALUE!</v>
      </c>
      <c r="I2367">
        <v>9.16</v>
      </c>
      <c r="J2367" t="e">
        <v>#VALUE!</v>
      </c>
      <c r="K2367">
        <v>0.8</v>
      </c>
      <c r="L2367">
        <v>0.2</v>
      </c>
      <c r="M2367">
        <v>0.7</v>
      </c>
      <c r="N2367">
        <v>446</v>
      </c>
      <c r="O2367" t="s">
        <v>266</v>
      </c>
      <c r="P2367" t="s">
        <v>266</v>
      </c>
      <c r="Q2367">
        <v>9.16</v>
      </c>
      <c r="R2367" t="s">
        <v>240</v>
      </c>
      <c r="S2367">
        <v>2.9</v>
      </c>
      <c r="T2367">
        <v>3.11</v>
      </c>
    </row>
    <row r="2368" spans="1:21" ht="15" customHeight="1" x14ac:dyDescent="0.25">
      <c r="A2368" s="2">
        <v>45253.884027777778</v>
      </c>
      <c r="B2368" t="s">
        <v>309</v>
      </c>
      <c r="C2368" t="s">
        <v>215</v>
      </c>
      <c r="D2368">
        <v>2</v>
      </c>
      <c r="E2368" t="s">
        <v>183</v>
      </c>
      <c r="F2368" t="s">
        <v>388</v>
      </c>
      <c r="G2368">
        <v>1.7142857140000001</v>
      </c>
      <c r="H2368">
        <v>0</v>
      </c>
      <c r="I2368">
        <v>1.7142857140000001</v>
      </c>
      <c r="J2368">
        <v>98.285714290000001</v>
      </c>
      <c r="K2368">
        <v>0.8</v>
      </c>
      <c r="L2368">
        <v>0.2</v>
      </c>
      <c r="M2368">
        <v>0.7</v>
      </c>
      <c r="N2368">
        <v>688</v>
      </c>
      <c r="O2368">
        <v>12</v>
      </c>
      <c r="P2368">
        <v>0</v>
      </c>
      <c r="Q2368">
        <v>1.71</v>
      </c>
      <c r="R2368" t="s">
        <v>243</v>
      </c>
      <c r="S2368">
        <v>0.06</v>
      </c>
      <c r="T2368">
        <v>0.06</v>
      </c>
    </row>
    <row r="2369" spans="1:21" ht="15" customHeight="1" x14ac:dyDescent="0.25">
      <c r="A2369" s="2">
        <v>45254.054861111108</v>
      </c>
      <c r="B2369" t="s">
        <v>309</v>
      </c>
      <c r="C2369" t="s">
        <v>217</v>
      </c>
      <c r="D2369">
        <v>2</v>
      </c>
      <c r="E2369" t="s">
        <v>183</v>
      </c>
      <c r="F2369" t="s">
        <v>388</v>
      </c>
      <c r="G2369">
        <v>3.0441400299999999</v>
      </c>
      <c r="H2369">
        <v>0</v>
      </c>
      <c r="I2369">
        <v>3.0441400299999999</v>
      </c>
      <c r="J2369">
        <v>96.955859970000006</v>
      </c>
      <c r="K2369">
        <v>0.8</v>
      </c>
      <c r="L2369">
        <v>0.2</v>
      </c>
      <c r="M2369">
        <v>0.7</v>
      </c>
      <c r="N2369">
        <v>637</v>
      </c>
      <c r="O2369">
        <v>20</v>
      </c>
      <c r="P2369">
        <v>0</v>
      </c>
      <c r="Q2369">
        <v>3.04</v>
      </c>
      <c r="R2369" t="s">
        <v>231</v>
      </c>
      <c r="S2369">
        <v>0.14000000000000001</v>
      </c>
      <c r="T2369">
        <v>0.15</v>
      </c>
    </row>
    <row r="2370" spans="1:21" ht="15" customHeight="1" x14ac:dyDescent="0.25">
      <c r="A2370" s="2">
        <v>45316.563888888886</v>
      </c>
      <c r="B2370" t="s">
        <v>309</v>
      </c>
      <c r="C2370" t="s">
        <v>219</v>
      </c>
      <c r="D2370">
        <v>3</v>
      </c>
      <c r="E2370" t="s">
        <v>183</v>
      </c>
      <c r="F2370" t="s">
        <v>388</v>
      </c>
      <c r="G2370" t="e">
        <v>#VALUE!</v>
      </c>
      <c r="H2370" t="e">
        <v>#VALUE!</v>
      </c>
      <c r="I2370">
        <v>3.38</v>
      </c>
      <c r="J2370" t="e">
        <v>#VALUE!</v>
      </c>
      <c r="K2370">
        <v>0.8</v>
      </c>
      <c r="L2370">
        <v>0.2</v>
      </c>
      <c r="M2370">
        <v>0.7</v>
      </c>
      <c r="N2370">
        <v>343</v>
      </c>
      <c r="O2370" t="s">
        <v>266</v>
      </c>
      <c r="P2370" t="s">
        <v>266</v>
      </c>
      <c r="Q2370">
        <v>3.38</v>
      </c>
      <c r="R2370" t="s">
        <v>227</v>
      </c>
      <c r="S2370">
        <v>3.22</v>
      </c>
      <c r="T2370">
        <v>4.4000000000000004</v>
      </c>
    </row>
    <row r="2371" spans="1:21" ht="15" customHeight="1" x14ac:dyDescent="0.25">
      <c r="A2371" s="2">
        <v>45320.909722222219</v>
      </c>
      <c r="B2371" t="s">
        <v>309</v>
      </c>
      <c r="C2371" t="s">
        <v>221</v>
      </c>
      <c r="D2371">
        <v>2</v>
      </c>
      <c r="E2371" t="s">
        <v>183</v>
      </c>
      <c r="F2371" t="s">
        <v>388</v>
      </c>
      <c r="G2371">
        <v>1.326699834</v>
      </c>
      <c r="H2371">
        <v>0</v>
      </c>
      <c r="I2371">
        <v>1.326699834</v>
      </c>
      <c r="J2371">
        <v>98.673300170000005</v>
      </c>
      <c r="K2371">
        <v>0.8</v>
      </c>
      <c r="L2371">
        <v>0.3</v>
      </c>
      <c r="M2371">
        <v>0.7</v>
      </c>
      <c r="N2371">
        <v>595</v>
      </c>
      <c r="O2371">
        <v>8</v>
      </c>
      <c r="P2371">
        <v>0</v>
      </c>
      <c r="Q2371">
        <v>1.33</v>
      </c>
      <c r="R2371" t="s">
        <v>225</v>
      </c>
      <c r="S2371">
        <v>0.12</v>
      </c>
      <c r="T2371">
        <v>0.12</v>
      </c>
    </row>
    <row r="2372" spans="1:21" ht="15" customHeight="1" x14ac:dyDescent="0.25">
      <c r="A2372" t="s">
        <v>19</v>
      </c>
      <c r="B2372" t="s">
        <v>20</v>
      </c>
      <c r="C2372" t="s">
        <v>306</v>
      </c>
      <c r="D2372">
        <v>3</v>
      </c>
      <c r="E2372" t="s">
        <v>183</v>
      </c>
      <c r="F2372" t="s">
        <v>388</v>
      </c>
      <c r="G2372">
        <v>0</v>
      </c>
      <c r="H2372">
        <v>0</v>
      </c>
      <c r="I2372">
        <f>G2372+H2372</f>
        <v>0</v>
      </c>
      <c r="J2372">
        <f>100-G2372-H2372</f>
        <v>100</v>
      </c>
      <c r="K2372" t="s">
        <v>19</v>
      </c>
      <c r="L2372" t="s">
        <v>19</v>
      </c>
      <c r="M2372" t="s">
        <v>19</v>
      </c>
      <c r="N2372" t="s">
        <v>19</v>
      </c>
      <c r="O2372" t="s">
        <v>19</v>
      </c>
      <c r="P2372" t="s">
        <v>19</v>
      </c>
      <c r="Q2372">
        <f>I2372</f>
        <v>0</v>
      </c>
      <c r="R2372" t="s">
        <v>19</v>
      </c>
      <c r="S2372" t="s">
        <v>19</v>
      </c>
      <c r="T2372" t="s">
        <v>19</v>
      </c>
    </row>
    <row r="2373" spans="1:21" ht="15" customHeight="1" x14ac:dyDescent="0.25">
      <c r="A2373" t="s">
        <v>19</v>
      </c>
      <c r="B2373" t="s">
        <v>20</v>
      </c>
      <c r="C2373" t="s">
        <v>320</v>
      </c>
      <c r="D2373">
        <v>3</v>
      </c>
      <c r="E2373" t="s">
        <v>183</v>
      </c>
      <c r="F2373" t="s">
        <v>388</v>
      </c>
      <c r="G2373">
        <v>0</v>
      </c>
      <c r="H2373">
        <v>0</v>
      </c>
      <c r="I2373">
        <f>100-J2373</f>
        <v>0</v>
      </c>
      <c r="J2373">
        <f>100-G2373-H2373</f>
        <v>100</v>
      </c>
      <c r="K2373" t="s">
        <v>19</v>
      </c>
      <c r="L2373" t="s">
        <v>19</v>
      </c>
      <c r="M2373" t="s">
        <v>19</v>
      </c>
      <c r="N2373" t="s">
        <v>19</v>
      </c>
      <c r="O2373" t="s">
        <v>19</v>
      </c>
      <c r="P2373" t="s">
        <v>19</v>
      </c>
      <c r="Q2373">
        <f>I2373</f>
        <v>0</v>
      </c>
      <c r="R2373" t="s">
        <v>19</v>
      </c>
      <c r="S2373" t="s">
        <v>19</v>
      </c>
      <c r="T2373" t="s">
        <v>19</v>
      </c>
    </row>
    <row r="2374" spans="1:21" ht="15" customHeight="1" x14ac:dyDescent="0.25">
      <c r="A2374" s="2">
        <v>45323.646840277775</v>
      </c>
      <c r="B2374" t="s">
        <v>309</v>
      </c>
      <c r="C2374" t="s">
        <v>322</v>
      </c>
      <c r="D2374">
        <v>3</v>
      </c>
      <c r="E2374" t="s">
        <v>183</v>
      </c>
      <c r="F2374" t="s">
        <v>388</v>
      </c>
      <c r="G2374" t="e">
        <f>(O2374/(N2374+O2374+P2374))*100</f>
        <v>#VALUE!</v>
      </c>
      <c r="H2374" t="e">
        <f>(P2374/(O2374+P2374+N2374))*100</f>
        <v>#VALUE!</v>
      </c>
      <c r="I2374">
        <v>9.34</v>
      </c>
      <c r="J2374" t="e">
        <f>(N2374/(P2374+O2374+N2374))*100</f>
        <v>#VALUE!</v>
      </c>
      <c r="K2374">
        <v>0.8</v>
      </c>
      <c r="L2374">
        <v>0.3</v>
      </c>
      <c r="M2374">
        <v>0.7</v>
      </c>
      <c r="N2374">
        <v>466</v>
      </c>
      <c r="O2374" t="s">
        <v>266</v>
      </c>
      <c r="P2374" t="s">
        <v>266</v>
      </c>
      <c r="Q2374">
        <v>9.34</v>
      </c>
      <c r="R2374" t="s">
        <v>288</v>
      </c>
      <c r="S2374">
        <v>2.81</v>
      </c>
      <c r="T2374">
        <v>3.24</v>
      </c>
      <c r="U2374">
        <v>139</v>
      </c>
    </row>
    <row r="2375" spans="1:21" ht="15" customHeight="1" x14ac:dyDescent="0.25">
      <c r="A2375" s="2">
        <v>45323.642569444448</v>
      </c>
      <c r="B2375" t="s">
        <v>309</v>
      </c>
      <c r="C2375" t="s">
        <v>322</v>
      </c>
      <c r="D2375">
        <v>3</v>
      </c>
      <c r="E2375" t="s">
        <v>183</v>
      </c>
      <c r="F2375" t="s">
        <v>388</v>
      </c>
      <c r="G2375" t="e">
        <f>(O2375/(N2375+O2375+P2375))*100</f>
        <v>#VALUE!</v>
      </c>
      <c r="H2375" t="e">
        <f>(P2375/(O2375+P2375+N2375))*100</f>
        <v>#VALUE!</v>
      </c>
      <c r="I2375">
        <v>14.52</v>
      </c>
      <c r="J2375" t="e">
        <f>(N2375/(P2375+O2375+N2375))*100</f>
        <v>#VALUE!</v>
      </c>
      <c r="K2375">
        <v>0.7</v>
      </c>
      <c r="L2375">
        <v>0.3</v>
      </c>
      <c r="M2375">
        <v>0.7</v>
      </c>
      <c r="N2375">
        <v>465</v>
      </c>
      <c r="O2375" t="s">
        <v>266</v>
      </c>
      <c r="P2375" t="s">
        <v>266</v>
      </c>
      <c r="Q2375">
        <v>14.52</v>
      </c>
      <c r="R2375" t="s">
        <v>256</v>
      </c>
      <c r="S2375">
        <v>2.81</v>
      </c>
      <c r="T2375">
        <v>3.24</v>
      </c>
      <c r="U2375">
        <v>109</v>
      </c>
    </row>
    <row r="2376" spans="1:21" ht="15" customHeight="1" x14ac:dyDescent="0.25">
      <c r="A2376" s="2">
        <v>45325.058599537035</v>
      </c>
      <c r="B2376" t="s">
        <v>309</v>
      </c>
      <c r="C2376" t="s">
        <v>368</v>
      </c>
      <c r="D2376">
        <v>2</v>
      </c>
      <c r="E2376" t="s">
        <v>183</v>
      </c>
      <c r="F2376" t="s">
        <v>388</v>
      </c>
      <c r="G2376">
        <f>(O2376/(N2376+O2376+P2376))*100</f>
        <v>0.9375</v>
      </c>
      <c r="H2376">
        <f>(P2376/(O2376+P2376+N2376))*100</f>
        <v>0</v>
      </c>
      <c r="I2376">
        <v>0.94</v>
      </c>
      <c r="J2376">
        <f>(N2376/(P2376+O2376+N2376))*100</f>
        <v>99.0625</v>
      </c>
      <c r="K2376">
        <v>0.8</v>
      </c>
      <c r="L2376">
        <v>0.3</v>
      </c>
      <c r="M2376">
        <v>0.7</v>
      </c>
      <c r="N2376">
        <v>634</v>
      </c>
      <c r="O2376">
        <v>6</v>
      </c>
      <c r="P2376">
        <v>0</v>
      </c>
      <c r="Q2376">
        <v>0.94</v>
      </c>
      <c r="R2376" t="s">
        <v>274</v>
      </c>
      <c r="S2376">
        <v>0.05</v>
      </c>
      <c r="T2376">
        <v>0.05</v>
      </c>
    </row>
    <row r="2377" spans="1:21" ht="15" customHeight="1" x14ac:dyDescent="0.25">
      <c r="A2377" t="s">
        <v>19</v>
      </c>
      <c r="B2377" t="s">
        <v>20</v>
      </c>
      <c r="C2377" t="s">
        <v>308</v>
      </c>
      <c r="D2377">
        <v>3</v>
      </c>
      <c r="E2377" t="s">
        <v>184</v>
      </c>
      <c r="F2377" t="s">
        <v>388</v>
      </c>
      <c r="G2377">
        <v>40</v>
      </c>
      <c r="H2377">
        <v>25</v>
      </c>
      <c r="I2377">
        <f>G2377+H2377</f>
        <v>65</v>
      </c>
      <c r="J2377">
        <f>100-G2377-H2377</f>
        <v>35</v>
      </c>
      <c r="K2377" t="s">
        <v>19</v>
      </c>
      <c r="L2377" t="s">
        <v>19</v>
      </c>
      <c r="M2377" t="s">
        <v>19</v>
      </c>
      <c r="N2377" t="s">
        <v>19</v>
      </c>
      <c r="O2377" t="s">
        <v>19</v>
      </c>
      <c r="P2377" t="s">
        <v>19</v>
      </c>
      <c r="Q2377">
        <f>I2377</f>
        <v>65</v>
      </c>
      <c r="R2377" t="s">
        <v>19</v>
      </c>
      <c r="S2377" t="s">
        <v>19</v>
      </c>
      <c r="T2377" t="s">
        <v>19</v>
      </c>
    </row>
    <row r="2378" spans="1:21" ht="15" customHeight="1" x14ac:dyDescent="0.25">
      <c r="A2378" t="s">
        <v>19</v>
      </c>
      <c r="B2378" t="s">
        <v>20</v>
      </c>
      <c r="C2378" t="s">
        <v>22</v>
      </c>
      <c r="D2378">
        <v>3</v>
      </c>
      <c r="E2378" t="s">
        <v>184</v>
      </c>
      <c r="F2378" t="s">
        <v>388</v>
      </c>
      <c r="G2378">
        <v>40</v>
      </c>
      <c r="H2378">
        <v>35</v>
      </c>
      <c r="I2378">
        <f>G2378+H2378</f>
        <v>75</v>
      </c>
      <c r="J2378">
        <f>100-G2378-H2378</f>
        <v>25</v>
      </c>
      <c r="K2378" t="s">
        <v>19</v>
      </c>
      <c r="L2378" t="s">
        <v>19</v>
      </c>
      <c r="M2378" t="s">
        <v>19</v>
      </c>
      <c r="N2378" t="s">
        <v>19</v>
      </c>
      <c r="O2378" t="s">
        <v>19</v>
      </c>
      <c r="P2378" t="s">
        <v>19</v>
      </c>
      <c r="Q2378">
        <f>I2378</f>
        <v>75</v>
      </c>
      <c r="R2378" t="s">
        <v>19</v>
      </c>
      <c r="S2378" t="s">
        <v>19</v>
      </c>
      <c r="T2378" t="s">
        <v>19</v>
      </c>
    </row>
    <row r="2379" spans="1:21" ht="15" customHeight="1" x14ac:dyDescent="0.25">
      <c r="A2379" t="s">
        <v>19</v>
      </c>
      <c r="B2379" t="s">
        <v>20</v>
      </c>
      <c r="C2379" t="s">
        <v>305</v>
      </c>
      <c r="D2379">
        <v>3</v>
      </c>
      <c r="E2379" t="s">
        <v>184</v>
      </c>
      <c r="F2379" t="s">
        <v>388</v>
      </c>
      <c r="G2379">
        <v>40</v>
      </c>
      <c r="H2379">
        <v>30</v>
      </c>
      <c r="I2379">
        <f>G2379+H2379</f>
        <v>70</v>
      </c>
      <c r="J2379">
        <f>100-G2379-H2379</f>
        <v>30</v>
      </c>
      <c r="K2379" t="s">
        <v>19</v>
      </c>
      <c r="L2379" t="s">
        <v>19</v>
      </c>
      <c r="M2379" t="s">
        <v>19</v>
      </c>
      <c r="N2379" t="s">
        <v>19</v>
      </c>
      <c r="O2379" t="s">
        <v>19</v>
      </c>
      <c r="P2379" t="s">
        <v>19</v>
      </c>
      <c r="Q2379">
        <f>I2379</f>
        <v>70</v>
      </c>
      <c r="R2379" t="s">
        <v>19</v>
      </c>
      <c r="S2379" t="s">
        <v>19</v>
      </c>
      <c r="T2379" t="s">
        <v>19</v>
      </c>
    </row>
    <row r="2380" spans="1:21" ht="15" customHeight="1" x14ac:dyDescent="0.25">
      <c r="A2380" t="s">
        <v>19</v>
      </c>
      <c r="B2380" t="s">
        <v>20</v>
      </c>
      <c r="C2380" t="s">
        <v>307</v>
      </c>
      <c r="D2380">
        <v>3</v>
      </c>
      <c r="E2380" t="s">
        <v>184</v>
      </c>
      <c r="F2380" t="s">
        <v>388</v>
      </c>
      <c r="G2380">
        <v>13</v>
      </c>
      <c r="H2380">
        <v>12</v>
      </c>
      <c r="I2380">
        <f>G2380+H2380</f>
        <v>25</v>
      </c>
      <c r="J2380">
        <f>100-G2380-H2380</f>
        <v>75</v>
      </c>
      <c r="K2380" t="s">
        <v>19</v>
      </c>
      <c r="L2380" t="s">
        <v>19</v>
      </c>
      <c r="M2380" t="s">
        <v>19</v>
      </c>
      <c r="N2380" t="s">
        <v>19</v>
      </c>
      <c r="O2380" t="s">
        <v>19</v>
      </c>
      <c r="P2380" t="s">
        <v>19</v>
      </c>
      <c r="Q2380">
        <f>I2380</f>
        <v>25</v>
      </c>
      <c r="R2380" t="s">
        <v>19</v>
      </c>
      <c r="S2380" t="s">
        <v>19</v>
      </c>
      <c r="T2380" t="s">
        <v>19</v>
      </c>
    </row>
    <row r="2381" spans="1:21" ht="15" customHeight="1" x14ac:dyDescent="0.25">
      <c r="A2381" s="2">
        <v>45253.635416666664</v>
      </c>
      <c r="B2381" t="s">
        <v>309</v>
      </c>
      <c r="C2381" t="s">
        <v>213</v>
      </c>
      <c r="D2381">
        <v>3</v>
      </c>
      <c r="E2381" t="s">
        <v>184</v>
      </c>
      <c r="F2381" t="s">
        <v>388</v>
      </c>
      <c r="G2381">
        <v>14.592274679999999</v>
      </c>
      <c r="H2381">
        <v>57.296137340000001</v>
      </c>
      <c r="I2381">
        <v>71.888412020000004</v>
      </c>
      <c r="J2381">
        <v>28.111587979999999</v>
      </c>
      <c r="K2381">
        <v>0.8</v>
      </c>
      <c r="L2381">
        <v>0.2</v>
      </c>
      <c r="M2381">
        <v>0.7</v>
      </c>
      <c r="N2381">
        <v>131</v>
      </c>
      <c r="O2381">
        <v>68</v>
      </c>
      <c r="P2381">
        <v>267</v>
      </c>
      <c r="Q2381">
        <v>71.89</v>
      </c>
      <c r="R2381" t="s">
        <v>214</v>
      </c>
      <c r="S2381">
        <v>2.84</v>
      </c>
      <c r="T2381">
        <v>3.57</v>
      </c>
    </row>
    <row r="2382" spans="1:21" ht="15" customHeight="1" x14ac:dyDescent="0.25">
      <c r="A2382" s="2">
        <v>45253.884722222225</v>
      </c>
      <c r="B2382" t="s">
        <v>309</v>
      </c>
      <c r="C2382" t="s">
        <v>215</v>
      </c>
      <c r="D2382">
        <v>2</v>
      </c>
      <c r="E2382" t="s">
        <v>184</v>
      </c>
      <c r="F2382" t="s">
        <v>388</v>
      </c>
      <c r="G2382">
        <v>48.177496040000001</v>
      </c>
      <c r="H2382">
        <v>0</v>
      </c>
      <c r="I2382">
        <v>48.177496040000001</v>
      </c>
      <c r="J2382">
        <v>51.822503959999999</v>
      </c>
      <c r="K2382">
        <v>0.8</v>
      </c>
      <c r="L2382">
        <v>0.2</v>
      </c>
      <c r="M2382">
        <v>0.7</v>
      </c>
      <c r="N2382">
        <v>327</v>
      </c>
      <c r="O2382">
        <v>304</v>
      </c>
      <c r="P2382">
        <v>0</v>
      </c>
      <c r="Q2382">
        <v>48.18</v>
      </c>
      <c r="R2382" t="s">
        <v>235</v>
      </c>
      <c r="S2382">
        <v>1.1399999999999999</v>
      </c>
      <c r="T2382">
        <v>1.24</v>
      </c>
    </row>
    <row r="2383" spans="1:21" ht="15" customHeight="1" x14ac:dyDescent="0.25">
      <c r="A2383" s="2">
        <v>45254.055555555555</v>
      </c>
      <c r="B2383" t="s">
        <v>309</v>
      </c>
      <c r="C2383" t="s">
        <v>217</v>
      </c>
      <c r="D2383">
        <v>2</v>
      </c>
      <c r="E2383" t="s">
        <v>184</v>
      </c>
      <c r="F2383" t="s">
        <v>388</v>
      </c>
      <c r="G2383">
        <v>48.012718599999999</v>
      </c>
      <c r="H2383">
        <v>0</v>
      </c>
      <c r="I2383">
        <v>48.012718599999999</v>
      </c>
      <c r="J2383">
        <v>51.987281400000001</v>
      </c>
      <c r="K2383">
        <v>0.8</v>
      </c>
      <c r="L2383">
        <v>0.2</v>
      </c>
      <c r="M2383">
        <v>0.7</v>
      </c>
      <c r="N2383">
        <v>327</v>
      </c>
      <c r="O2383">
        <v>302</v>
      </c>
      <c r="P2383">
        <v>0</v>
      </c>
      <c r="Q2383">
        <v>48.01</v>
      </c>
      <c r="R2383" t="s">
        <v>267</v>
      </c>
      <c r="S2383">
        <v>1.17</v>
      </c>
      <c r="T2383">
        <v>1.29</v>
      </c>
    </row>
    <row r="2384" spans="1:21" ht="15" customHeight="1" x14ac:dyDescent="0.25">
      <c r="A2384" s="2">
        <v>45316.564583333333</v>
      </c>
      <c r="B2384" t="s">
        <v>309</v>
      </c>
      <c r="C2384" t="s">
        <v>219</v>
      </c>
      <c r="D2384">
        <v>3</v>
      </c>
      <c r="E2384" t="s">
        <v>184</v>
      </c>
      <c r="F2384" t="s">
        <v>388</v>
      </c>
      <c r="G2384">
        <v>2.5510204079999999</v>
      </c>
      <c r="H2384">
        <v>71.938775509999999</v>
      </c>
      <c r="I2384">
        <v>74.489795920000006</v>
      </c>
      <c r="J2384">
        <v>25.510204080000001</v>
      </c>
      <c r="K2384">
        <v>0.8</v>
      </c>
      <c r="L2384">
        <v>0.2</v>
      </c>
      <c r="M2384">
        <v>0.7</v>
      </c>
      <c r="N2384">
        <v>100</v>
      </c>
      <c r="O2384">
        <v>10</v>
      </c>
      <c r="P2384">
        <v>282</v>
      </c>
      <c r="Q2384">
        <v>74.489999999999995</v>
      </c>
      <c r="R2384" t="s">
        <v>225</v>
      </c>
      <c r="S2384">
        <v>3.12</v>
      </c>
      <c r="T2384">
        <v>4.43</v>
      </c>
    </row>
    <row r="2385" spans="1:21" ht="15" customHeight="1" x14ac:dyDescent="0.25">
      <c r="A2385" s="2">
        <v>45320.910416666666</v>
      </c>
      <c r="B2385" t="s">
        <v>309</v>
      </c>
      <c r="C2385" t="s">
        <v>221</v>
      </c>
      <c r="D2385">
        <v>2</v>
      </c>
      <c r="E2385" t="s">
        <v>184</v>
      </c>
      <c r="F2385" t="s">
        <v>388</v>
      </c>
      <c r="G2385">
        <v>76.683087029999996</v>
      </c>
      <c r="H2385">
        <v>0</v>
      </c>
      <c r="I2385">
        <v>76.683087029999996</v>
      </c>
      <c r="J2385">
        <v>23.316912970000001</v>
      </c>
      <c r="K2385">
        <v>0.8</v>
      </c>
      <c r="L2385">
        <v>0.3</v>
      </c>
      <c r="M2385">
        <v>0.7</v>
      </c>
      <c r="N2385">
        <v>142</v>
      </c>
      <c r="O2385">
        <v>467</v>
      </c>
      <c r="P2385">
        <v>0</v>
      </c>
      <c r="Q2385">
        <v>76.680000000000007</v>
      </c>
      <c r="R2385" t="s">
        <v>283</v>
      </c>
      <c r="S2385">
        <v>1.89</v>
      </c>
      <c r="T2385">
        <v>2.0499999999999998</v>
      </c>
    </row>
    <row r="2386" spans="1:21" ht="15" customHeight="1" x14ac:dyDescent="0.25">
      <c r="A2386" t="s">
        <v>19</v>
      </c>
      <c r="B2386" t="s">
        <v>20</v>
      </c>
      <c r="C2386" t="s">
        <v>306</v>
      </c>
      <c r="D2386">
        <v>3</v>
      </c>
      <c r="E2386" t="s">
        <v>184</v>
      </c>
      <c r="F2386" t="s">
        <v>388</v>
      </c>
      <c r="G2386">
        <v>60</v>
      </c>
      <c r="H2386">
        <v>35</v>
      </c>
      <c r="I2386">
        <f>G2386+H2386</f>
        <v>95</v>
      </c>
      <c r="J2386">
        <f>100-G2386-H2386</f>
        <v>5</v>
      </c>
      <c r="K2386" t="s">
        <v>19</v>
      </c>
      <c r="L2386" t="s">
        <v>19</v>
      </c>
      <c r="M2386" t="s">
        <v>19</v>
      </c>
      <c r="N2386" t="s">
        <v>19</v>
      </c>
      <c r="O2386" t="s">
        <v>19</v>
      </c>
      <c r="P2386" t="s">
        <v>19</v>
      </c>
      <c r="Q2386">
        <f>I2386</f>
        <v>95</v>
      </c>
      <c r="R2386" t="s">
        <v>19</v>
      </c>
      <c r="S2386" t="s">
        <v>19</v>
      </c>
      <c r="T2386" t="s">
        <v>19</v>
      </c>
    </row>
    <row r="2387" spans="1:21" ht="15" customHeight="1" x14ac:dyDescent="0.25">
      <c r="A2387" t="s">
        <v>19</v>
      </c>
      <c r="B2387" t="s">
        <v>20</v>
      </c>
      <c r="C2387" t="s">
        <v>320</v>
      </c>
      <c r="D2387">
        <v>3</v>
      </c>
      <c r="E2387" t="s">
        <v>184</v>
      </c>
      <c r="F2387" t="s">
        <v>388</v>
      </c>
      <c r="G2387">
        <v>35</v>
      </c>
      <c r="H2387">
        <v>50</v>
      </c>
      <c r="I2387">
        <f>100-J2387</f>
        <v>85</v>
      </c>
      <c r="J2387">
        <f>100-G2387-H2387</f>
        <v>15</v>
      </c>
      <c r="K2387" t="s">
        <v>19</v>
      </c>
      <c r="L2387" t="s">
        <v>19</v>
      </c>
      <c r="M2387" t="s">
        <v>19</v>
      </c>
      <c r="N2387" t="s">
        <v>19</v>
      </c>
      <c r="O2387" t="s">
        <v>19</v>
      </c>
      <c r="P2387" t="s">
        <v>19</v>
      </c>
      <c r="Q2387">
        <f>I2387</f>
        <v>85</v>
      </c>
      <c r="R2387" t="s">
        <v>19</v>
      </c>
      <c r="S2387" t="s">
        <v>19</v>
      </c>
      <c r="T2387" t="s">
        <v>19</v>
      </c>
    </row>
    <row r="2388" spans="1:21" ht="15" customHeight="1" x14ac:dyDescent="0.25">
      <c r="A2388" s="2">
        <v>45323.648449074077</v>
      </c>
      <c r="B2388" t="s">
        <v>309</v>
      </c>
      <c r="C2388" t="s">
        <v>322</v>
      </c>
      <c r="D2388">
        <v>3</v>
      </c>
      <c r="E2388" t="s">
        <v>184</v>
      </c>
      <c r="F2388" t="s">
        <v>388</v>
      </c>
      <c r="G2388">
        <f>(O2388/(N2388+O2388+P2388))*100</f>
        <v>30.49645390070922</v>
      </c>
      <c r="H2388">
        <f>(P2388/(O2388+P2388+N2388))*100</f>
        <v>37.765957446808514</v>
      </c>
      <c r="I2388">
        <v>68.260000000000005</v>
      </c>
      <c r="J2388">
        <f>(N2388/(P2388+O2388+N2388))*100</f>
        <v>31.73758865248227</v>
      </c>
      <c r="K2388">
        <v>0.8</v>
      </c>
      <c r="L2388">
        <v>0.3</v>
      </c>
      <c r="M2388">
        <v>0.7</v>
      </c>
      <c r="N2388">
        <v>179</v>
      </c>
      <c r="O2388">
        <v>172</v>
      </c>
      <c r="P2388">
        <v>213</v>
      </c>
      <c r="Q2388">
        <v>68.260000000000005</v>
      </c>
      <c r="R2388" t="s">
        <v>341</v>
      </c>
      <c r="S2388">
        <v>2.56</v>
      </c>
      <c r="T2388">
        <v>4.79</v>
      </c>
      <c r="U2388">
        <v>139</v>
      </c>
    </row>
    <row r="2389" spans="1:21" ht="15" customHeight="1" x14ac:dyDescent="0.25">
      <c r="A2389" s="2">
        <v>45323.64398148148</v>
      </c>
      <c r="B2389" t="s">
        <v>309</v>
      </c>
      <c r="C2389" t="s">
        <v>322</v>
      </c>
      <c r="D2389">
        <v>3</v>
      </c>
      <c r="E2389" t="s">
        <v>184</v>
      </c>
      <c r="F2389" t="s">
        <v>388</v>
      </c>
      <c r="G2389">
        <f>(O2389/(N2389+O2389+P2389))*100</f>
        <v>34.883720930232556</v>
      </c>
      <c r="H2389">
        <f>(P2389/(O2389+P2389+N2389))*100</f>
        <v>39.202657807308974</v>
      </c>
      <c r="I2389">
        <v>74.09</v>
      </c>
      <c r="J2389">
        <f>(N2389/(P2389+O2389+N2389))*100</f>
        <v>25.91362126245847</v>
      </c>
      <c r="K2389">
        <v>0.7</v>
      </c>
      <c r="L2389">
        <v>0.3</v>
      </c>
      <c r="M2389">
        <v>0.7</v>
      </c>
      <c r="N2389">
        <v>156</v>
      </c>
      <c r="O2389">
        <v>210</v>
      </c>
      <c r="P2389">
        <v>236</v>
      </c>
      <c r="Q2389">
        <v>74.09</v>
      </c>
      <c r="R2389" t="s">
        <v>214</v>
      </c>
      <c r="S2389">
        <v>2.56</v>
      </c>
      <c r="T2389">
        <v>4.79</v>
      </c>
      <c r="U2389">
        <v>101</v>
      </c>
    </row>
    <row r="2390" spans="1:21" ht="15" customHeight="1" x14ac:dyDescent="0.25">
      <c r="A2390" s="2">
        <v>45325.059791666667</v>
      </c>
      <c r="B2390" t="s">
        <v>309</v>
      </c>
      <c r="C2390" t="s">
        <v>368</v>
      </c>
      <c r="D2390">
        <v>2</v>
      </c>
      <c r="E2390" t="s">
        <v>184</v>
      </c>
      <c r="F2390" t="s">
        <v>388</v>
      </c>
      <c r="G2390">
        <f>(O2390/(N2390+O2390+P2390))*100</f>
        <v>87.539936102236425</v>
      </c>
      <c r="H2390">
        <f>(P2390/(O2390+P2390+N2390))*100</f>
        <v>0</v>
      </c>
      <c r="I2390">
        <v>87.54</v>
      </c>
      <c r="J2390">
        <f>(N2390/(P2390+O2390+N2390))*100</f>
        <v>12.460063897763577</v>
      </c>
      <c r="K2390">
        <v>0.8</v>
      </c>
      <c r="L2390">
        <v>0.3</v>
      </c>
      <c r="M2390">
        <v>0.7</v>
      </c>
      <c r="N2390">
        <v>78</v>
      </c>
      <c r="O2390">
        <v>548</v>
      </c>
      <c r="P2390">
        <v>0</v>
      </c>
      <c r="Q2390">
        <v>87.54</v>
      </c>
      <c r="R2390" t="s">
        <v>288</v>
      </c>
      <c r="S2390">
        <v>1.99</v>
      </c>
      <c r="T2390">
        <v>2.2000000000000002</v>
      </c>
    </row>
    <row r="2391" spans="1:21" ht="15" customHeight="1" x14ac:dyDescent="0.25">
      <c r="A2391" t="s">
        <v>19</v>
      </c>
      <c r="B2391" t="s">
        <v>20</v>
      </c>
      <c r="C2391" t="s">
        <v>306</v>
      </c>
      <c r="D2391">
        <v>3</v>
      </c>
      <c r="E2391" t="s">
        <v>185</v>
      </c>
      <c r="F2391" t="s">
        <v>373</v>
      </c>
      <c r="G2391">
        <v>0</v>
      </c>
      <c r="H2391">
        <v>0</v>
      </c>
      <c r="I2391">
        <f>G2391+H2391</f>
        <v>0</v>
      </c>
      <c r="J2391">
        <f>100-G2391-H2391</f>
        <v>100</v>
      </c>
      <c r="K2391" t="s">
        <v>19</v>
      </c>
      <c r="L2391" t="s">
        <v>19</v>
      </c>
      <c r="M2391" t="s">
        <v>19</v>
      </c>
      <c r="N2391" t="s">
        <v>19</v>
      </c>
      <c r="O2391" t="s">
        <v>19</v>
      </c>
      <c r="P2391" t="s">
        <v>19</v>
      </c>
      <c r="Q2391">
        <f>I2391</f>
        <v>0</v>
      </c>
      <c r="R2391" t="s">
        <v>19</v>
      </c>
      <c r="S2391" t="s">
        <v>19</v>
      </c>
      <c r="T2391" t="s">
        <v>19</v>
      </c>
    </row>
    <row r="2392" spans="1:21" ht="15" customHeight="1" x14ac:dyDescent="0.25">
      <c r="A2392" t="s">
        <v>19</v>
      </c>
      <c r="B2392" t="s">
        <v>20</v>
      </c>
      <c r="C2392" t="s">
        <v>308</v>
      </c>
      <c r="D2392">
        <v>3</v>
      </c>
      <c r="E2392" t="s">
        <v>185</v>
      </c>
      <c r="F2392" t="s">
        <v>373</v>
      </c>
      <c r="G2392">
        <v>10</v>
      </c>
      <c r="H2392">
        <v>0</v>
      </c>
      <c r="I2392">
        <f>G2392+H2392</f>
        <v>10</v>
      </c>
      <c r="J2392">
        <f>100-G2392-H2392</f>
        <v>90</v>
      </c>
      <c r="K2392" t="s">
        <v>19</v>
      </c>
      <c r="L2392" t="s">
        <v>19</v>
      </c>
      <c r="M2392" t="s">
        <v>19</v>
      </c>
      <c r="N2392" t="s">
        <v>19</v>
      </c>
      <c r="O2392" t="s">
        <v>19</v>
      </c>
      <c r="P2392" t="s">
        <v>19</v>
      </c>
      <c r="Q2392">
        <f>I2392</f>
        <v>10</v>
      </c>
      <c r="R2392" t="s">
        <v>19</v>
      </c>
      <c r="S2392" t="s">
        <v>19</v>
      </c>
      <c r="T2392" t="s">
        <v>19</v>
      </c>
    </row>
    <row r="2393" spans="1:21" ht="15" customHeight="1" x14ac:dyDescent="0.25">
      <c r="A2393" t="s">
        <v>19</v>
      </c>
      <c r="B2393" t="s">
        <v>20</v>
      </c>
      <c r="C2393" t="s">
        <v>22</v>
      </c>
      <c r="D2393">
        <v>3</v>
      </c>
      <c r="E2393" t="s">
        <v>185</v>
      </c>
      <c r="F2393" t="s">
        <v>373</v>
      </c>
      <c r="G2393">
        <v>0</v>
      </c>
      <c r="H2393">
        <v>0</v>
      </c>
      <c r="I2393">
        <f>G2393+H2393</f>
        <v>0</v>
      </c>
      <c r="J2393">
        <f>100-G2393-H2393</f>
        <v>100</v>
      </c>
      <c r="K2393" t="s">
        <v>19</v>
      </c>
      <c r="L2393" t="s">
        <v>19</v>
      </c>
      <c r="M2393" t="s">
        <v>19</v>
      </c>
      <c r="N2393" t="s">
        <v>19</v>
      </c>
      <c r="O2393" t="s">
        <v>19</v>
      </c>
      <c r="P2393" t="s">
        <v>19</v>
      </c>
      <c r="Q2393">
        <f>I2393</f>
        <v>0</v>
      </c>
      <c r="R2393" t="s">
        <v>19</v>
      </c>
      <c r="S2393" t="s">
        <v>19</v>
      </c>
      <c r="T2393" t="s">
        <v>19</v>
      </c>
    </row>
    <row r="2394" spans="1:21" ht="15" customHeight="1" x14ac:dyDescent="0.25">
      <c r="A2394" t="s">
        <v>19</v>
      </c>
      <c r="B2394" t="s">
        <v>20</v>
      </c>
      <c r="C2394" t="s">
        <v>305</v>
      </c>
      <c r="D2394">
        <v>3</v>
      </c>
      <c r="E2394" t="s">
        <v>185</v>
      </c>
      <c r="F2394" t="s">
        <v>373</v>
      </c>
      <c r="G2394">
        <v>0</v>
      </c>
      <c r="H2394">
        <v>0</v>
      </c>
      <c r="I2394">
        <f>G2394+H2394</f>
        <v>0</v>
      </c>
      <c r="J2394">
        <f>100-G2394-H2394</f>
        <v>100</v>
      </c>
      <c r="K2394" t="s">
        <v>19</v>
      </c>
      <c r="L2394" t="s">
        <v>19</v>
      </c>
      <c r="M2394" t="s">
        <v>19</v>
      </c>
      <c r="N2394" t="s">
        <v>19</v>
      </c>
      <c r="O2394" t="s">
        <v>19</v>
      </c>
      <c r="P2394" t="s">
        <v>19</v>
      </c>
      <c r="Q2394">
        <f>I2394</f>
        <v>0</v>
      </c>
      <c r="R2394" t="s">
        <v>19</v>
      </c>
      <c r="S2394" t="s">
        <v>19</v>
      </c>
      <c r="T2394" t="s">
        <v>19</v>
      </c>
    </row>
    <row r="2395" spans="1:21" ht="15" customHeight="1" x14ac:dyDescent="0.25">
      <c r="A2395" t="s">
        <v>19</v>
      </c>
      <c r="B2395" t="s">
        <v>20</v>
      </c>
      <c r="C2395" t="s">
        <v>307</v>
      </c>
      <c r="D2395">
        <v>3</v>
      </c>
      <c r="E2395" t="s">
        <v>185</v>
      </c>
      <c r="F2395" t="s">
        <v>373</v>
      </c>
      <c r="G2395">
        <v>0</v>
      </c>
      <c r="H2395">
        <v>0</v>
      </c>
      <c r="I2395">
        <f>G2395+H2395</f>
        <v>0</v>
      </c>
      <c r="J2395">
        <f>100-G2395-H2395</f>
        <v>100</v>
      </c>
      <c r="K2395" t="s">
        <v>19</v>
      </c>
      <c r="L2395" t="s">
        <v>19</v>
      </c>
      <c r="M2395" t="s">
        <v>19</v>
      </c>
      <c r="N2395" t="s">
        <v>19</v>
      </c>
      <c r="O2395" t="s">
        <v>19</v>
      </c>
      <c r="P2395" t="s">
        <v>19</v>
      </c>
      <c r="Q2395">
        <f>I2395</f>
        <v>0</v>
      </c>
      <c r="R2395" t="s">
        <v>19</v>
      </c>
      <c r="S2395" t="s">
        <v>19</v>
      </c>
      <c r="T2395" t="s">
        <v>19</v>
      </c>
    </row>
    <row r="2396" spans="1:21" ht="15" customHeight="1" x14ac:dyDescent="0.25">
      <c r="A2396" s="2">
        <v>45253.793055555558</v>
      </c>
      <c r="B2396" t="s">
        <v>309</v>
      </c>
      <c r="C2396" t="s">
        <v>213</v>
      </c>
      <c r="D2396">
        <v>3</v>
      </c>
      <c r="E2396" t="s">
        <v>185</v>
      </c>
      <c r="F2396" t="s">
        <v>373</v>
      </c>
      <c r="G2396">
        <v>1.8907563030000001</v>
      </c>
      <c r="H2396">
        <v>0</v>
      </c>
      <c r="I2396">
        <v>1.8907563030000001</v>
      </c>
      <c r="J2396">
        <v>98.109243699999993</v>
      </c>
      <c r="K2396">
        <v>0.8</v>
      </c>
      <c r="L2396">
        <v>0.2</v>
      </c>
      <c r="M2396">
        <v>0.7</v>
      </c>
      <c r="N2396">
        <v>467</v>
      </c>
      <c r="O2396">
        <v>9</v>
      </c>
      <c r="P2396">
        <v>0</v>
      </c>
      <c r="Q2396">
        <v>1.89</v>
      </c>
      <c r="R2396" t="s">
        <v>246</v>
      </c>
      <c r="S2396">
        <v>2.78</v>
      </c>
      <c r="T2396">
        <v>3.1</v>
      </c>
    </row>
    <row r="2397" spans="1:21" ht="15" customHeight="1" x14ac:dyDescent="0.25">
      <c r="A2397" s="2">
        <v>45253.96875</v>
      </c>
      <c r="B2397" t="s">
        <v>309</v>
      </c>
      <c r="C2397" t="s">
        <v>215</v>
      </c>
      <c r="D2397">
        <v>2</v>
      </c>
      <c r="E2397" t="s">
        <v>185</v>
      </c>
      <c r="F2397" t="s">
        <v>373</v>
      </c>
      <c r="G2397">
        <v>0.14992503700000001</v>
      </c>
      <c r="H2397">
        <v>0</v>
      </c>
      <c r="I2397">
        <v>0.14992503700000001</v>
      </c>
      <c r="J2397">
        <v>99.850074960000001</v>
      </c>
      <c r="K2397">
        <v>0.8</v>
      </c>
      <c r="L2397">
        <v>0.2</v>
      </c>
      <c r="M2397">
        <v>0.7</v>
      </c>
      <c r="N2397">
        <v>666</v>
      </c>
      <c r="O2397">
        <v>1</v>
      </c>
      <c r="P2397">
        <v>0</v>
      </c>
      <c r="Q2397">
        <v>0.15</v>
      </c>
      <c r="R2397" t="s">
        <v>290</v>
      </c>
      <c r="S2397">
        <v>0.01</v>
      </c>
      <c r="T2397">
        <v>0.01</v>
      </c>
    </row>
    <row r="2398" spans="1:21" ht="15" customHeight="1" x14ac:dyDescent="0.25">
      <c r="A2398" s="2">
        <v>45254.145833333336</v>
      </c>
      <c r="B2398" t="s">
        <v>309</v>
      </c>
      <c r="C2398" t="s">
        <v>217</v>
      </c>
      <c r="D2398">
        <v>2</v>
      </c>
      <c r="E2398" t="s">
        <v>185</v>
      </c>
      <c r="F2398" t="s">
        <v>373</v>
      </c>
      <c r="G2398">
        <v>0.31796502399999999</v>
      </c>
      <c r="H2398">
        <v>0</v>
      </c>
      <c r="I2398">
        <v>0.31796502399999999</v>
      </c>
      <c r="J2398">
        <v>99.682034979999997</v>
      </c>
      <c r="K2398">
        <v>0.8</v>
      </c>
      <c r="L2398">
        <v>0.2</v>
      </c>
      <c r="M2398">
        <v>0.7</v>
      </c>
      <c r="N2398">
        <v>627</v>
      </c>
      <c r="O2398">
        <v>2</v>
      </c>
      <c r="P2398">
        <v>0</v>
      </c>
      <c r="Q2398">
        <v>0.32</v>
      </c>
      <c r="R2398" t="s">
        <v>224</v>
      </c>
      <c r="S2398">
        <v>0.03</v>
      </c>
      <c r="T2398">
        <v>0.03</v>
      </c>
    </row>
    <row r="2399" spans="1:21" ht="15" customHeight="1" x14ac:dyDescent="0.25">
      <c r="A2399" s="2">
        <v>45316.480555555558</v>
      </c>
      <c r="B2399" t="s">
        <v>309</v>
      </c>
      <c r="C2399" t="s">
        <v>219</v>
      </c>
      <c r="D2399">
        <v>3</v>
      </c>
      <c r="E2399" t="s">
        <v>185</v>
      </c>
      <c r="F2399" t="s">
        <v>373</v>
      </c>
      <c r="G2399">
        <v>21.276595740000001</v>
      </c>
      <c r="H2399">
        <v>0</v>
      </c>
      <c r="I2399">
        <v>21.276595740000001</v>
      </c>
      <c r="J2399">
        <v>78.723404259999995</v>
      </c>
      <c r="K2399">
        <v>0.8</v>
      </c>
      <c r="L2399">
        <v>0.2</v>
      </c>
      <c r="M2399">
        <v>0.7</v>
      </c>
      <c r="N2399">
        <v>259</v>
      </c>
      <c r="O2399">
        <v>70</v>
      </c>
      <c r="P2399">
        <v>0</v>
      </c>
      <c r="Q2399">
        <v>21.28</v>
      </c>
      <c r="R2399" t="s">
        <v>224</v>
      </c>
      <c r="S2399">
        <v>3.27</v>
      </c>
      <c r="T2399">
        <v>4.55</v>
      </c>
    </row>
    <row r="2400" spans="1:21" ht="15" customHeight="1" x14ac:dyDescent="0.25">
      <c r="A2400" s="2">
        <v>45321.008333333331</v>
      </c>
      <c r="B2400" t="s">
        <v>309</v>
      </c>
      <c r="C2400" t="s">
        <v>221</v>
      </c>
      <c r="D2400">
        <v>2</v>
      </c>
      <c r="E2400" t="s">
        <v>185</v>
      </c>
      <c r="F2400" t="s">
        <v>373</v>
      </c>
      <c r="G2400">
        <v>0.31645569600000001</v>
      </c>
      <c r="H2400">
        <v>0</v>
      </c>
      <c r="I2400">
        <v>0.31645569600000001</v>
      </c>
      <c r="J2400">
        <v>99.683544299999994</v>
      </c>
      <c r="K2400">
        <v>0.8</v>
      </c>
      <c r="L2400">
        <v>0.3</v>
      </c>
      <c r="M2400">
        <v>0.7</v>
      </c>
      <c r="N2400">
        <v>630</v>
      </c>
      <c r="O2400">
        <v>2</v>
      </c>
      <c r="P2400">
        <v>0</v>
      </c>
      <c r="Q2400">
        <v>0.32</v>
      </c>
      <c r="R2400" t="s">
        <v>226</v>
      </c>
      <c r="S2400">
        <v>0.03</v>
      </c>
      <c r="T2400">
        <v>0.03</v>
      </c>
    </row>
    <row r="2401" spans="1:21" ht="15" customHeight="1" x14ac:dyDescent="0.25">
      <c r="A2401" t="s">
        <v>19</v>
      </c>
      <c r="B2401" t="s">
        <v>20</v>
      </c>
      <c r="C2401" t="s">
        <v>320</v>
      </c>
      <c r="D2401">
        <v>3</v>
      </c>
      <c r="E2401" t="s">
        <v>185</v>
      </c>
      <c r="F2401" t="s">
        <v>373</v>
      </c>
      <c r="G2401">
        <v>0</v>
      </c>
      <c r="H2401">
        <v>0</v>
      </c>
      <c r="I2401">
        <f>100-J2401</f>
        <v>0</v>
      </c>
      <c r="J2401">
        <f>100-G2401-H2401</f>
        <v>100</v>
      </c>
      <c r="K2401" t="s">
        <v>19</v>
      </c>
      <c r="L2401" t="s">
        <v>19</v>
      </c>
      <c r="M2401" t="s">
        <v>19</v>
      </c>
      <c r="N2401" t="s">
        <v>19</v>
      </c>
      <c r="O2401" t="s">
        <v>19</v>
      </c>
      <c r="P2401" t="s">
        <v>19</v>
      </c>
      <c r="Q2401">
        <f>I2401</f>
        <v>0</v>
      </c>
      <c r="R2401" t="s">
        <v>19</v>
      </c>
      <c r="S2401" t="s">
        <v>19</v>
      </c>
      <c r="T2401" t="s">
        <v>19</v>
      </c>
    </row>
    <row r="2402" spans="1:21" ht="15" customHeight="1" x14ac:dyDescent="0.25">
      <c r="A2402" s="2">
        <v>45323.644861111112</v>
      </c>
      <c r="B2402" t="s">
        <v>309</v>
      </c>
      <c r="C2402" t="s">
        <v>322</v>
      </c>
      <c r="D2402">
        <v>3</v>
      </c>
      <c r="E2402" t="s">
        <v>185</v>
      </c>
      <c r="F2402" t="s">
        <v>373</v>
      </c>
      <c r="G2402">
        <f>(O2402/(N2402+O2402+P2402))*100</f>
        <v>0</v>
      </c>
      <c r="H2402">
        <f>(P2402/(O2402+P2402+N2402))*100</f>
        <v>0</v>
      </c>
      <c r="I2402">
        <f>((O2402+P2402)/(P2402+O2402+N2402))*100</f>
        <v>0</v>
      </c>
      <c r="J2402">
        <f>(N2402/(P2402+O2402+N2402))*100</f>
        <v>100</v>
      </c>
      <c r="K2402">
        <v>0.8</v>
      </c>
      <c r="L2402">
        <v>0.3</v>
      </c>
      <c r="M2402">
        <v>0.7</v>
      </c>
      <c r="N2402">
        <v>631</v>
      </c>
      <c r="O2402">
        <v>0</v>
      </c>
      <c r="P2402">
        <v>0</v>
      </c>
      <c r="Q2402">
        <v>0</v>
      </c>
      <c r="R2402" t="s">
        <v>265</v>
      </c>
      <c r="S2402">
        <v>2.66</v>
      </c>
      <c r="T2402">
        <v>2.96</v>
      </c>
      <c r="U2402">
        <v>22</v>
      </c>
    </row>
    <row r="2403" spans="1:21" ht="15" customHeight="1" x14ac:dyDescent="0.25">
      <c r="A2403" s="2">
        <v>45323.650023148148</v>
      </c>
      <c r="B2403" t="s">
        <v>309</v>
      </c>
      <c r="C2403" t="s">
        <v>322</v>
      </c>
      <c r="D2403">
        <v>3</v>
      </c>
      <c r="E2403" t="s">
        <v>185</v>
      </c>
      <c r="F2403" t="s">
        <v>373</v>
      </c>
      <c r="G2403">
        <f>(O2403/(N2403+O2403+P2403))*100</f>
        <v>0.15822784810126583</v>
      </c>
      <c r="H2403">
        <f>(P2403/(O2403+P2403+N2403))*100</f>
        <v>0</v>
      </c>
      <c r="I2403">
        <f>((O2403+P2403)/(P2403+O2403+N2403))*100</f>
        <v>0.15822784810126583</v>
      </c>
      <c r="J2403">
        <f>(N2403/(P2403+O2403+N2403))*100</f>
        <v>99.841772151898738</v>
      </c>
      <c r="K2403">
        <v>0.7</v>
      </c>
      <c r="L2403">
        <v>0.3</v>
      </c>
      <c r="M2403">
        <v>0.7</v>
      </c>
      <c r="N2403">
        <v>631</v>
      </c>
      <c r="O2403">
        <v>1</v>
      </c>
      <c r="P2403">
        <v>0</v>
      </c>
      <c r="Q2403">
        <v>0.16</v>
      </c>
      <c r="R2403" t="s">
        <v>345</v>
      </c>
      <c r="S2403">
        <v>2.66</v>
      </c>
      <c r="T2403">
        <v>2.96</v>
      </c>
      <c r="U2403">
        <v>21</v>
      </c>
    </row>
    <row r="2404" spans="1:21" ht="15" customHeight="1" x14ac:dyDescent="0.25">
      <c r="A2404" s="2">
        <v>45325.204826388886</v>
      </c>
      <c r="B2404" t="s">
        <v>309</v>
      </c>
      <c r="C2404" t="s">
        <v>368</v>
      </c>
      <c r="D2404">
        <v>2</v>
      </c>
      <c r="E2404" t="s">
        <v>185</v>
      </c>
      <c r="F2404" t="s">
        <v>373</v>
      </c>
      <c r="G2404">
        <f>(O2404/(N2404+O2404+P2404))*100</f>
        <v>2.8099173553719008</v>
      </c>
      <c r="H2404">
        <f>(P2404/(O2404+P2404+N2404))*100</f>
        <v>0</v>
      </c>
      <c r="I2404">
        <v>2.81</v>
      </c>
      <c r="J2404">
        <f>(N2404/(P2404+O2404+N2404))*100</f>
        <v>97.190082644628092</v>
      </c>
      <c r="K2404">
        <v>0.8</v>
      </c>
      <c r="L2404">
        <v>0.3</v>
      </c>
      <c r="M2404">
        <v>0.7</v>
      </c>
      <c r="N2404">
        <v>588</v>
      </c>
      <c r="O2404">
        <v>17</v>
      </c>
      <c r="P2404">
        <v>0</v>
      </c>
      <c r="Q2404">
        <v>2.81</v>
      </c>
      <c r="R2404" t="s">
        <v>278</v>
      </c>
      <c r="S2404">
        <v>0.16</v>
      </c>
      <c r="T2404">
        <v>0.17</v>
      </c>
    </row>
    <row r="2405" spans="1:21" ht="15" customHeight="1" x14ac:dyDescent="0.25">
      <c r="A2405" t="s">
        <v>19</v>
      </c>
      <c r="B2405" t="s">
        <v>20</v>
      </c>
      <c r="C2405" t="s">
        <v>308</v>
      </c>
      <c r="D2405">
        <v>3</v>
      </c>
      <c r="E2405" t="s">
        <v>186</v>
      </c>
      <c r="F2405" t="s">
        <v>388</v>
      </c>
      <c r="G2405">
        <v>7</v>
      </c>
      <c r="H2405">
        <v>13</v>
      </c>
      <c r="I2405">
        <f>G2405+H2405</f>
        <v>20</v>
      </c>
      <c r="J2405">
        <f>100-G2405-H2405</f>
        <v>80</v>
      </c>
      <c r="K2405" t="s">
        <v>19</v>
      </c>
      <c r="L2405" t="s">
        <v>19</v>
      </c>
      <c r="M2405" t="s">
        <v>19</v>
      </c>
      <c r="N2405" t="s">
        <v>19</v>
      </c>
      <c r="O2405" t="s">
        <v>19</v>
      </c>
      <c r="P2405" t="s">
        <v>19</v>
      </c>
      <c r="Q2405">
        <f>I2405</f>
        <v>20</v>
      </c>
      <c r="R2405" t="s">
        <v>19</v>
      </c>
      <c r="S2405" t="s">
        <v>19</v>
      </c>
      <c r="T2405" t="s">
        <v>19</v>
      </c>
    </row>
    <row r="2406" spans="1:21" ht="15" customHeight="1" x14ac:dyDescent="0.25">
      <c r="A2406" t="s">
        <v>19</v>
      </c>
      <c r="B2406" t="s">
        <v>20</v>
      </c>
      <c r="C2406" t="s">
        <v>22</v>
      </c>
      <c r="D2406">
        <v>3</v>
      </c>
      <c r="E2406" t="s">
        <v>186</v>
      </c>
      <c r="F2406" t="s">
        <v>388</v>
      </c>
      <c r="G2406">
        <v>20</v>
      </c>
      <c r="H2406">
        <v>15</v>
      </c>
      <c r="I2406">
        <f>G2406+H2406</f>
        <v>35</v>
      </c>
      <c r="J2406">
        <f>100-G2406-H2406</f>
        <v>65</v>
      </c>
      <c r="K2406" t="s">
        <v>19</v>
      </c>
      <c r="L2406" t="s">
        <v>19</v>
      </c>
      <c r="M2406" t="s">
        <v>19</v>
      </c>
      <c r="N2406" t="s">
        <v>19</v>
      </c>
      <c r="O2406" t="s">
        <v>19</v>
      </c>
      <c r="P2406" t="s">
        <v>19</v>
      </c>
      <c r="Q2406">
        <f>I2406</f>
        <v>35</v>
      </c>
      <c r="R2406" t="s">
        <v>19</v>
      </c>
      <c r="S2406" t="s">
        <v>19</v>
      </c>
      <c r="T2406" t="s">
        <v>19</v>
      </c>
    </row>
    <row r="2407" spans="1:21" ht="15" customHeight="1" x14ac:dyDescent="0.25">
      <c r="A2407" t="s">
        <v>19</v>
      </c>
      <c r="B2407" t="s">
        <v>20</v>
      </c>
      <c r="C2407" t="s">
        <v>305</v>
      </c>
      <c r="D2407">
        <v>3</v>
      </c>
      <c r="E2407" t="s">
        <v>186</v>
      </c>
      <c r="F2407" t="s">
        <v>388</v>
      </c>
      <c r="G2407">
        <v>25</v>
      </c>
      <c r="H2407">
        <v>25</v>
      </c>
      <c r="I2407">
        <f>G2407+H2407</f>
        <v>50</v>
      </c>
      <c r="J2407">
        <f>100-G2407-H2407</f>
        <v>50</v>
      </c>
      <c r="K2407" t="s">
        <v>19</v>
      </c>
      <c r="L2407" t="s">
        <v>19</v>
      </c>
      <c r="M2407" t="s">
        <v>19</v>
      </c>
      <c r="N2407" t="s">
        <v>19</v>
      </c>
      <c r="O2407" t="s">
        <v>19</v>
      </c>
      <c r="P2407" t="s">
        <v>19</v>
      </c>
      <c r="Q2407">
        <f>I2407</f>
        <v>50</v>
      </c>
      <c r="R2407" t="s">
        <v>19</v>
      </c>
      <c r="S2407" t="s">
        <v>19</v>
      </c>
      <c r="T2407" t="s">
        <v>19</v>
      </c>
    </row>
    <row r="2408" spans="1:21" ht="15" customHeight="1" x14ac:dyDescent="0.25">
      <c r="A2408" t="s">
        <v>19</v>
      </c>
      <c r="B2408" t="s">
        <v>20</v>
      </c>
      <c r="C2408" t="s">
        <v>307</v>
      </c>
      <c r="D2408">
        <v>3</v>
      </c>
      <c r="E2408" t="s">
        <v>186</v>
      </c>
      <c r="F2408" t="s">
        <v>388</v>
      </c>
      <c r="G2408">
        <v>4</v>
      </c>
      <c r="H2408">
        <v>6</v>
      </c>
      <c r="I2408">
        <f>G2408+H2408</f>
        <v>10</v>
      </c>
      <c r="J2408">
        <f>100-G2408-H2408</f>
        <v>90</v>
      </c>
      <c r="K2408" t="s">
        <v>19</v>
      </c>
      <c r="L2408" t="s">
        <v>19</v>
      </c>
      <c r="M2408" t="s">
        <v>19</v>
      </c>
      <c r="N2408" t="s">
        <v>19</v>
      </c>
      <c r="O2408" t="s">
        <v>19</v>
      </c>
      <c r="P2408" t="s">
        <v>19</v>
      </c>
      <c r="Q2408">
        <f>I2408</f>
        <v>10</v>
      </c>
      <c r="R2408" t="s">
        <v>19</v>
      </c>
      <c r="S2408" t="s">
        <v>19</v>
      </c>
      <c r="T2408" t="s">
        <v>19</v>
      </c>
    </row>
    <row r="2409" spans="1:21" ht="15" customHeight="1" x14ac:dyDescent="0.25">
      <c r="A2409" s="2">
        <v>45253.637499999997</v>
      </c>
      <c r="B2409" t="s">
        <v>309</v>
      </c>
      <c r="C2409" t="s">
        <v>213</v>
      </c>
      <c r="D2409">
        <v>3</v>
      </c>
      <c r="E2409" t="s">
        <v>186</v>
      </c>
      <c r="F2409" t="s">
        <v>388</v>
      </c>
      <c r="G2409">
        <v>3.972366149</v>
      </c>
      <c r="H2409">
        <v>18.825561310000001</v>
      </c>
      <c r="I2409">
        <v>22.79792746</v>
      </c>
      <c r="J2409">
        <v>77.202072540000003</v>
      </c>
      <c r="K2409">
        <v>0.8</v>
      </c>
      <c r="L2409">
        <v>0.2</v>
      </c>
      <c r="M2409">
        <v>0.7</v>
      </c>
      <c r="N2409">
        <v>447</v>
      </c>
      <c r="O2409">
        <v>23</v>
      </c>
      <c r="P2409">
        <v>109</v>
      </c>
      <c r="Q2409">
        <v>22.8</v>
      </c>
      <c r="R2409" t="s">
        <v>223</v>
      </c>
      <c r="S2409">
        <v>2.73</v>
      </c>
      <c r="T2409">
        <v>3.75</v>
      </c>
    </row>
    <row r="2410" spans="1:21" ht="15" customHeight="1" x14ac:dyDescent="0.25">
      <c r="A2410" s="2">
        <v>45253.885416666664</v>
      </c>
      <c r="B2410" t="s">
        <v>309</v>
      </c>
      <c r="C2410" t="s">
        <v>215</v>
      </c>
      <c r="D2410">
        <v>2</v>
      </c>
      <c r="E2410" t="s">
        <v>186</v>
      </c>
      <c r="F2410" t="s">
        <v>388</v>
      </c>
      <c r="G2410">
        <v>21.16564417</v>
      </c>
      <c r="H2410">
        <v>0</v>
      </c>
      <c r="I2410">
        <v>21.16564417</v>
      </c>
      <c r="J2410">
        <v>78.834355830000007</v>
      </c>
      <c r="K2410">
        <v>0.8</v>
      </c>
      <c r="L2410">
        <v>0.2</v>
      </c>
      <c r="M2410">
        <v>0.7</v>
      </c>
      <c r="N2410">
        <v>514</v>
      </c>
      <c r="O2410">
        <v>138</v>
      </c>
      <c r="P2410">
        <v>0</v>
      </c>
      <c r="Q2410">
        <v>21.17</v>
      </c>
      <c r="R2410" t="s">
        <v>227</v>
      </c>
      <c r="S2410">
        <v>0.56000000000000005</v>
      </c>
      <c r="T2410">
        <v>0.61</v>
      </c>
    </row>
    <row r="2411" spans="1:21" ht="15" customHeight="1" x14ac:dyDescent="0.25">
      <c r="A2411" s="2">
        <v>45254.056250000001</v>
      </c>
      <c r="B2411" t="s">
        <v>309</v>
      </c>
      <c r="C2411" t="s">
        <v>217</v>
      </c>
      <c r="D2411">
        <v>2</v>
      </c>
      <c r="E2411" t="s">
        <v>186</v>
      </c>
      <c r="F2411" t="s">
        <v>388</v>
      </c>
      <c r="G2411">
        <v>20.55214724</v>
      </c>
      <c r="H2411">
        <v>0</v>
      </c>
      <c r="I2411">
        <v>20.55214724</v>
      </c>
      <c r="J2411">
        <v>79.447852760000004</v>
      </c>
      <c r="K2411">
        <v>0.8</v>
      </c>
      <c r="L2411">
        <v>0.2</v>
      </c>
      <c r="M2411">
        <v>0.7</v>
      </c>
      <c r="N2411">
        <v>518</v>
      </c>
      <c r="O2411">
        <v>134</v>
      </c>
      <c r="P2411">
        <v>0</v>
      </c>
      <c r="Q2411">
        <v>20.55</v>
      </c>
      <c r="R2411" t="s">
        <v>220</v>
      </c>
      <c r="S2411">
        <v>0.55000000000000004</v>
      </c>
      <c r="T2411">
        <v>0.57999999999999996</v>
      </c>
    </row>
    <row r="2412" spans="1:21" ht="15" customHeight="1" x14ac:dyDescent="0.25">
      <c r="A2412" s="2">
        <v>45316.565972222219</v>
      </c>
      <c r="B2412" t="s">
        <v>309</v>
      </c>
      <c r="C2412" t="s">
        <v>219</v>
      </c>
      <c r="D2412">
        <v>3</v>
      </c>
      <c r="E2412" t="s">
        <v>186</v>
      </c>
      <c r="F2412" t="s">
        <v>388</v>
      </c>
      <c r="G2412">
        <v>3.225806452</v>
      </c>
      <c r="H2412">
        <v>24.654377879999998</v>
      </c>
      <c r="I2412">
        <v>27.880184329999999</v>
      </c>
      <c r="J2412">
        <v>72.119815669999994</v>
      </c>
      <c r="K2412">
        <v>0.8</v>
      </c>
      <c r="L2412">
        <v>0.2</v>
      </c>
      <c r="M2412">
        <v>0.7</v>
      </c>
      <c r="N2412">
        <v>313</v>
      </c>
      <c r="O2412">
        <v>14</v>
      </c>
      <c r="P2412">
        <v>107</v>
      </c>
      <c r="Q2412">
        <v>27.88</v>
      </c>
      <c r="R2412" t="s">
        <v>227</v>
      </c>
      <c r="S2412">
        <v>3.23</v>
      </c>
      <c r="T2412">
        <v>4.9400000000000004</v>
      </c>
    </row>
    <row r="2413" spans="1:21" ht="15" customHeight="1" x14ac:dyDescent="0.25">
      <c r="A2413" s="2">
        <v>45320.911111111112</v>
      </c>
      <c r="B2413" t="s">
        <v>309</v>
      </c>
      <c r="C2413" t="s">
        <v>221</v>
      </c>
      <c r="D2413">
        <v>2</v>
      </c>
      <c r="E2413" t="s">
        <v>186</v>
      </c>
      <c r="F2413" t="s">
        <v>388</v>
      </c>
      <c r="G2413">
        <v>30.549898169999999</v>
      </c>
      <c r="H2413">
        <v>0</v>
      </c>
      <c r="I2413">
        <v>30.549898169999999</v>
      </c>
      <c r="J2413">
        <v>69.450101829999994</v>
      </c>
      <c r="K2413">
        <v>0.8</v>
      </c>
      <c r="L2413">
        <v>0.3</v>
      </c>
      <c r="M2413">
        <v>0.7</v>
      </c>
      <c r="N2413">
        <v>341</v>
      </c>
      <c r="O2413">
        <v>150</v>
      </c>
      <c r="P2413">
        <v>0</v>
      </c>
      <c r="Q2413">
        <v>30.55</v>
      </c>
      <c r="R2413" t="s">
        <v>232</v>
      </c>
      <c r="S2413">
        <v>0.82</v>
      </c>
      <c r="T2413">
        <v>0.9</v>
      </c>
    </row>
    <row r="2414" spans="1:21" ht="15" customHeight="1" x14ac:dyDescent="0.25">
      <c r="A2414" t="s">
        <v>19</v>
      </c>
      <c r="B2414" t="s">
        <v>20</v>
      </c>
      <c r="C2414" t="s">
        <v>306</v>
      </c>
      <c r="D2414">
        <v>3</v>
      </c>
      <c r="E2414" t="s">
        <v>186</v>
      </c>
      <c r="F2414" t="s">
        <v>388</v>
      </c>
      <c r="G2414">
        <v>20</v>
      </c>
      <c r="H2414">
        <v>25</v>
      </c>
      <c r="I2414">
        <f>G2414+H2414</f>
        <v>45</v>
      </c>
      <c r="J2414">
        <f>100-G2414-H2414</f>
        <v>55</v>
      </c>
      <c r="K2414" t="s">
        <v>19</v>
      </c>
      <c r="L2414" t="s">
        <v>19</v>
      </c>
      <c r="M2414" t="s">
        <v>19</v>
      </c>
      <c r="N2414" t="s">
        <v>19</v>
      </c>
      <c r="O2414" t="s">
        <v>19</v>
      </c>
      <c r="P2414" t="s">
        <v>19</v>
      </c>
      <c r="Q2414">
        <f>I2414</f>
        <v>45</v>
      </c>
      <c r="R2414" t="s">
        <v>19</v>
      </c>
      <c r="S2414" t="s">
        <v>19</v>
      </c>
      <c r="T2414" t="s">
        <v>19</v>
      </c>
    </row>
    <row r="2415" spans="1:21" ht="15" customHeight="1" x14ac:dyDescent="0.25">
      <c r="A2415" t="s">
        <v>19</v>
      </c>
      <c r="B2415" t="s">
        <v>20</v>
      </c>
      <c r="C2415" t="s">
        <v>320</v>
      </c>
      <c r="D2415">
        <v>3</v>
      </c>
      <c r="E2415" t="s">
        <v>186</v>
      </c>
      <c r="F2415" t="s">
        <v>388</v>
      </c>
      <c r="G2415">
        <v>10</v>
      </c>
      <c r="H2415">
        <v>20</v>
      </c>
      <c r="I2415">
        <f>100-J2415</f>
        <v>30</v>
      </c>
      <c r="J2415">
        <f>100-G2415-H2415</f>
        <v>70</v>
      </c>
      <c r="K2415" t="s">
        <v>19</v>
      </c>
      <c r="L2415" t="s">
        <v>19</v>
      </c>
      <c r="M2415" t="s">
        <v>19</v>
      </c>
      <c r="N2415" t="s">
        <v>19</v>
      </c>
      <c r="O2415" t="s">
        <v>19</v>
      </c>
      <c r="P2415" t="s">
        <v>19</v>
      </c>
      <c r="Q2415">
        <f>I2415</f>
        <v>30</v>
      </c>
      <c r="R2415" t="s">
        <v>19</v>
      </c>
      <c r="S2415" t="s">
        <v>19</v>
      </c>
      <c r="T2415" t="s">
        <v>19</v>
      </c>
    </row>
    <row r="2416" spans="1:21" ht="15" customHeight="1" x14ac:dyDescent="0.25">
      <c r="A2416" s="2">
        <v>45323.650127314817</v>
      </c>
      <c r="B2416" t="s">
        <v>309</v>
      </c>
      <c r="C2416" t="s">
        <v>322</v>
      </c>
      <c r="D2416">
        <v>3</v>
      </c>
      <c r="E2416" t="s">
        <v>186</v>
      </c>
      <c r="F2416" t="s">
        <v>388</v>
      </c>
      <c r="G2416">
        <f>(O2416/(N2416+O2416+P2416))*100</f>
        <v>9.4488188976377945</v>
      </c>
      <c r="H2416">
        <f>(P2416/(O2416+P2416+N2416))*100</f>
        <v>14.960629921259844</v>
      </c>
      <c r="I2416">
        <v>24.41</v>
      </c>
      <c r="J2416">
        <f>(N2416/(P2416+O2416+N2416))*100</f>
        <v>75.590551181102356</v>
      </c>
      <c r="K2416">
        <v>0.8</v>
      </c>
      <c r="L2416">
        <v>0.3</v>
      </c>
      <c r="M2416">
        <v>0.7</v>
      </c>
      <c r="N2416">
        <v>384</v>
      </c>
      <c r="O2416">
        <v>48</v>
      </c>
      <c r="P2416">
        <v>76</v>
      </c>
      <c r="Q2416">
        <v>24.41</v>
      </c>
      <c r="R2416" t="s">
        <v>240</v>
      </c>
      <c r="S2416">
        <v>2.44</v>
      </c>
      <c r="T2416">
        <v>4.6500000000000004</v>
      </c>
      <c r="U2416">
        <v>53</v>
      </c>
    </row>
    <row r="2417" spans="1:21" ht="15" customHeight="1" x14ac:dyDescent="0.25">
      <c r="A2417" s="2">
        <v>45323.645497685182</v>
      </c>
      <c r="B2417" t="s">
        <v>309</v>
      </c>
      <c r="C2417" t="s">
        <v>322</v>
      </c>
      <c r="D2417">
        <v>3</v>
      </c>
      <c r="E2417" t="s">
        <v>186</v>
      </c>
      <c r="F2417" t="s">
        <v>388</v>
      </c>
      <c r="G2417">
        <f>(O2417/(N2417+O2417+P2417))*100</f>
        <v>11.538461538461538</v>
      </c>
      <c r="H2417">
        <f>(P2417/(O2417+P2417+N2417))*100</f>
        <v>16.346153846153847</v>
      </c>
      <c r="I2417">
        <v>27.88</v>
      </c>
      <c r="J2417">
        <f>(N2417/(P2417+O2417+N2417))*100</f>
        <v>72.115384615384613</v>
      </c>
      <c r="K2417">
        <v>0.7</v>
      </c>
      <c r="L2417">
        <v>0.3</v>
      </c>
      <c r="M2417">
        <v>0.7</v>
      </c>
      <c r="N2417">
        <v>375</v>
      </c>
      <c r="O2417">
        <v>60</v>
      </c>
      <c r="P2417">
        <v>85</v>
      </c>
      <c r="Q2417">
        <v>27.88</v>
      </c>
      <c r="R2417" t="s">
        <v>275</v>
      </c>
      <c r="S2417">
        <v>2.44</v>
      </c>
      <c r="T2417">
        <v>4.6500000000000004</v>
      </c>
      <c r="U2417">
        <v>41</v>
      </c>
    </row>
    <row r="2418" spans="1:21" ht="15" customHeight="1" x14ac:dyDescent="0.25">
      <c r="A2418" s="2">
        <v>45325.061412037037</v>
      </c>
      <c r="B2418" t="s">
        <v>309</v>
      </c>
      <c r="C2418" t="s">
        <v>368</v>
      </c>
      <c r="D2418">
        <v>2</v>
      </c>
      <c r="E2418" t="s">
        <v>186</v>
      </c>
      <c r="F2418" t="s">
        <v>388</v>
      </c>
      <c r="G2418">
        <f>(O2418/(N2418+O2418+P2418))*100</f>
        <v>39.872068230277186</v>
      </c>
      <c r="H2418">
        <f>(P2418/(O2418+P2418+N2418))*100</f>
        <v>0</v>
      </c>
      <c r="I2418">
        <v>39.869999999999997</v>
      </c>
      <c r="J2418">
        <f>(N2418/(P2418+O2418+N2418))*100</f>
        <v>60.127931769722821</v>
      </c>
      <c r="K2418">
        <v>0.8</v>
      </c>
      <c r="L2418">
        <v>0.3</v>
      </c>
      <c r="M2418">
        <v>0.7</v>
      </c>
      <c r="N2418">
        <v>282</v>
      </c>
      <c r="O2418">
        <v>187</v>
      </c>
      <c r="P2418">
        <v>0</v>
      </c>
      <c r="Q2418">
        <v>39.869999999999997</v>
      </c>
      <c r="R2418" t="s">
        <v>261</v>
      </c>
      <c r="S2418">
        <v>0.99</v>
      </c>
      <c r="T2418">
        <v>1.0900000000000001</v>
      </c>
    </row>
    <row r="2419" spans="1:21" ht="15" customHeight="1" x14ac:dyDescent="0.25">
      <c r="A2419" t="s">
        <v>19</v>
      </c>
      <c r="B2419" t="s">
        <v>20</v>
      </c>
      <c r="C2419" t="s">
        <v>308</v>
      </c>
      <c r="D2419">
        <v>3</v>
      </c>
      <c r="E2419" t="s">
        <v>187</v>
      </c>
      <c r="F2419" t="s">
        <v>388</v>
      </c>
      <c r="G2419">
        <v>5</v>
      </c>
      <c r="H2419">
        <v>0</v>
      </c>
      <c r="I2419">
        <f>G2419+H2419</f>
        <v>5</v>
      </c>
      <c r="J2419">
        <f>100-G2419-H2419</f>
        <v>95</v>
      </c>
      <c r="K2419" t="s">
        <v>19</v>
      </c>
      <c r="L2419" t="s">
        <v>19</v>
      </c>
      <c r="M2419" t="s">
        <v>19</v>
      </c>
      <c r="N2419" t="s">
        <v>19</v>
      </c>
      <c r="O2419" t="s">
        <v>19</v>
      </c>
      <c r="P2419" t="s">
        <v>19</v>
      </c>
      <c r="Q2419">
        <f>I2419</f>
        <v>5</v>
      </c>
      <c r="R2419" t="s">
        <v>19</v>
      </c>
      <c r="S2419" t="s">
        <v>19</v>
      </c>
      <c r="T2419" t="s">
        <v>19</v>
      </c>
    </row>
    <row r="2420" spans="1:21" ht="15" customHeight="1" x14ac:dyDescent="0.25">
      <c r="A2420" t="s">
        <v>19</v>
      </c>
      <c r="B2420" t="s">
        <v>20</v>
      </c>
      <c r="C2420" t="s">
        <v>22</v>
      </c>
      <c r="D2420">
        <v>3</v>
      </c>
      <c r="E2420" t="s">
        <v>187</v>
      </c>
      <c r="F2420" t="s">
        <v>388</v>
      </c>
      <c r="G2420">
        <v>7</v>
      </c>
      <c r="H2420">
        <v>0</v>
      </c>
      <c r="I2420">
        <f>G2420+H2420</f>
        <v>7</v>
      </c>
      <c r="J2420">
        <f>100-G2420-H2420</f>
        <v>93</v>
      </c>
      <c r="K2420" t="s">
        <v>19</v>
      </c>
      <c r="L2420" t="s">
        <v>19</v>
      </c>
      <c r="M2420" t="s">
        <v>19</v>
      </c>
      <c r="N2420" t="s">
        <v>19</v>
      </c>
      <c r="O2420" t="s">
        <v>19</v>
      </c>
      <c r="P2420" t="s">
        <v>19</v>
      </c>
      <c r="Q2420">
        <f>I2420</f>
        <v>7</v>
      </c>
      <c r="R2420" t="s">
        <v>19</v>
      </c>
      <c r="S2420" t="s">
        <v>19</v>
      </c>
      <c r="T2420" t="s">
        <v>19</v>
      </c>
    </row>
    <row r="2421" spans="1:21" ht="15" customHeight="1" x14ac:dyDescent="0.25">
      <c r="A2421" t="s">
        <v>19</v>
      </c>
      <c r="B2421" t="s">
        <v>20</v>
      </c>
      <c r="C2421" t="s">
        <v>305</v>
      </c>
      <c r="D2421">
        <v>3</v>
      </c>
      <c r="E2421" t="s">
        <v>187</v>
      </c>
      <c r="F2421" t="s">
        <v>388</v>
      </c>
      <c r="G2421">
        <v>10</v>
      </c>
      <c r="H2421">
        <v>0</v>
      </c>
      <c r="I2421">
        <f>G2421+H2421</f>
        <v>10</v>
      </c>
      <c r="J2421">
        <f>100-G2421-H2421</f>
        <v>90</v>
      </c>
      <c r="K2421" t="s">
        <v>19</v>
      </c>
      <c r="L2421" t="s">
        <v>19</v>
      </c>
      <c r="M2421" t="s">
        <v>19</v>
      </c>
      <c r="N2421" t="s">
        <v>19</v>
      </c>
      <c r="O2421" t="s">
        <v>19</v>
      </c>
      <c r="P2421" t="s">
        <v>19</v>
      </c>
      <c r="Q2421">
        <f>I2421</f>
        <v>10</v>
      </c>
      <c r="R2421" t="s">
        <v>19</v>
      </c>
      <c r="S2421" t="s">
        <v>19</v>
      </c>
      <c r="T2421" t="s">
        <v>19</v>
      </c>
    </row>
    <row r="2422" spans="1:21" ht="15" customHeight="1" x14ac:dyDescent="0.25">
      <c r="A2422" t="s">
        <v>19</v>
      </c>
      <c r="B2422" t="s">
        <v>20</v>
      </c>
      <c r="C2422" t="s">
        <v>307</v>
      </c>
      <c r="D2422">
        <v>3</v>
      </c>
      <c r="E2422" t="s">
        <v>187</v>
      </c>
      <c r="F2422" t="s">
        <v>388</v>
      </c>
      <c r="G2422">
        <v>8</v>
      </c>
      <c r="H2422">
        <v>0</v>
      </c>
      <c r="I2422">
        <f>G2422+H2422</f>
        <v>8</v>
      </c>
      <c r="J2422">
        <f>100-G2422-H2422</f>
        <v>92</v>
      </c>
      <c r="K2422" t="s">
        <v>19</v>
      </c>
      <c r="L2422" t="s">
        <v>19</v>
      </c>
      <c r="M2422" t="s">
        <v>19</v>
      </c>
      <c r="N2422" t="s">
        <v>19</v>
      </c>
      <c r="O2422" t="s">
        <v>19</v>
      </c>
      <c r="P2422" t="s">
        <v>19</v>
      </c>
      <c r="Q2422">
        <f>I2422</f>
        <v>8</v>
      </c>
      <c r="R2422" t="s">
        <v>19</v>
      </c>
      <c r="S2422" t="s">
        <v>19</v>
      </c>
      <c r="T2422" t="s">
        <v>19</v>
      </c>
    </row>
    <row r="2423" spans="1:21" ht="15" customHeight="1" x14ac:dyDescent="0.25">
      <c r="A2423" s="2">
        <v>45253.638888888891</v>
      </c>
      <c r="B2423" t="s">
        <v>309</v>
      </c>
      <c r="C2423" t="s">
        <v>213</v>
      </c>
      <c r="D2423">
        <v>3</v>
      </c>
      <c r="E2423" t="s">
        <v>187</v>
      </c>
      <c r="F2423" t="s">
        <v>388</v>
      </c>
      <c r="G2423">
        <v>1.6366612110000001</v>
      </c>
      <c r="H2423">
        <v>0</v>
      </c>
      <c r="I2423">
        <v>1.6366612110000001</v>
      </c>
      <c r="J2423">
        <v>98.36333879</v>
      </c>
      <c r="K2423">
        <v>0.8</v>
      </c>
      <c r="L2423">
        <v>0.2</v>
      </c>
      <c r="M2423">
        <v>0.7</v>
      </c>
      <c r="N2423">
        <v>601</v>
      </c>
      <c r="O2423">
        <v>10</v>
      </c>
      <c r="P2423">
        <v>0</v>
      </c>
      <c r="Q2423">
        <v>1.64</v>
      </c>
      <c r="R2423" t="s">
        <v>214</v>
      </c>
      <c r="S2423">
        <v>2.88</v>
      </c>
      <c r="T2423">
        <v>3.28</v>
      </c>
    </row>
    <row r="2424" spans="1:21" ht="15" customHeight="1" x14ac:dyDescent="0.25">
      <c r="A2424" s="2">
        <v>45253.886111111111</v>
      </c>
      <c r="B2424" t="s">
        <v>309</v>
      </c>
      <c r="C2424" t="s">
        <v>215</v>
      </c>
      <c r="D2424">
        <v>2</v>
      </c>
      <c r="E2424" t="s">
        <v>187</v>
      </c>
      <c r="F2424" t="s">
        <v>388</v>
      </c>
      <c r="G2424">
        <v>9.5170454549999999</v>
      </c>
      <c r="H2424">
        <v>0</v>
      </c>
      <c r="I2424">
        <v>9.5170454549999999</v>
      </c>
      <c r="J2424">
        <v>90.482954550000002</v>
      </c>
      <c r="K2424">
        <v>0.8</v>
      </c>
      <c r="L2424">
        <v>0.2</v>
      </c>
      <c r="M2424">
        <v>0.7</v>
      </c>
      <c r="N2424">
        <v>637</v>
      </c>
      <c r="O2424">
        <v>67</v>
      </c>
      <c r="P2424">
        <v>0</v>
      </c>
      <c r="Q2424">
        <v>9.52</v>
      </c>
      <c r="R2424" t="s">
        <v>216</v>
      </c>
      <c r="S2424">
        <v>0.23</v>
      </c>
      <c r="T2424">
        <v>0.24</v>
      </c>
    </row>
    <row r="2425" spans="1:21" ht="15" customHeight="1" x14ac:dyDescent="0.25">
      <c r="A2425" s="2">
        <v>45254.057638888888</v>
      </c>
      <c r="B2425" t="s">
        <v>309</v>
      </c>
      <c r="C2425" t="s">
        <v>217</v>
      </c>
      <c r="D2425">
        <v>2</v>
      </c>
      <c r="E2425" t="s">
        <v>187</v>
      </c>
      <c r="F2425" t="s">
        <v>388</v>
      </c>
      <c r="G2425">
        <v>12.11656442</v>
      </c>
      <c r="H2425">
        <v>0</v>
      </c>
      <c r="I2425">
        <v>12.11656442</v>
      </c>
      <c r="J2425">
        <v>87.883435579999997</v>
      </c>
      <c r="K2425">
        <v>0.8</v>
      </c>
      <c r="L2425">
        <v>0.2</v>
      </c>
      <c r="M2425">
        <v>0.7</v>
      </c>
      <c r="N2425">
        <v>573</v>
      </c>
      <c r="O2425">
        <v>79</v>
      </c>
      <c r="P2425">
        <v>0</v>
      </c>
      <c r="Q2425">
        <v>12.12</v>
      </c>
      <c r="R2425" t="s">
        <v>225</v>
      </c>
      <c r="S2425">
        <v>0.32</v>
      </c>
      <c r="T2425">
        <v>0.34</v>
      </c>
    </row>
    <row r="2426" spans="1:21" ht="15" customHeight="1" x14ac:dyDescent="0.25">
      <c r="A2426" s="2">
        <v>45316.566666666666</v>
      </c>
      <c r="B2426" t="s">
        <v>309</v>
      </c>
      <c r="C2426" t="s">
        <v>219</v>
      </c>
      <c r="D2426">
        <v>3</v>
      </c>
      <c r="E2426" t="s">
        <v>187</v>
      </c>
      <c r="F2426" t="s">
        <v>388</v>
      </c>
      <c r="G2426" t="e">
        <v>#VALUE!</v>
      </c>
      <c r="H2426" t="e">
        <v>#VALUE!</v>
      </c>
      <c r="I2426">
        <v>3.72</v>
      </c>
      <c r="J2426" t="e">
        <v>#VALUE!</v>
      </c>
      <c r="K2426">
        <v>0.8</v>
      </c>
      <c r="L2426">
        <v>0.2</v>
      </c>
      <c r="M2426">
        <v>0.7</v>
      </c>
      <c r="N2426">
        <v>466</v>
      </c>
      <c r="O2426" t="s">
        <v>266</v>
      </c>
      <c r="P2426" t="s">
        <v>266</v>
      </c>
      <c r="Q2426">
        <v>3.72</v>
      </c>
      <c r="R2426" t="s">
        <v>225</v>
      </c>
      <c r="S2426">
        <v>3.3</v>
      </c>
      <c r="T2426">
        <v>4.78</v>
      </c>
    </row>
    <row r="2427" spans="1:21" ht="15" customHeight="1" x14ac:dyDescent="0.25">
      <c r="A2427" s="2">
        <v>45320.912499999999</v>
      </c>
      <c r="B2427" t="s">
        <v>309</v>
      </c>
      <c r="C2427" t="s">
        <v>221</v>
      </c>
      <c r="D2427">
        <v>2</v>
      </c>
      <c r="E2427" t="s">
        <v>187</v>
      </c>
      <c r="F2427" t="s">
        <v>388</v>
      </c>
      <c r="G2427">
        <v>5.7453416150000001</v>
      </c>
      <c r="H2427">
        <v>0</v>
      </c>
      <c r="I2427">
        <v>5.7453416150000001</v>
      </c>
      <c r="J2427">
        <v>94.254658390000003</v>
      </c>
      <c r="K2427">
        <v>0.8</v>
      </c>
      <c r="L2427">
        <v>0.3</v>
      </c>
      <c r="M2427">
        <v>0.7</v>
      </c>
      <c r="N2427">
        <v>607</v>
      </c>
      <c r="O2427">
        <v>37</v>
      </c>
      <c r="P2427">
        <v>0</v>
      </c>
      <c r="Q2427">
        <v>5.75</v>
      </c>
      <c r="R2427" t="s">
        <v>220</v>
      </c>
      <c r="S2427">
        <v>0.19</v>
      </c>
      <c r="T2427">
        <v>0.21</v>
      </c>
    </row>
    <row r="2428" spans="1:21" ht="15" customHeight="1" x14ac:dyDescent="0.25">
      <c r="A2428" t="s">
        <v>19</v>
      </c>
      <c r="B2428" t="s">
        <v>20</v>
      </c>
      <c r="C2428" t="s">
        <v>306</v>
      </c>
      <c r="D2428">
        <v>3</v>
      </c>
      <c r="E2428" t="s">
        <v>187</v>
      </c>
      <c r="F2428" t="s">
        <v>388</v>
      </c>
      <c r="G2428">
        <v>0</v>
      </c>
      <c r="H2428">
        <v>0</v>
      </c>
      <c r="I2428">
        <f>G2428+H2428</f>
        <v>0</v>
      </c>
      <c r="J2428">
        <f>100-G2428-H2428</f>
        <v>100</v>
      </c>
      <c r="K2428" t="s">
        <v>19</v>
      </c>
      <c r="L2428" t="s">
        <v>19</v>
      </c>
      <c r="M2428" t="s">
        <v>19</v>
      </c>
      <c r="N2428" t="s">
        <v>19</v>
      </c>
      <c r="O2428" t="s">
        <v>19</v>
      </c>
      <c r="P2428" t="s">
        <v>19</v>
      </c>
      <c r="Q2428">
        <f>I2428</f>
        <v>0</v>
      </c>
      <c r="R2428" t="s">
        <v>19</v>
      </c>
      <c r="S2428" t="s">
        <v>19</v>
      </c>
      <c r="T2428" t="s">
        <v>19</v>
      </c>
    </row>
    <row r="2429" spans="1:21" ht="15" customHeight="1" x14ac:dyDescent="0.25">
      <c r="A2429" t="s">
        <v>19</v>
      </c>
      <c r="B2429" t="s">
        <v>20</v>
      </c>
      <c r="C2429" t="s">
        <v>320</v>
      </c>
      <c r="D2429">
        <v>3</v>
      </c>
      <c r="E2429" t="s">
        <v>187</v>
      </c>
      <c r="F2429" t="s">
        <v>388</v>
      </c>
      <c r="G2429">
        <v>0</v>
      </c>
      <c r="H2429">
        <v>0</v>
      </c>
      <c r="I2429">
        <f>100-J2429</f>
        <v>0</v>
      </c>
      <c r="J2429">
        <f>100-G2429-H2429</f>
        <v>100</v>
      </c>
      <c r="K2429" t="s">
        <v>19</v>
      </c>
      <c r="L2429" t="s">
        <v>19</v>
      </c>
      <c r="M2429" t="s">
        <v>19</v>
      </c>
      <c r="N2429" t="s">
        <v>19</v>
      </c>
      <c r="O2429" t="s">
        <v>19</v>
      </c>
      <c r="P2429" t="s">
        <v>19</v>
      </c>
      <c r="Q2429">
        <f>I2429</f>
        <v>0</v>
      </c>
      <c r="R2429" t="s">
        <v>19</v>
      </c>
      <c r="S2429" t="s">
        <v>19</v>
      </c>
      <c r="T2429" t="s">
        <v>19</v>
      </c>
    </row>
    <row r="2430" spans="1:21" ht="15" customHeight="1" x14ac:dyDescent="0.25">
      <c r="A2430" s="2">
        <v>45323.651620370372</v>
      </c>
      <c r="B2430" t="s">
        <v>309</v>
      </c>
      <c r="C2430" t="s">
        <v>322</v>
      </c>
      <c r="D2430">
        <v>3</v>
      </c>
      <c r="E2430" t="s">
        <v>187</v>
      </c>
      <c r="F2430" t="s">
        <v>388</v>
      </c>
      <c r="G2430" t="e">
        <f>(O2430/(N2430+O2430+P2430))*100</f>
        <v>#VALUE!</v>
      </c>
      <c r="H2430" t="e">
        <f>(P2430/(O2430+P2430+N2430))*100</f>
        <v>#VALUE!</v>
      </c>
      <c r="I2430">
        <v>7.3</v>
      </c>
      <c r="J2430" t="e">
        <f>(N2430/(P2430+O2430+N2430))*100</f>
        <v>#VALUE!</v>
      </c>
      <c r="K2430">
        <v>0.8</v>
      </c>
      <c r="L2430">
        <v>0.3</v>
      </c>
      <c r="M2430">
        <v>0.7</v>
      </c>
      <c r="N2430">
        <v>584</v>
      </c>
      <c r="O2430" t="s">
        <v>266</v>
      </c>
      <c r="P2430" t="s">
        <v>266</v>
      </c>
      <c r="Q2430">
        <v>7.3</v>
      </c>
      <c r="R2430" t="s">
        <v>345</v>
      </c>
      <c r="S2430">
        <v>2.57</v>
      </c>
      <c r="T2430">
        <v>3.47</v>
      </c>
      <c r="U2430">
        <v>43</v>
      </c>
    </row>
    <row r="2431" spans="1:21" ht="15" customHeight="1" x14ac:dyDescent="0.25">
      <c r="A2431" s="2">
        <v>45323.646805555552</v>
      </c>
      <c r="B2431" t="s">
        <v>309</v>
      </c>
      <c r="C2431" t="s">
        <v>322</v>
      </c>
      <c r="D2431">
        <v>3</v>
      </c>
      <c r="E2431" t="s">
        <v>187</v>
      </c>
      <c r="F2431" t="s">
        <v>388</v>
      </c>
      <c r="G2431" t="e">
        <f>(O2431/(N2431+O2431+P2431))*100</f>
        <v>#VALUE!</v>
      </c>
      <c r="H2431" t="e">
        <f>(P2431/(O2431+P2431+N2431))*100</f>
        <v>#VALUE!</v>
      </c>
      <c r="I2431">
        <v>8.61</v>
      </c>
      <c r="J2431" t="e">
        <f>(N2431/(P2431+O2431+N2431))*100</f>
        <v>#VALUE!</v>
      </c>
      <c r="K2431">
        <v>0.7</v>
      </c>
      <c r="L2431">
        <v>0.3</v>
      </c>
      <c r="M2431">
        <v>0.7</v>
      </c>
      <c r="N2431">
        <v>584</v>
      </c>
      <c r="O2431" t="s">
        <v>266</v>
      </c>
      <c r="P2431" t="s">
        <v>266</v>
      </c>
      <c r="Q2431">
        <v>8.61</v>
      </c>
      <c r="R2431" t="s">
        <v>245</v>
      </c>
      <c r="S2431">
        <v>2.57</v>
      </c>
      <c r="T2431">
        <v>3.47</v>
      </c>
      <c r="U2431">
        <v>34</v>
      </c>
    </row>
    <row r="2432" spans="1:21" ht="15" customHeight="1" x14ac:dyDescent="0.25">
      <c r="A2432" s="2">
        <v>45325.062800925924</v>
      </c>
      <c r="B2432" t="s">
        <v>309</v>
      </c>
      <c r="C2432" t="s">
        <v>368</v>
      </c>
      <c r="D2432">
        <v>2</v>
      </c>
      <c r="E2432" t="s">
        <v>187</v>
      </c>
      <c r="F2432" t="s">
        <v>388</v>
      </c>
      <c r="G2432">
        <f>(O2432/(N2432+O2432+P2432))*100</f>
        <v>7.2642967542503865</v>
      </c>
      <c r="H2432">
        <f>(P2432/(O2432+P2432+N2432))*100</f>
        <v>0</v>
      </c>
      <c r="I2432">
        <v>7.26</v>
      </c>
      <c r="J2432">
        <f>(N2432/(P2432+O2432+N2432))*100</f>
        <v>92.735703245749619</v>
      </c>
      <c r="K2432">
        <v>0.8</v>
      </c>
      <c r="L2432">
        <v>0.3</v>
      </c>
      <c r="M2432">
        <v>0.7</v>
      </c>
      <c r="N2432">
        <v>600</v>
      </c>
      <c r="O2432">
        <v>47</v>
      </c>
      <c r="P2432">
        <v>0</v>
      </c>
      <c r="Q2432">
        <v>7.26</v>
      </c>
      <c r="R2432" t="s">
        <v>359</v>
      </c>
      <c r="S2432">
        <v>0.21</v>
      </c>
      <c r="T2432">
        <v>0.22</v>
      </c>
    </row>
    <row r="2433" spans="1:21" ht="15" customHeight="1" x14ac:dyDescent="0.25">
      <c r="A2433" t="s">
        <v>19</v>
      </c>
      <c r="B2433" t="s">
        <v>20</v>
      </c>
      <c r="C2433" t="s">
        <v>306</v>
      </c>
      <c r="D2433">
        <v>3</v>
      </c>
      <c r="E2433" t="s">
        <v>188</v>
      </c>
      <c r="F2433" t="s">
        <v>373</v>
      </c>
      <c r="G2433">
        <v>0</v>
      </c>
      <c r="H2433">
        <v>0</v>
      </c>
      <c r="I2433">
        <f>G2433+H2433</f>
        <v>0</v>
      </c>
      <c r="J2433">
        <f>100-G2433-H2433</f>
        <v>100</v>
      </c>
      <c r="K2433" t="s">
        <v>19</v>
      </c>
      <c r="L2433" t="s">
        <v>19</v>
      </c>
      <c r="M2433" t="s">
        <v>19</v>
      </c>
      <c r="N2433" t="s">
        <v>19</v>
      </c>
      <c r="O2433" t="s">
        <v>19</v>
      </c>
      <c r="P2433" t="s">
        <v>19</v>
      </c>
      <c r="Q2433">
        <f>I2433</f>
        <v>0</v>
      </c>
      <c r="R2433" t="s">
        <v>19</v>
      </c>
      <c r="S2433" t="s">
        <v>19</v>
      </c>
      <c r="T2433" t="s">
        <v>19</v>
      </c>
    </row>
    <row r="2434" spans="1:21" ht="15" customHeight="1" x14ac:dyDescent="0.25">
      <c r="A2434" t="s">
        <v>19</v>
      </c>
      <c r="B2434" t="s">
        <v>20</v>
      </c>
      <c r="C2434" t="s">
        <v>308</v>
      </c>
      <c r="D2434">
        <v>3</v>
      </c>
      <c r="E2434" t="s">
        <v>188</v>
      </c>
      <c r="F2434" t="s">
        <v>373</v>
      </c>
      <c r="G2434">
        <v>3</v>
      </c>
      <c r="H2434">
        <v>0</v>
      </c>
      <c r="I2434">
        <f>G2434+H2434</f>
        <v>3</v>
      </c>
      <c r="J2434">
        <f>100-G2434-H2434</f>
        <v>97</v>
      </c>
      <c r="K2434" t="s">
        <v>19</v>
      </c>
      <c r="L2434" t="s">
        <v>19</v>
      </c>
      <c r="M2434" t="s">
        <v>19</v>
      </c>
      <c r="N2434" t="s">
        <v>19</v>
      </c>
      <c r="O2434" t="s">
        <v>19</v>
      </c>
      <c r="P2434" t="s">
        <v>19</v>
      </c>
      <c r="Q2434">
        <f>I2434</f>
        <v>3</v>
      </c>
      <c r="R2434" t="s">
        <v>19</v>
      </c>
      <c r="S2434" t="s">
        <v>19</v>
      </c>
      <c r="T2434" t="s">
        <v>19</v>
      </c>
    </row>
    <row r="2435" spans="1:21" ht="15" customHeight="1" x14ac:dyDescent="0.25">
      <c r="A2435" t="s">
        <v>19</v>
      </c>
      <c r="B2435" t="s">
        <v>20</v>
      </c>
      <c r="C2435" t="s">
        <v>22</v>
      </c>
      <c r="D2435">
        <v>3</v>
      </c>
      <c r="E2435" t="s">
        <v>188</v>
      </c>
      <c r="F2435" t="s">
        <v>373</v>
      </c>
      <c r="G2435">
        <v>0</v>
      </c>
      <c r="H2435">
        <v>0</v>
      </c>
      <c r="I2435">
        <f>G2435+H2435</f>
        <v>0</v>
      </c>
      <c r="J2435">
        <f>100-G2435-H2435</f>
        <v>100</v>
      </c>
      <c r="K2435" t="s">
        <v>19</v>
      </c>
      <c r="L2435" t="s">
        <v>19</v>
      </c>
      <c r="M2435" t="s">
        <v>19</v>
      </c>
      <c r="N2435" t="s">
        <v>19</v>
      </c>
      <c r="O2435" t="s">
        <v>19</v>
      </c>
      <c r="P2435" t="s">
        <v>19</v>
      </c>
      <c r="Q2435">
        <f>I2435</f>
        <v>0</v>
      </c>
      <c r="R2435" t="s">
        <v>19</v>
      </c>
      <c r="S2435" t="s">
        <v>19</v>
      </c>
      <c r="T2435" t="s">
        <v>19</v>
      </c>
    </row>
    <row r="2436" spans="1:21" ht="15" customHeight="1" x14ac:dyDescent="0.25">
      <c r="A2436" t="s">
        <v>19</v>
      </c>
      <c r="B2436" t="s">
        <v>20</v>
      </c>
      <c r="C2436" t="s">
        <v>305</v>
      </c>
      <c r="D2436">
        <v>3</v>
      </c>
      <c r="E2436" t="s">
        <v>188</v>
      </c>
      <c r="F2436" t="s">
        <v>373</v>
      </c>
      <c r="G2436">
        <v>0</v>
      </c>
      <c r="H2436">
        <v>0</v>
      </c>
      <c r="I2436">
        <f>G2436+H2436</f>
        <v>0</v>
      </c>
      <c r="J2436">
        <f>100-G2436-H2436</f>
        <v>100</v>
      </c>
      <c r="K2436" t="s">
        <v>19</v>
      </c>
      <c r="L2436" t="s">
        <v>19</v>
      </c>
      <c r="M2436" t="s">
        <v>19</v>
      </c>
      <c r="N2436" t="s">
        <v>19</v>
      </c>
      <c r="O2436" t="s">
        <v>19</v>
      </c>
      <c r="P2436" t="s">
        <v>19</v>
      </c>
      <c r="Q2436">
        <f>I2436</f>
        <v>0</v>
      </c>
      <c r="R2436" t="s">
        <v>19</v>
      </c>
      <c r="S2436" t="s">
        <v>19</v>
      </c>
      <c r="T2436" t="s">
        <v>19</v>
      </c>
    </row>
    <row r="2437" spans="1:21" ht="15" customHeight="1" x14ac:dyDescent="0.25">
      <c r="A2437" t="s">
        <v>19</v>
      </c>
      <c r="B2437" t="s">
        <v>20</v>
      </c>
      <c r="C2437" t="s">
        <v>307</v>
      </c>
      <c r="D2437">
        <v>3</v>
      </c>
      <c r="E2437" t="s">
        <v>188</v>
      </c>
      <c r="F2437" t="s">
        <v>373</v>
      </c>
      <c r="G2437">
        <v>0</v>
      </c>
      <c r="H2437">
        <v>0</v>
      </c>
      <c r="I2437">
        <f>G2437+H2437</f>
        <v>0</v>
      </c>
      <c r="J2437">
        <f>100-G2437-H2437</f>
        <v>100</v>
      </c>
      <c r="K2437" t="s">
        <v>19</v>
      </c>
      <c r="L2437" t="s">
        <v>19</v>
      </c>
      <c r="M2437" t="s">
        <v>19</v>
      </c>
      <c r="N2437" t="s">
        <v>19</v>
      </c>
      <c r="O2437" t="s">
        <v>19</v>
      </c>
      <c r="P2437" t="s">
        <v>19</v>
      </c>
      <c r="Q2437">
        <f>I2437</f>
        <v>0</v>
      </c>
      <c r="R2437" t="s">
        <v>19</v>
      </c>
      <c r="S2437" t="s">
        <v>19</v>
      </c>
      <c r="T2437" t="s">
        <v>19</v>
      </c>
    </row>
    <row r="2438" spans="1:21" ht="15" customHeight="1" x14ac:dyDescent="0.25">
      <c r="A2438" s="2">
        <v>45253.794444444444</v>
      </c>
      <c r="B2438" t="s">
        <v>309</v>
      </c>
      <c r="C2438" t="s">
        <v>213</v>
      </c>
      <c r="D2438">
        <v>3</v>
      </c>
      <c r="E2438" t="s">
        <v>188</v>
      </c>
      <c r="F2438" t="s">
        <v>373</v>
      </c>
      <c r="G2438">
        <v>0.15174506800000001</v>
      </c>
      <c r="H2438">
        <v>0</v>
      </c>
      <c r="I2438">
        <v>0.15174506800000001</v>
      </c>
      <c r="J2438">
        <v>99.848254929999996</v>
      </c>
      <c r="K2438">
        <v>0.8</v>
      </c>
      <c r="L2438">
        <v>0.2</v>
      </c>
      <c r="M2438">
        <v>0.7</v>
      </c>
      <c r="N2438">
        <v>658</v>
      </c>
      <c r="O2438">
        <v>1</v>
      </c>
      <c r="P2438">
        <v>0</v>
      </c>
      <c r="Q2438">
        <v>0.15</v>
      </c>
      <c r="R2438" t="s">
        <v>240</v>
      </c>
      <c r="S2438">
        <v>2.85</v>
      </c>
      <c r="T2438">
        <v>3.13</v>
      </c>
    </row>
    <row r="2439" spans="1:21" ht="15" customHeight="1" x14ac:dyDescent="0.25">
      <c r="A2439" s="2">
        <v>45253.969444444447</v>
      </c>
      <c r="B2439" t="s">
        <v>309</v>
      </c>
      <c r="C2439" t="s">
        <v>215</v>
      </c>
      <c r="D2439">
        <v>2</v>
      </c>
      <c r="E2439" t="s">
        <v>188</v>
      </c>
      <c r="F2439" t="s">
        <v>373</v>
      </c>
      <c r="G2439">
        <v>0</v>
      </c>
      <c r="H2439">
        <v>0</v>
      </c>
      <c r="I2439">
        <v>0</v>
      </c>
      <c r="J2439">
        <v>100</v>
      </c>
      <c r="K2439">
        <v>0.8</v>
      </c>
      <c r="L2439">
        <v>0.2</v>
      </c>
      <c r="M2439">
        <v>0.7</v>
      </c>
      <c r="N2439">
        <v>747</v>
      </c>
      <c r="O2439">
        <v>0</v>
      </c>
      <c r="P2439">
        <v>0</v>
      </c>
      <c r="Q2439">
        <v>0</v>
      </c>
      <c r="R2439" t="s">
        <v>243</v>
      </c>
      <c r="S2439">
        <v>0</v>
      </c>
      <c r="T2439">
        <v>0</v>
      </c>
    </row>
    <row r="2440" spans="1:21" ht="15" customHeight="1" x14ac:dyDescent="0.25">
      <c r="A2440" s="2">
        <v>45254.146527777775</v>
      </c>
      <c r="B2440" t="s">
        <v>309</v>
      </c>
      <c r="C2440" t="s">
        <v>217</v>
      </c>
      <c r="D2440">
        <v>2</v>
      </c>
      <c r="E2440" t="s">
        <v>188</v>
      </c>
      <c r="F2440" t="s">
        <v>373</v>
      </c>
      <c r="G2440">
        <v>0.59084194999999995</v>
      </c>
      <c r="H2440">
        <v>0</v>
      </c>
      <c r="I2440">
        <v>0.59084194999999995</v>
      </c>
      <c r="J2440">
        <v>99.409158050000002</v>
      </c>
      <c r="K2440">
        <v>0.8</v>
      </c>
      <c r="L2440">
        <v>0.2</v>
      </c>
      <c r="M2440">
        <v>0.7</v>
      </c>
      <c r="N2440">
        <v>673</v>
      </c>
      <c r="O2440">
        <v>4</v>
      </c>
      <c r="P2440">
        <v>0</v>
      </c>
      <c r="Q2440">
        <v>0.59</v>
      </c>
      <c r="R2440" t="s">
        <v>231</v>
      </c>
      <c r="S2440">
        <v>0.08</v>
      </c>
      <c r="T2440">
        <v>0.08</v>
      </c>
    </row>
    <row r="2441" spans="1:21" ht="15" customHeight="1" x14ac:dyDescent="0.25">
      <c r="A2441" s="2">
        <v>45316.481944444444</v>
      </c>
      <c r="B2441" t="s">
        <v>309</v>
      </c>
      <c r="C2441" t="s">
        <v>219</v>
      </c>
      <c r="D2441">
        <v>3</v>
      </c>
      <c r="E2441" t="s">
        <v>188</v>
      </c>
      <c r="F2441" t="s">
        <v>373</v>
      </c>
      <c r="G2441">
        <v>0.17006802700000001</v>
      </c>
      <c r="H2441">
        <v>0</v>
      </c>
      <c r="I2441">
        <v>0.17006802700000001</v>
      </c>
      <c r="J2441">
        <v>99.829931970000004</v>
      </c>
      <c r="K2441">
        <v>0.8</v>
      </c>
      <c r="L2441">
        <v>0.2</v>
      </c>
      <c r="M2441">
        <v>0.7</v>
      </c>
      <c r="N2441">
        <v>587</v>
      </c>
      <c r="O2441">
        <v>1</v>
      </c>
      <c r="P2441">
        <v>0</v>
      </c>
      <c r="Q2441">
        <v>0.17</v>
      </c>
      <c r="R2441" t="s">
        <v>220</v>
      </c>
      <c r="S2441">
        <v>3.2</v>
      </c>
      <c r="T2441">
        <v>4.24</v>
      </c>
    </row>
    <row r="2442" spans="1:21" ht="15" customHeight="1" x14ac:dyDescent="0.25">
      <c r="A2442" s="2">
        <v>45321.009027777778</v>
      </c>
      <c r="B2442" t="s">
        <v>309</v>
      </c>
      <c r="C2442" t="s">
        <v>221</v>
      </c>
      <c r="D2442">
        <v>2</v>
      </c>
      <c r="E2442" t="s">
        <v>188</v>
      </c>
      <c r="F2442" t="s">
        <v>373</v>
      </c>
      <c r="G2442">
        <v>0</v>
      </c>
      <c r="H2442">
        <v>0</v>
      </c>
      <c r="I2442">
        <v>0</v>
      </c>
      <c r="J2442">
        <v>100</v>
      </c>
      <c r="K2442">
        <v>0.8</v>
      </c>
      <c r="L2442">
        <v>0.3</v>
      </c>
      <c r="M2442">
        <v>0.7</v>
      </c>
      <c r="N2442">
        <v>686</v>
      </c>
      <c r="O2442">
        <v>0</v>
      </c>
      <c r="P2442">
        <v>0</v>
      </c>
      <c r="Q2442">
        <v>0</v>
      </c>
      <c r="R2442" t="s">
        <v>218</v>
      </c>
      <c r="S2442">
        <v>0.01</v>
      </c>
      <c r="T2442">
        <v>0.01</v>
      </c>
    </row>
    <row r="2443" spans="1:21" ht="15" customHeight="1" x14ac:dyDescent="0.25">
      <c r="A2443" t="s">
        <v>19</v>
      </c>
      <c r="B2443" t="s">
        <v>20</v>
      </c>
      <c r="C2443" t="s">
        <v>320</v>
      </c>
      <c r="D2443">
        <v>3</v>
      </c>
      <c r="E2443" t="s">
        <v>188</v>
      </c>
      <c r="F2443" t="s">
        <v>373</v>
      </c>
      <c r="G2443">
        <v>0</v>
      </c>
      <c r="H2443">
        <v>0</v>
      </c>
      <c r="I2443">
        <f>100-J2443</f>
        <v>0</v>
      </c>
      <c r="J2443">
        <f>100-G2443-H2443</f>
        <v>100</v>
      </c>
      <c r="K2443" t="s">
        <v>19</v>
      </c>
      <c r="L2443" t="s">
        <v>19</v>
      </c>
      <c r="M2443" t="s">
        <v>19</v>
      </c>
      <c r="N2443" t="s">
        <v>19</v>
      </c>
      <c r="O2443" t="s">
        <v>19</v>
      </c>
      <c r="P2443" t="s">
        <v>19</v>
      </c>
      <c r="Q2443">
        <f>I2443</f>
        <v>0</v>
      </c>
      <c r="R2443" t="s">
        <v>19</v>
      </c>
      <c r="S2443" t="s">
        <v>19</v>
      </c>
      <c r="T2443" t="s">
        <v>19</v>
      </c>
    </row>
    <row r="2444" spans="1:21" ht="15" customHeight="1" x14ac:dyDescent="0.25">
      <c r="A2444" s="2">
        <v>45323.646319444444</v>
      </c>
      <c r="B2444" t="s">
        <v>309</v>
      </c>
      <c r="C2444" t="s">
        <v>322</v>
      </c>
      <c r="D2444">
        <v>3</v>
      </c>
      <c r="E2444" t="s">
        <v>188</v>
      </c>
      <c r="F2444" t="s">
        <v>373</v>
      </c>
      <c r="G2444">
        <f>(O2444/(N2444+O2444+P2444))*100</f>
        <v>0</v>
      </c>
      <c r="H2444">
        <f>(P2444/(O2444+P2444+N2444))*100</f>
        <v>0</v>
      </c>
      <c r="I2444">
        <f>((O2444+P2444)/(P2444+O2444+N2444))*100</f>
        <v>0</v>
      </c>
      <c r="J2444">
        <f>(N2444/(P2444+O2444+N2444))*100</f>
        <v>100</v>
      </c>
      <c r="K2444">
        <v>0.8</v>
      </c>
      <c r="L2444">
        <v>0.3</v>
      </c>
      <c r="M2444">
        <v>0.7</v>
      </c>
      <c r="N2444">
        <v>680</v>
      </c>
      <c r="O2444">
        <v>0</v>
      </c>
      <c r="P2444">
        <v>0</v>
      </c>
      <c r="Q2444">
        <v>0</v>
      </c>
      <c r="R2444" t="s">
        <v>238</v>
      </c>
      <c r="S2444">
        <v>2.61</v>
      </c>
      <c r="T2444">
        <v>3</v>
      </c>
      <c r="U2444">
        <v>15</v>
      </c>
    </row>
    <row r="2445" spans="1:21" ht="15" customHeight="1" x14ac:dyDescent="0.25">
      <c r="A2445" s="2">
        <v>45323.651643518519</v>
      </c>
      <c r="B2445" t="s">
        <v>309</v>
      </c>
      <c r="C2445" t="s">
        <v>322</v>
      </c>
      <c r="D2445">
        <v>3</v>
      </c>
      <c r="E2445" t="s">
        <v>188</v>
      </c>
      <c r="F2445" t="s">
        <v>373</v>
      </c>
      <c r="G2445">
        <f>(O2445/(N2445+O2445+P2445))*100</f>
        <v>0.14684287812041116</v>
      </c>
      <c r="H2445">
        <f>(P2445/(O2445+P2445+N2445))*100</f>
        <v>0</v>
      </c>
      <c r="I2445">
        <f>((O2445+P2445)/(P2445+O2445+N2445))*100</f>
        <v>0.14684287812041116</v>
      </c>
      <c r="J2445">
        <f>(N2445/(P2445+O2445+N2445))*100</f>
        <v>99.85315712187959</v>
      </c>
      <c r="K2445">
        <v>0.7</v>
      </c>
      <c r="L2445">
        <v>0.3</v>
      </c>
      <c r="M2445">
        <v>0.7</v>
      </c>
      <c r="N2445">
        <v>680</v>
      </c>
      <c r="O2445">
        <v>1</v>
      </c>
      <c r="P2445">
        <v>0</v>
      </c>
      <c r="Q2445">
        <v>0.15</v>
      </c>
      <c r="R2445" t="s">
        <v>339</v>
      </c>
      <c r="S2445">
        <v>2.61</v>
      </c>
      <c r="T2445">
        <v>3</v>
      </c>
      <c r="U2445">
        <v>14</v>
      </c>
    </row>
    <row r="2446" spans="1:21" ht="15" customHeight="1" x14ac:dyDescent="0.25">
      <c r="A2446" s="2">
        <v>45325.206064814818</v>
      </c>
      <c r="B2446" t="s">
        <v>309</v>
      </c>
      <c r="C2446" t="s">
        <v>368</v>
      </c>
      <c r="D2446">
        <v>2</v>
      </c>
      <c r="E2446" t="s">
        <v>188</v>
      </c>
      <c r="F2446" t="s">
        <v>373</v>
      </c>
      <c r="G2446">
        <f>(O2446/(N2446+O2446+P2446))*100</f>
        <v>0</v>
      </c>
      <c r="H2446">
        <f>(P2446/(O2446+P2446+N2446))*100</f>
        <v>0</v>
      </c>
      <c r="I2446">
        <v>0</v>
      </c>
      <c r="J2446">
        <f>(N2446/(P2446+O2446+N2446))*100</f>
        <v>100</v>
      </c>
      <c r="K2446">
        <v>0.8</v>
      </c>
      <c r="L2446">
        <v>0.3</v>
      </c>
      <c r="M2446">
        <v>0.7</v>
      </c>
      <c r="N2446">
        <v>683</v>
      </c>
      <c r="O2446">
        <v>0</v>
      </c>
      <c r="P2446">
        <v>0</v>
      </c>
      <c r="Q2446">
        <v>0</v>
      </c>
      <c r="R2446" t="s">
        <v>249</v>
      </c>
      <c r="S2446">
        <v>0.02</v>
      </c>
      <c r="T2446">
        <v>0.02</v>
      </c>
    </row>
    <row r="2447" spans="1:21" ht="15" customHeight="1" x14ac:dyDescent="0.25">
      <c r="A2447" t="s">
        <v>19</v>
      </c>
      <c r="B2447" t="s">
        <v>20</v>
      </c>
      <c r="C2447" t="s">
        <v>306</v>
      </c>
      <c r="D2447">
        <v>3</v>
      </c>
      <c r="E2447" t="s">
        <v>189</v>
      </c>
      <c r="F2447" t="s">
        <v>373</v>
      </c>
      <c r="G2447">
        <v>25</v>
      </c>
      <c r="H2447">
        <v>0</v>
      </c>
      <c r="I2447">
        <f>G2447+H2447</f>
        <v>25</v>
      </c>
      <c r="J2447">
        <f>100-G2447-H2447</f>
        <v>75</v>
      </c>
      <c r="K2447" t="s">
        <v>19</v>
      </c>
      <c r="L2447" t="s">
        <v>19</v>
      </c>
      <c r="M2447" t="s">
        <v>19</v>
      </c>
      <c r="N2447" t="s">
        <v>19</v>
      </c>
      <c r="O2447" t="s">
        <v>19</v>
      </c>
      <c r="P2447" t="s">
        <v>19</v>
      </c>
      <c r="Q2447">
        <f>I2447</f>
        <v>25</v>
      </c>
      <c r="R2447" t="s">
        <v>19</v>
      </c>
      <c r="S2447" t="s">
        <v>19</v>
      </c>
      <c r="T2447" t="s">
        <v>19</v>
      </c>
    </row>
    <row r="2448" spans="1:21" ht="15" customHeight="1" x14ac:dyDescent="0.25">
      <c r="A2448" t="s">
        <v>19</v>
      </c>
      <c r="B2448" t="s">
        <v>20</v>
      </c>
      <c r="C2448" t="s">
        <v>308</v>
      </c>
      <c r="D2448">
        <v>3</v>
      </c>
      <c r="E2448" t="s">
        <v>189</v>
      </c>
      <c r="F2448" t="s">
        <v>373</v>
      </c>
      <c r="G2448">
        <v>40</v>
      </c>
      <c r="H2448">
        <v>0</v>
      </c>
      <c r="I2448">
        <f>G2448+H2448</f>
        <v>40</v>
      </c>
      <c r="J2448">
        <f>100-G2448-H2448</f>
        <v>60</v>
      </c>
      <c r="K2448" t="s">
        <v>19</v>
      </c>
      <c r="L2448" t="s">
        <v>19</v>
      </c>
      <c r="M2448" t="s">
        <v>19</v>
      </c>
      <c r="N2448" t="s">
        <v>19</v>
      </c>
      <c r="O2448" t="s">
        <v>19</v>
      </c>
      <c r="P2448" t="s">
        <v>19</v>
      </c>
      <c r="Q2448">
        <f>I2448</f>
        <v>40</v>
      </c>
      <c r="R2448" t="s">
        <v>19</v>
      </c>
      <c r="S2448" t="s">
        <v>19</v>
      </c>
      <c r="T2448" t="s">
        <v>19</v>
      </c>
    </row>
    <row r="2449" spans="1:21" ht="15" customHeight="1" x14ac:dyDescent="0.25">
      <c r="A2449" t="s">
        <v>19</v>
      </c>
      <c r="B2449" t="s">
        <v>20</v>
      </c>
      <c r="C2449" t="s">
        <v>22</v>
      </c>
      <c r="D2449">
        <v>3</v>
      </c>
      <c r="E2449" t="s">
        <v>189</v>
      </c>
      <c r="F2449" t="s">
        <v>373</v>
      </c>
      <c r="G2449">
        <v>10</v>
      </c>
      <c r="H2449">
        <v>0</v>
      </c>
      <c r="I2449">
        <f>G2449+H2449</f>
        <v>10</v>
      </c>
      <c r="J2449">
        <f>100-G2449-H2449</f>
        <v>90</v>
      </c>
      <c r="K2449" t="s">
        <v>19</v>
      </c>
      <c r="L2449" t="s">
        <v>19</v>
      </c>
      <c r="M2449" t="s">
        <v>19</v>
      </c>
      <c r="N2449" t="s">
        <v>19</v>
      </c>
      <c r="O2449" t="s">
        <v>19</v>
      </c>
      <c r="P2449" t="s">
        <v>19</v>
      </c>
      <c r="Q2449">
        <f>I2449</f>
        <v>10</v>
      </c>
      <c r="R2449" t="s">
        <v>19</v>
      </c>
      <c r="S2449" t="s">
        <v>19</v>
      </c>
      <c r="T2449" t="s">
        <v>19</v>
      </c>
    </row>
    <row r="2450" spans="1:21" ht="15" customHeight="1" x14ac:dyDescent="0.25">
      <c r="A2450" t="s">
        <v>19</v>
      </c>
      <c r="B2450" t="s">
        <v>20</v>
      </c>
      <c r="C2450" t="s">
        <v>305</v>
      </c>
      <c r="D2450">
        <v>3</v>
      </c>
      <c r="E2450" t="s">
        <v>189</v>
      </c>
      <c r="F2450" t="s">
        <v>373</v>
      </c>
      <c r="G2450">
        <v>8</v>
      </c>
      <c r="H2450">
        <v>0</v>
      </c>
      <c r="I2450">
        <f>G2450+H2450</f>
        <v>8</v>
      </c>
      <c r="J2450">
        <f>100-G2450-H2450</f>
        <v>92</v>
      </c>
      <c r="K2450" t="s">
        <v>19</v>
      </c>
      <c r="L2450" t="s">
        <v>19</v>
      </c>
      <c r="M2450" t="s">
        <v>19</v>
      </c>
      <c r="N2450" t="s">
        <v>19</v>
      </c>
      <c r="O2450" t="s">
        <v>19</v>
      </c>
      <c r="P2450" t="s">
        <v>19</v>
      </c>
      <c r="Q2450">
        <f>I2450</f>
        <v>8</v>
      </c>
      <c r="R2450" t="s">
        <v>19</v>
      </c>
      <c r="S2450" t="s">
        <v>19</v>
      </c>
      <c r="T2450" t="s">
        <v>19</v>
      </c>
    </row>
    <row r="2451" spans="1:21" ht="15" customHeight="1" x14ac:dyDescent="0.25">
      <c r="A2451" t="s">
        <v>19</v>
      </c>
      <c r="B2451" t="s">
        <v>20</v>
      </c>
      <c r="C2451" t="s">
        <v>307</v>
      </c>
      <c r="D2451">
        <v>3</v>
      </c>
      <c r="E2451" t="s">
        <v>189</v>
      </c>
      <c r="F2451" t="s">
        <v>373</v>
      </c>
      <c r="G2451">
        <v>2</v>
      </c>
      <c r="H2451">
        <v>0</v>
      </c>
      <c r="I2451">
        <f>G2451+H2451</f>
        <v>2</v>
      </c>
      <c r="J2451">
        <f>100-G2451-H2451</f>
        <v>98</v>
      </c>
      <c r="K2451" t="s">
        <v>19</v>
      </c>
      <c r="L2451" t="s">
        <v>19</v>
      </c>
      <c r="M2451" t="s">
        <v>19</v>
      </c>
      <c r="N2451" t="s">
        <v>19</v>
      </c>
      <c r="O2451" t="s">
        <v>19</v>
      </c>
      <c r="P2451" t="s">
        <v>19</v>
      </c>
      <c r="Q2451">
        <f>I2451</f>
        <v>2</v>
      </c>
      <c r="R2451" t="s">
        <v>19</v>
      </c>
      <c r="S2451" t="s">
        <v>19</v>
      </c>
      <c r="T2451" t="s">
        <v>19</v>
      </c>
    </row>
    <row r="2452" spans="1:21" ht="15" customHeight="1" x14ac:dyDescent="0.25">
      <c r="A2452" s="2">
        <v>45253.79583333333</v>
      </c>
      <c r="B2452" t="s">
        <v>309</v>
      </c>
      <c r="C2452" t="s">
        <v>213</v>
      </c>
      <c r="D2452">
        <v>3</v>
      </c>
      <c r="E2452" t="s">
        <v>189</v>
      </c>
      <c r="F2452" t="s">
        <v>373</v>
      </c>
      <c r="G2452">
        <v>20.833333329999999</v>
      </c>
      <c r="H2452">
        <v>3.2051282049999998</v>
      </c>
      <c r="I2452">
        <v>24.03846154</v>
      </c>
      <c r="J2452">
        <v>75.96153846</v>
      </c>
      <c r="K2452">
        <v>0.8</v>
      </c>
      <c r="L2452">
        <v>0.2</v>
      </c>
      <c r="M2452">
        <v>0.7</v>
      </c>
      <c r="N2452">
        <v>237</v>
      </c>
      <c r="O2452">
        <v>65</v>
      </c>
      <c r="P2452">
        <v>10</v>
      </c>
      <c r="Q2452">
        <v>24.04</v>
      </c>
      <c r="R2452" t="s">
        <v>240</v>
      </c>
      <c r="S2452">
        <v>3.17</v>
      </c>
      <c r="T2452">
        <v>3.49</v>
      </c>
    </row>
    <row r="2453" spans="1:21" ht="15" customHeight="1" x14ac:dyDescent="0.25">
      <c r="A2453" s="2">
        <v>45253.970138888886</v>
      </c>
      <c r="B2453" t="s">
        <v>309</v>
      </c>
      <c r="C2453" t="s">
        <v>215</v>
      </c>
      <c r="D2453">
        <v>2</v>
      </c>
      <c r="E2453" t="s">
        <v>189</v>
      </c>
      <c r="F2453" t="s">
        <v>373</v>
      </c>
      <c r="G2453">
        <v>9.2647058819999994</v>
      </c>
      <c r="H2453">
        <v>0</v>
      </c>
      <c r="I2453">
        <v>9.2647058819999994</v>
      </c>
      <c r="J2453">
        <v>90.735294120000006</v>
      </c>
      <c r="K2453">
        <v>0.8</v>
      </c>
      <c r="L2453">
        <v>0.2</v>
      </c>
      <c r="M2453">
        <v>0.7</v>
      </c>
      <c r="N2453">
        <v>617</v>
      </c>
      <c r="O2453">
        <v>63</v>
      </c>
      <c r="P2453">
        <v>0</v>
      </c>
      <c r="Q2453">
        <v>9.26</v>
      </c>
      <c r="R2453" t="s">
        <v>224</v>
      </c>
      <c r="S2453">
        <v>0.26</v>
      </c>
      <c r="T2453">
        <v>0.27</v>
      </c>
    </row>
    <row r="2454" spans="1:21" ht="15" customHeight="1" x14ac:dyDescent="0.25">
      <c r="A2454" s="2">
        <v>45254.147222222222</v>
      </c>
      <c r="B2454" t="s">
        <v>309</v>
      </c>
      <c r="C2454" t="s">
        <v>217</v>
      </c>
      <c r="D2454">
        <v>2</v>
      </c>
      <c r="E2454" t="s">
        <v>189</v>
      </c>
      <c r="F2454" t="s">
        <v>373</v>
      </c>
      <c r="G2454">
        <v>15.950920249999999</v>
      </c>
      <c r="H2454">
        <v>0</v>
      </c>
      <c r="I2454">
        <v>15.950920249999999</v>
      </c>
      <c r="J2454">
        <v>84.049079750000004</v>
      </c>
      <c r="K2454">
        <v>0.8</v>
      </c>
      <c r="L2454">
        <v>0.2</v>
      </c>
      <c r="M2454">
        <v>0.7</v>
      </c>
      <c r="N2454">
        <v>548</v>
      </c>
      <c r="O2454">
        <v>104</v>
      </c>
      <c r="P2454">
        <v>0</v>
      </c>
      <c r="Q2454">
        <v>15.95</v>
      </c>
      <c r="R2454" t="s">
        <v>220</v>
      </c>
      <c r="S2454">
        <v>0.45</v>
      </c>
      <c r="T2454">
        <v>0.47</v>
      </c>
    </row>
    <row r="2455" spans="1:21" ht="15" customHeight="1" x14ac:dyDescent="0.25">
      <c r="A2455" s="2">
        <v>45316.482638888891</v>
      </c>
      <c r="B2455" t="s">
        <v>309</v>
      </c>
      <c r="C2455" t="s">
        <v>219</v>
      </c>
      <c r="D2455">
        <v>3</v>
      </c>
      <c r="E2455" t="s">
        <v>189</v>
      </c>
      <c r="F2455" t="s">
        <v>373</v>
      </c>
      <c r="G2455">
        <v>14.85148515</v>
      </c>
      <c r="H2455">
        <v>0</v>
      </c>
      <c r="I2455">
        <v>14.85148515</v>
      </c>
      <c r="J2455">
        <v>85.148514849999998</v>
      </c>
      <c r="K2455">
        <v>0.8</v>
      </c>
      <c r="L2455">
        <v>0.2</v>
      </c>
      <c r="M2455">
        <v>0.7</v>
      </c>
      <c r="N2455">
        <v>86</v>
      </c>
      <c r="O2455">
        <v>15</v>
      </c>
      <c r="P2455">
        <v>0</v>
      </c>
      <c r="Q2455">
        <v>14.85</v>
      </c>
      <c r="R2455" t="s">
        <v>218</v>
      </c>
      <c r="S2455">
        <v>3.18</v>
      </c>
      <c r="T2455">
        <v>4.18</v>
      </c>
    </row>
    <row r="2456" spans="1:21" ht="15" customHeight="1" x14ac:dyDescent="0.25">
      <c r="A2456" s="2">
        <v>45321.009722222225</v>
      </c>
      <c r="B2456" t="s">
        <v>309</v>
      </c>
      <c r="C2456" t="s">
        <v>221</v>
      </c>
      <c r="D2456">
        <v>2</v>
      </c>
      <c r="E2456" t="s">
        <v>189</v>
      </c>
      <c r="F2456" t="s">
        <v>373</v>
      </c>
      <c r="G2456">
        <v>22.012578619999999</v>
      </c>
      <c r="H2456">
        <v>0</v>
      </c>
      <c r="I2456">
        <v>22.012578619999999</v>
      </c>
      <c r="J2456">
        <v>77.987421380000001</v>
      </c>
      <c r="K2456">
        <v>0.8</v>
      </c>
      <c r="L2456">
        <v>0.3</v>
      </c>
      <c r="M2456">
        <v>0.7</v>
      </c>
      <c r="N2456">
        <v>496</v>
      </c>
      <c r="O2456">
        <v>140</v>
      </c>
      <c r="P2456">
        <v>0</v>
      </c>
      <c r="Q2456">
        <v>22.01</v>
      </c>
      <c r="R2456" t="s">
        <v>232</v>
      </c>
      <c r="S2456">
        <v>0.61</v>
      </c>
      <c r="T2456">
        <v>0.63</v>
      </c>
    </row>
    <row r="2457" spans="1:21" ht="15" customHeight="1" x14ac:dyDescent="0.25">
      <c r="A2457" t="s">
        <v>19</v>
      </c>
      <c r="B2457" t="s">
        <v>20</v>
      </c>
      <c r="C2457" t="s">
        <v>320</v>
      </c>
      <c r="D2457">
        <v>3</v>
      </c>
      <c r="E2457" t="s">
        <v>189</v>
      </c>
      <c r="F2457" t="s">
        <v>373</v>
      </c>
      <c r="G2457">
        <v>15</v>
      </c>
      <c r="H2457">
        <v>0</v>
      </c>
      <c r="I2457">
        <f>100-J2457</f>
        <v>15</v>
      </c>
      <c r="J2457">
        <f>100-G2457-H2457</f>
        <v>85</v>
      </c>
      <c r="K2457" t="s">
        <v>19</v>
      </c>
      <c r="L2457" t="s">
        <v>19</v>
      </c>
      <c r="M2457" t="s">
        <v>19</v>
      </c>
      <c r="N2457" t="s">
        <v>19</v>
      </c>
      <c r="O2457" t="s">
        <v>19</v>
      </c>
      <c r="P2457" t="s">
        <v>19</v>
      </c>
      <c r="Q2457">
        <f>I2457</f>
        <v>15</v>
      </c>
      <c r="R2457" t="s">
        <v>19</v>
      </c>
      <c r="S2457" t="s">
        <v>19</v>
      </c>
      <c r="T2457" t="s">
        <v>19</v>
      </c>
    </row>
    <row r="2458" spans="1:21" ht="15" customHeight="1" x14ac:dyDescent="0.25">
      <c r="A2458" s="2">
        <v>45323.647789351853</v>
      </c>
      <c r="B2458" t="s">
        <v>309</v>
      </c>
      <c r="C2458" t="s">
        <v>322</v>
      </c>
      <c r="D2458">
        <v>3</v>
      </c>
      <c r="E2458" t="s">
        <v>189</v>
      </c>
      <c r="F2458" t="s">
        <v>373</v>
      </c>
      <c r="G2458">
        <f t="shared" ref="G2458:G2466" si="26">(O2458/(N2458+O2458+P2458))*100</f>
        <v>37.429111531190927</v>
      </c>
      <c r="H2458">
        <f t="shared" ref="H2458:H2466" si="27">(P2458/(O2458+P2458+N2458))*100</f>
        <v>0</v>
      </c>
      <c r="I2458">
        <f>((O2458+P2458)/(P2458+O2458+N2458))*100</f>
        <v>37.429111531190927</v>
      </c>
      <c r="J2458">
        <f t="shared" ref="J2458:J2466" si="28">(N2458/(P2458+O2458+N2458))*100</f>
        <v>62.570888468809073</v>
      </c>
      <c r="K2458">
        <v>0.8</v>
      </c>
      <c r="L2458">
        <v>0.3</v>
      </c>
      <c r="M2458">
        <v>0.7</v>
      </c>
      <c r="N2458">
        <v>331</v>
      </c>
      <c r="O2458">
        <v>198</v>
      </c>
      <c r="P2458">
        <v>0</v>
      </c>
      <c r="Q2458">
        <v>37.43</v>
      </c>
      <c r="R2458" t="s">
        <v>214</v>
      </c>
      <c r="S2458">
        <v>2.71</v>
      </c>
      <c r="T2458">
        <v>3.47</v>
      </c>
      <c r="U2458">
        <v>181</v>
      </c>
    </row>
    <row r="2459" spans="1:21" ht="15" customHeight="1" x14ac:dyDescent="0.25">
      <c r="A2459" s="2">
        <v>45323.653298611112</v>
      </c>
      <c r="B2459" t="s">
        <v>309</v>
      </c>
      <c r="C2459" t="s">
        <v>322</v>
      </c>
      <c r="D2459">
        <v>3</v>
      </c>
      <c r="E2459" t="s">
        <v>189</v>
      </c>
      <c r="F2459" t="s">
        <v>373</v>
      </c>
      <c r="G2459">
        <f t="shared" si="26"/>
        <v>40.467625899280577</v>
      </c>
      <c r="H2459">
        <f t="shared" si="27"/>
        <v>0</v>
      </c>
      <c r="I2459">
        <f>((O2459+P2459)/(P2459+O2459+N2459))*100</f>
        <v>40.467625899280577</v>
      </c>
      <c r="J2459">
        <f t="shared" si="28"/>
        <v>59.532374100719423</v>
      </c>
      <c r="K2459">
        <v>0.7</v>
      </c>
      <c r="L2459">
        <v>0.3</v>
      </c>
      <c r="M2459">
        <v>0.7</v>
      </c>
      <c r="N2459">
        <v>331</v>
      </c>
      <c r="O2459">
        <v>225</v>
      </c>
      <c r="P2459">
        <v>0</v>
      </c>
      <c r="Q2459">
        <v>40.47</v>
      </c>
      <c r="R2459" t="s">
        <v>345</v>
      </c>
      <c r="S2459">
        <v>2.71</v>
      </c>
      <c r="T2459">
        <v>3.47</v>
      </c>
      <c r="U2459">
        <v>154</v>
      </c>
    </row>
    <row r="2460" spans="1:21" ht="15" customHeight="1" x14ac:dyDescent="0.25">
      <c r="A2460" s="2">
        <v>45325.207280092596</v>
      </c>
      <c r="B2460" t="s">
        <v>309</v>
      </c>
      <c r="C2460" t="s">
        <v>368</v>
      </c>
      <c r="D2460">
        <v>2</v>
      </c>
      <c r="E2460" t="s">
        <v>189</v>
      </c>
      <c r="F2460" t="s">
        <v>373</v>
      </c>
      <c r="G2460">
        <f t="shared" si="26"/>
        <v>25.816485225505442</v>
      </c>
      <c r="H2460">
        <f t="shared" si="27"/>
        <v>0</v>
      </c>
      <c r="I2460">
        <v>25.82</v>
      </c>
      <c r="J2460">
        <f t="shared" si="28"/>
        <v>74.183514774494554</v>
      </c>
      <c r="K2460">
        <v>0.8</v>
      </c>
      <c r="L2460">
        <v>0.3</v>
      </c>
      <c r="M2460">
        <v>0.7</v>
      </c>
      <c r="N2460">
        <v>477</v>
      </c>
      <c r="O2460">
        <v>166</v>
      </c>
      <c r="P2460">
        <v>0</v>
      </c>
      <c r="Q2460">
        <v>25.82</v>
      </c>
      <c r="R2460" t="s">
        <v>367</v>
      </c>
      <c r="S2460">
        <v>0.67</v>
      </c>
      <c r="T2460">
        <v>0.72</v>
      </c>
    </row>
    <row r="2461" spans="1:21" ht="15" customHeight="1" x14ac:dyDescent="0.25">
      <c r="A2461" s="2">
        <v>45323.653252314813</v>
      </c>
      <c r="B2461" t="s">
        <v>309</v>
      </c>
      <c r="C2461" t="s">
        <v>322</v>
      </c>
      <c r="D2461">
        <v>3</v>
      </c>
      <c r="E2461" t="s">
        <v>327</v>
      </c>
      <c r="F2461" t="s">
        <v>388</v>
      </c>
      <c r="G2461">
        <f t="shared" si="26"/>
        <v>28.888888888888886</v>
      </c>
      <c r="H2461">
        <f t="shared" si="27"/>
        <v>5.5555555555555554</v>
      </c>
      <c r="I2461">
        <v>34.44</v>
      </c>
      <c r="J2461">
        <f t="shared" si="28"/>
        <v>65.555555555555557</v>
      </c>
      <c r="K2461">
        <v>0.8</v>
      </c>
      <c r="L2461">
        <v>0.3</v>
      </c>
      <c r="M2461">
        <v>0.7</v>
      </c>
      <c r="N2461">
        <v>354</v>
      </c>
      <c r="O2461">
        <v>156</v>
      </c>
      <c r="P2461">
        <v>30</v>
      </c>
      <c r="Q2461">
        <v>34.44</v>
      </c>
      <c r="R2461" t="s">
        <v>287</v>
      </c>
      <c r="S2461">
        <v>2.4900000000000002</v>
      </c>
      <c r="T2461">
        <v>3.26</v>
      </c>
      <c r="U2461">
        <v>158</v>
      </c>
    </row>
    <row r="2462" spans="1:21" ht="15" customHeight="1" x14ac:dyDescent="0.25">
      <c r="A2462" s="2">
        <v>45323.648368055554</v>
      </c>
      <c r="B2462" t="s">
        <v>309</v>
      </c>
      <c r="C2462" t="s">
        <v>322</v>
      </c>
      <c r="D2462">
        <v>3</v>
      </c>
      <c r="E2462" t="s">
        <v>327</v>
      </c>
      <c r="F2462" t="s">
        <v>388</v>
      </c>
      <c r="G2462">
        <f t="shared" si="26"/>
        <v>32.394366197183103</v>
      </c>
      <c r="H2462">
        <f t="shared" si="27"/>
        <v>6.3380281690140841</v>
      </c>
      <c r="I2462">
        <v>38.729999999999997</v>
      </c>
      <c r="J2462">
        <f t="shared" si="28"/>
        <v>61.267605633802816</v>
      </c>
      <c r="K2462">
        <v>0.7</v>
      </c>
      <c r="L2462">
        <v>0.3</v>
      </c>
      <c r="M2462">
        <v>0.7</v>
      </c>
      <c r="N2462">
        <v>348</v>
      </c>
      <c r="O2462">
        <v>184</v>
      </c>
      <c r="P2462">
        <v>36</v>
      </c>
      <c r="Q2462">
        <v>38.729999999999997</v>
      </c>
      <c r="R2462" t="s">
        <v>287</v>
      </c>
      <c r="S2462">
        <v>2.4900000000000002</v>
      </c>
      <c r="T2462">
        <v>3.26</v>
      </c>
      <c r="U2462">
        <v>130</v>
      </c>
    </row>
    <row r="2463" spans="1:21" ht="15" customHeight="1" x14ac:dyDescent="0.25">
      <c r="A2463" s="2">
        <v>45325.064120370371</v>
      </c>
      <c r="B2463" t="s">
        <v>309</v>
      </c>
      <c r="C2463" t="s">
        <v>368</v>
      </c>
      <c r="D2463">
        <v>2</v>
      </c>
      <c r="E2463" t="s">
        <v>327</v>
      </c>
      <c r="F2463" t="s">
        <v>388</v>
      </c>
      <c r="G2463">
        <f t="shared" si="26"/>
        <v>45.178571428571431</v>
      </c>
      <c r="H2463">
        <f t="shared" si="27"/>
        <v>0</v>
      </c>
      <c r="I2463">
        <v>45.18</v>
      </c>
      <c r="J2463">
        <f t="shared" si="28"/>
        <v>54.821428571428577</v>
      </c>
      <c r="K2463">
        <v>0.8</v>
      </c>
      <c r="L2463">
        <v>0.3</v>
      </c>
      <c r="M2463">
        <v>0.7</v>
      </c>
      <c r="N2463">
        <v>307</v>
      </c>
      <c r="O2463">
        <v>253</v>
      </c>
      <c r="P2463">
        <v>0</v>
      </c>
      <c r="Q2463">
        <v>45.18</v>
      </c>
      <c r="R2463" t="s">
        <v>246</v>
      </c>
      <c r="S2463">
        <v>1.22</v>
      </c>
      <c r="T2463">
        <v>1.34</v>
      </c>
    </row>
    <row r="2464" spans="1:21" ht="15" customHeight="1" x14ac:dyDescent="0.25">
      <c r="A2464" s="2">
        <v>45323.649305555555</v>
      </c>
      <c r="B2464" t="s">
        <v>309</v>
      </c>
      <c r="C2464" t="s">
        <v>322</v>
      </c>
      <c r="D2464">
        <v>3</v>
      </c>
      <c r="E2464" t="s">
        <v>327</v>
      </c>
      <c r="F2464" t="s">
        <v>373</v>
      </c>
      <c r="G2464">
        <f t="shared" si="26"/>
        <v>33.387358184764992</v>
      </c>
      <c r="H2464">
        <f t="shared" si="27"/>
        <v>0</v>
      </c>
      <c r="I2464">
        <f>((O2464+P2464)/(P2464+O2464+N2464))*100</f>
        <v>33.387358184764992</v>
      </c>
      <c r="J2464">
        <f t="shared" si="28"/>
        <v>66.612641815235008</v>
      </c>
      <c r="K2464">
        <v>0.8</v>
      </c>
      <c r="L2464">
        <v>0.3</v>
      </c>
      <c r="M2464">
        <v>0.7</v>
      </c>
      <c r="N2464">
        <v>411</v>
      </c>
      <c r="O2464">
        <v>206</v>
      </c>
      <c r="P2464">
        <v>0</v>
      </c>
      <c r="Q2464">
        <v>33.39</v>
      </c>
      <c r="R2464" t="s">
        <v>234</v>
      </c>
      <c r="S2464">
        <v>2.56</v>
      </c>
      <c r="T2464">
        <v>2.88</v>
      </c>
      <c r="U2464">
        <v>79</v>
      </c>
    </row>
    <row r="2465" spans="1:21" ht="15" customHeight="1" x14ac:dyDescent="0.25">
      <c r="A2465" s="2">
        <v>45323.654918981483</v>
      </c>
      <c r="B2465" t="s">
        <v>309</v>
      </c>
      <c r="C2465" t="s">
        <v>322</v>
      </c>
      <c r="D2465">
        <v>3</v>
      </c>
      <c r="E2465" t="s">
        <v>327</v>
      </c>
      <c r="F2465" t="s">
        <v>373</v>
      </c>
      <c r="G2465">
        <f t="shared" si="26"/>
        <v>34.761904761904759</v>
      </c>
      <c r="H2465">
        <f t="shared" si="27"/>
        <v>0.15873015873015872</v>
      </c>
      <c r="I2465">
        <f>((O2465+P2465)/(P2465+O2465+N2465))*100</f>
        <v>34.920634920634917</v>
      </c>
      <c r="J2465">
        <f t="shared" si="28"/>
        <v>65.079365079365076</v>
      </c>
      <c r="K2465">
        <v>0.7</v>
      </c>
      <c r="L2465">
        <v>0.3</v>
      </c>
      <c r="M2465">
        <v>0.7</v>
      </c>
      <c r="N2465">
        <v>410</v>
      </c>
      <c r="O2465">
        <v>219</v>
      </c>
      <c r="P2465">
        <v>1</v>
      </c>
      <c r="Q2465">
        <v>34.92</v>
      </c>
      <c r="R2465" t="s">
        <v>288</v>
      </c>
      <c r="S2465">
        <v>2.56</v>
      </c>
      <c r="T2465">
        <v>2.88</v>
      </c>
      <c r="U2465">
        <v>66</v>
      </c>
    </row>
    <row r="2466" spans="1:21" ht="15" customHeight="1" x14ac:dyDescent="0.25">
      <c r="A2466" s="2">
        <v>45325.208634259259</v>
      </c>
      <c r="B2466" t="s">
        <v>309</v>
      </c>
      <c r="C2466" t="s">
        <v>368</v>
      </c>
      <c r="D2466">
        <v>2</v>
      </c>
      <c r="E2466" t="s">
        <v>327</v>
      </c>
      <c r="F2466" t="s">
        <v>373</v>
      </c>
      <c r="G2466">
        <f t="shared" si="26"/>
        <v>34.29951690821256</v>
      </c>
      <c r="H2466">
        <f t="shared" si="27"/>
        <v>0</v>
      </c>
      <c r="I2466">
        <v>34.299999999999997</v>
      </c>
      <c r="J2466">
        <f t="shared" si="28"/>
        <v>65.700483091787447</v>
      </c>
      <c r="K2466">
        <v>0.8</v>
      </c>
      <c r="L2466">
        <v>0.3</v>
      </c>
      <c r="M2466">
        <v>0.7</v>
      </c>
      <c r="N2466">
        <v>408</v>
      </c>
      <c r="O2466">
        <v>213</v>
      </c>
      <c r="P2466">
        <v>0</v>
      </c>
      <c r="Q2466">
        <v>34.299999999999997</v>
      </c>
      <c r="R2466" t="s">
        <v>261</v>
      </c>
      <c r="S2466">
        <v>0.94</v>
      </c>
      <c r="T2466">
        <v>1</v>
      </c>
    </row>
    <row r="2467" spans="1:21" ht="15" customHeight="1" x14ac:dyDescent="0.25">
      <c r="A2467" t="s">
        <v>19</v>
      </c>
      <c r="B2467" t="s">
        <v>20</v>
      </c>
      <c r="C2467" t="s">
        <v>308</v>
      </c>
      <c r="D2467">
        <v>3</v>
      </c>
      <c r="E2467" t="s">
        <v>318</v>
      </c>
      <c r="F2467" t="s">
        <v>388</v>
      </c>
      <c r="G2467">
        <v>50</v>
      </c>
      <c r="H2467">
        <v>15</v>
      </c>
      <c r="I2467">
        <f>G2467+H2467</f>
        <v>65</v>
      </c>
      <c r="J2467">
        <f>100-G2467-H2467</f>
        <v>35</v>
      </c>
      <c r="K2467" t="s">
        <v>19</v>
      </c>
      <c r="L2467" t="s">
        <v>19</v>
      </c>
      <c r="M2467" t="s">
        <v>19</v>
      </c>
      <c r="N2467" t="s">
        <v>19</v>
      </c>
      <c r="O2467" t="s">
        <v>19</v>
      </c>
      <c r="P2467" t="s">
        <v>19</v>
      </c>
      <c r="Q2467">
        <f>I2467</f>
        <v>65</v>
      </c>
      <c r="R2467" t="s">
        <v>19</v>
      </c>
      <c r="S2467" t="s">
        <v>19</v>
      </c>
      <c r="T2467" t="s">
        <v>19</v>
      </c>
    </row>
    <row r="2468" spans="1:21" ht="15" customHeight="1" x14ac:dyDescent="0.25">
      <c r="A2468" t="s">
        <v>19</v>
      </c>
      <c r="B2468" t="s">
        <v>20</v>
      </c>
      <c r="C2468" t="s">
        <v>22</v>
      </c>
      <c r="D2468">
        <v>3</v>
      </c>
      <c r="E2468" t="s">
        <v>318</v>
      </c>
      <c r="F2468" t="s">
        <v>388</v>
      </c>
      <c r="G2468">
        <v>60</v>
      </c>
      <c r="H2468">
        <v>10</v>
      </c>
      <c r="I2468">
        <f>G2468+H2468</f>
        <v>70</v>
      </c>
      <c r="J2468">
        <f>100-G2468-H2468</f>
        <v>30</v>
      </c>
      <c r="K2468" t="s">
        <v>19</v>
      </c>
      <c r="L2468" t="s">
        <v>19</v>
      </c>
      <c r="M2468" t="s">
        <v>19</v>
      </c>
      <c r="N2468" t="s">
        <v>19</v>
      </c>
      <c r="O2468" t="s">
        <v>19</v>
      </c>
      <c r="P2468" t="s">
        <v>19</v>
      </c>
      <c r="Q2468">
        <f>I2468</f>
        <v>70</v>
      </c>
      <c r="R2468" t="s">
        <v>19</v>
      </c>
      <c r="S2468" t="s">
        <v>19</v>
      </c>
      <c r="T2468" t="s">
        <v>19</v>
      </c>
    </row>
    <row r="2469" spans="1:21" ht="15" customHeight="1" x14ac:dyDescent="0.25">
      <c r="A2469" t="s">
        <v>19</v>
      </c>
      <c r="B2469" t="s">
        <v>20</v>
      </c>
      <c r="C2469" t="s">
        <v>305</v>
      </c>
      <c r="D2469">
        <v>3</v>
      </c>
      <c r="E2469" t="s">
        <v>318</v>
      </c>
      <c r="F2469" t="s">
        <v>388</v>
      </c>
      <c r="G2469">
        <v>35</v>
      </c>
      <c r="H2469">
        <v>5</v>
      </c>
      <c r="I2469">
        <f>G2469+H2469</f>
        <v>40</v>
      </c>
      <c r="J2469">
        <f>100-G2469-H2469</f>
        <v>60</v>
      </c>
      <c r="K2469" t="s">
        <v>19</v>
      </c>
      <c r="L2469" t="s">
        <v>19</v>
      </c>
      <c r="M2469" t="s">
        <v>19</v>
      </c>
      <c r="N2469" t="s">
        <v>19</v>
      </c>
      <c r="O2469" t="s">
        <v>19</v>
      </c>
      <c r="P2469" t="s">
        <v>19</v>
      </c>
      <c r="Q2469">
        <f>I2469</f>
        <v>40</v>
      </c>
      <c r="R2469" t="s">
        <v>19</v>
      </c>
      <c r="S2469" t="s">
        <v>19</v>
      </c>
      <c r="T2469" t="s">
        <v>19</v>
      </c>
    </row>
    <row r="2470" spans="1:21" ht="15" customHeight="1" x14ac:dyDescent="0.25">
      <c r="A2470" t="s">
        <v>19</v>
      </c>
      <c r="B2470" t="s">
        <v>20</v>
      </c>
      <c r="C2470" t="s">
        <v>307</v>
      </c>
      <c r="D2470">
        <v>3</v>
      </c>
      <c r="E2470" t="s">
        <v>318</v>
      </c>
      <c r="F2470" t="s">
        <v>388</v>
      </c>
      <c r="G2470">
        <v>20</v>
      </c>
      <c r="H2470">
        <v>5</v>
      </c>
      <c r="I2470">
        <f>G2470+H2470</f>
        <v>25</v>
      </c>
      <c r="J2470">
        <f>100-G2470-H2470</f>
        <v>75</v>
      </c>
      <c r="K2470" t="s">
        <v>19</v>
      </c>
      <c r="L2470" t="s">
        <v>19</v>
      </c>
      <c r="M2470" t="s">
        <v>19</v>
      </c>
      <c r="N2470" t="s">
        <v>19</v>
      </c>
      <c r="O2470" t="s">
        <v>19</v>
      </c>
      <c r="P2470" t="s">
        <v>19</v>
      </c>
      <c r="Q2470">
        <f>I2470</f>
        <v>25</v>
      </c>
      <c r="R2470" t="s">
        <v>19</v>
      </c>
      <c r="S2470" t="s">
        <v>19</v>
      </c>
      <c r="T2470" t="s">
        <v>19</v>
      </c>
    </row>
    <row r="2471" spans="1:21" ht="15" customHeight="1" x14ac:dyDescent="0.25">
      <c r="A2471" s="2">
        <v>45253.640277777777</v>
      </c>
      <c r="B2471" t="s">
        <v>309</v>
      </c>
      <c r="C2471" t="s">
        <v>213</v>
      </c>
      <c r="D2471">
        <v>3</v>
      </c>
      <c r="E2471" t="s">
        <v>318</v>
      </c>
      <c r="F2471" t="s">
        <v>388</v>
      </c>
      <c r="G2471">
        <v>16.309012880000001</v>
      </c>
      <c r="H2471">
        <v>14.16309013</v>
      </c>
      <c r="I2471">
        <v>30.472103000000001</v>
      </c>
      <c r="J2471">
        <v>69.527896999999996</v>
      </c>
      <c r="K2471">
        <v>0.8</v>
      </c>
      <c r="L2471">
        <v>0.2</v>
      </c>
      <c r="M2471">
        <v>0.7</v>
      </c>
      <c r="N2471">
        <v>324</v>
      </c>
      <c r="O2471">
        <v>76</v>
      </c>
      <c r="P2471">
        <v>66</v>
      </c>
      <c r="Q2471">
        <v>30.47</v>
      </c>
      <c r="R2471" t="s">
        <v>214</v>
      </c>
      <c r="S2471">
        <v>2.6</v>
      </c>
      <c r="T2471">
        <v>2.89</v>
      </c>
    </row>
    <row r="2472" spans="1:21" ht="15" customHeight="1" x14ac:dyDescent="0.25">
      <c r="A2472" s="2">
        <v>45253.887499999997</v>
      </c>
      <c r="B2472" t="s">
        <v>309</v>
      </c>
      <c r="C2472" t="s">
        <v>215</v>
      </c>
      <c r="D2472">
        <v>2</v>
      </c>
      <c r="E2472" t="s">
        <v>318</v>
      </c>
      <c r="F2472" t="s">
        <v>388</v>
      </c>
      <c r="G2472">
        <v>57.987220450000002</v>
      </c>
      <c r="H2472">
        <v>0</v>
      </c>
      <c r="I2472">
        <v>57.987220450000002</v>
      </c>
      <c r="J2472">
        <v>42.012779549999998</v>
      </c>
      <c r="K2472">
        <v>0.8</v>
      </c>
      <c r="L2472">
        <v>0.2</v>
      </c>
      <c r="M2472">
        <v>0.7</v>
      </c>
      <c r="N2472">
        <v>263</v>
      </c>
      <c r="O2472">
        <v>363</v>
      </c>
      <c r="P2472">
        <v>0</v>
      </c>
      <c r="Q2472">
        <v>57.99</v>
      </c>
      <c r="R2472" t="s">
        <v>229</v>
      </c>
      <c r="S2472">
        <v>1.31</v>
      </c>
      <c r="T2472">
        <v>1.44</v>
      </c>
    </row>
    <row r="2473" spans="1:21" ht="15" customHeight="1" x14ac:dyDescent="0.25">
      <c r="A2473" s="2">
        <v>45254.058333333334</v>
      </c>
      <c r="B2473" t="s">
        <v>309</v>
      </c>
      <c r="C2473" t="s">
        <v>217</v>
      </c>
      <c r="D2473">
        <v>2</v>
      </c>
      <c r="E2473" t="s">
        <v>318</v>
      </c>
      <c r="F2473" t="s">
        <v>388</v>
      </c>
      <c r="G2473">
        <v>59.459459459999998</v>
      </c>
      <c r="H2473">
        <v>0</v>
      </c>
      <c r="I2473">
        <v>59.459459459999998</v>
      </c>
      <c r="J2473">
        <v>40.540540540000002</v>
      </c>
      <c r="K2473">
        <v>0.8</v>
      </c>
      <c r="L2473">
        <v>0.2</v>
      </c>
      <c r="M2473">
        <v>0.7</v>
      </c>
      <c r="N2473">
        <v>255</v>
      </c>
      <c r="O2473">
        <v>374</v>
      </c>
      <c r="P2473">
        <v>0</v>
      </c>
      <c r="Q2473">
        <v>59.46</v>
      </c>
      <c r="R2473" t="s">
        <v>239</v>
      </c>
      <c r="S2473">
        <v>1.48</v>
      </c>
      <c r="T2473">
        <v>1.6</v>
      </c>
    </row>
    <row r="2474" spans="1:21" ht="15" customHeight="1" x14ac:dyDescent="0.25">
      <c r="A2474" s="2">
        <v>45316.567361111112</v>
      </c>
      <c r="B2474" t="s">
        <v>309</v>
      </c>
      <c r="C2474" t="s">
        <v>219</v>
      </c>
      <c r="D2474">
        <v>3</v>
      </c>
      <c r="E2474" t="s">
        <v>318</v>
      </c>
      <c r="F2474" t="s">
        <v>388</v>
      </c>
      <c r="G2474">
        <v>19.841269839999999</v>
      </c>
      <c r="H2474">
        <v>12.6984127</v>
      </c>
      <c r="I2474">
        <v>32.539682540000001</v>
      </c>
      <c r="J2474">
        <v>67.460317459999999</v>
      </c>
      <c r="K2474">
        <v>0.8</v>
      </c>
      <c r="L2474">
        <v>0.2</v>
      </c>
      <c r="M2474">
        <v>0.7</v>
      </c>
      <c r="N2474">
        <v>255</v>
      </c>
      <c r="O2474">
        <v>75</v>
      </c>
      <c r="P2474">
        <v>48</v>
      </c>
      <c r="Q2474">
        <v>32.54</v>
      </c>
      <c r="R2474" t="s">
        <v>218</v>
      </c>
      <c r="S2474">
        <v>3.07</v>
      </c>
      <c r="T2474">
        <v>4.37</v>
      </c>
    </row>
    <row r="2475" spans="1:21" ht="15" customHeight="1" x14ac:dyDescent="0.25">
      <c r="A2475" s="2">
        <v>45320.913194444445</v>
      </c>
      <c r="B2475" t="s">
        <v>309</v>
      </c>
      <c r="C2475" t="s">
        <v>221</v>
      </c>
      <c r="D2475">
        <v>2</v>
      </c>
      <c r="E2475" t="s">
        <v>318</v>
      </c>
      <c r="F2475" t="s">
        <v>388</v>
      </c>
      <c r="G2475">
        <v>46.964285709999999</v>
      </c>
      <c r="H2475">
        <v>0</v>
      </c>
      <c r="I2475">
        <v>46.964285709999999</v>
      </c>
      <c r="J2475">
        <v>53.035714290000001</v>
      </c>
      <c r="K2475">
        <v>0.8</v>
      </c>
      <c r="L2475">
        <v>0.3</v>
      </c>
      <c r="M2475">
        <v>0.7</v>
      </c>
      <c r="N2475">
        <v>297</v>
      </c>
      <c r="O2475">
        <v>263</v>
      </c>
      <c r="P2475">
        <v>0</v>
      </c>
      <c r="Q2475">
        <v>46.96</v>
      </c>
      <c r="R2475" t="s">
        <v>262</v>
      </c>
      <c r="S2475">
        <v>1.25</v>
      </c>
      <c r="T2475">
        <v>1.38</v>
      </c>
    </row>
    <row r="2476" spans="1:21" ht="15" customHeight="1" x14ac:dyDescent="0.25">
      <c r="A2476" t="s">
        <v>19</v>
      </c>
      <c r="B2476" t="s">
        <v>20</v>
      </c>
      <c r="C2476" t="s">
        <v>306</v>
      </c>
      <c r="D2476">
        <v>3</v>
      </c>
      <c r="E2476" t="s">
        <v>318</v>
      </c>
      <c r="F2476" t="s">
        <v>388</v>
      </c>
      <c r="G2476">
        <v>40</v>
      </c>
      <c r="H2476">
        <v>20</v>
      </c>
      <c r="I2476">
        <f>G2476+H2476</f>
        <v>60</v>
      </c>
      <c r="J2476">
        <f>100-G2476-H2476</f>
        <v>40</v>
      </c>
      <c r="K2476" t="s">
        <v>19</v>
      </c>
      <c r="L2476" t="s">
        <v>19</v>
      </c>
      <c r="M2476" t="s">
        <v>19</v>
      </c>
      <c r="N2476" t="s">
        <v>19</v>
      </c>
      <c r="O2476" t="s">
        <v>19</v>
      </c>
      <c r="P2476" t="s">
        <v>19</v>
      </c>
      <c r="Q2476">
        <f t="shared" ref="Q2476:Q2482" si="29">I2476</f>
        <v>60</v>
      </c>
      <c r="R2476" t="s">
        <v>19</v>
      </c>
      <c r="S2476" t="s">
        <v>19</v>
      </c>
      <c r="T2476" t="s">
        <v>19</v>
      </c>
    </row>
    <row r="2477" spans="1:21" ht="15" customHeight="1" x14ac:dyDescent="0.25">
      <c r="A2477" t="s">
        <v>19</v>
      </c>
      <c r="B2477" t="s">
        <v>20</v>
      </c>
      <c r="C2477" t="s">
        <v>320</v>
      </c>
      <c r="D2477">
        <v>3</v>
      </c>
      <c r="E2477" t="s">
        <v>318</v>
      </c>
      <c r="F2477" t="s">
        <v>388</v>
      </c>
      <c r="G2477">
        <v>0</v>
      </c>
      <c r="H2477">
        <v>0</v>
      </c>
      <c r="I2477">
        <f>100-J2477</f>
        <v>0</v>
      </c>
      <c r="J2477">
        <f>100-G2477-H2477</f>
        <v>100</v>
      </c>
      <c r="K2477" t="s">
        <v>19</v>
      </c>
      <c r="L2477" t="s">
        <v>19</v>
      </c>
      <c r="M2477" t="s">
        <v>19</v>
      </c>
      <c r="N2477" t="s">
        <v>19</v>
      </c>
      <c r="O2477" t="s">
        <v>19</v>
      </c>
      <c r="P2477" t="s">
        <v>19</v>
      </c>
      <c r="Q2477">
        <f t="shared" si="29"/>
        <v>0</v>
      </c>
      <c r="R2477" t="s">
        <v>19</v>
      </c>
      <c r="S2477" t="s">
        <v>19</v>
      </c>
      <c r="T2477" t="s">
        <v>19</v>
      </c>
    </row>
    <row r="2478" spans="1:21" ht="15" customHeight="1" x14ac:dyDescent="0.25">
      <c r="A2478" t="s">
        <v>19</v>
      </c>
      <c r="B2478" t="s">
        <v>20</v>
      </c>
      <c r="C2478" t="s">
        <v>306</v>
      </c>
      <c r="D2478">
        <v>3</v>
      </c>
      <c r="E2478" t="s">
        <v>319</v>
      </c>
      <c r="F2478" t="s">
        <v>373</v>
      </c>
      <c r="G2478" t="s">
        <v>321</v>
      </c>
      <c r="H2478" t="s">
        <v>321</v>
      </c>
      <c r="I2478">
        <v>45</v>
      </c>
      <c r="J2478">
        <v>55</v>
      </c>
      <c r="K2478" t="s">
        <v>19</v>
      </c>
      <c r="L2478" t="s">
        <v>19</v>
      </c>
      <c r="M2478" t="s">
        <v>19</v>
      </c>
      <c r="N2478" t="s">
        <v>19</v>
      </c>
      <c r="O2478" t="s">
        <v>19</v>
      </c>
      <c r="P2478" t="s">
        <v>19</v>
      </c>
      <c r="Q2478">
        <f t="shared" si="29"/>
        <v>45</v>
      </c>
      <c r="R2478" t="s">
        <v>19</v>
      </c>
      <c r="S2478" t="s">
        <v>19</v>
      </c>
      <c r="T2478" t="s">
        <v>19</v>
      </c>
    </row>
    <row r="2479" spans="1:21" ht="15" customHeight="1" x14ac:dyDescent="0.25">
      <c r="A2479" t="s">
        <v>19</v>
      </c>
      <c r="B2479" t="s">
        <v>20</v>
      </c>
      <c r="C2479" t="s">
        <v>308</v>
      </c>
      <c r="D2479">
        <v>3</v>
      </c>
      <c r="E2479" t="s">
        <v>319</v>
      </c>
      <c r="F2479" t="s">
        <v>373</v>
      </c>
      <c r="G2479">
        <v>73</v>
      </c>
      <c r="H2479">
        <v>2</v>
      </c>
      <c r="I2479">
        <f>G2479+H2479</f>
        <v>75</v>
      </c>
      <c r="J2479">
        <f>100-G2479-H2479</f>
        <v>25</v>
      </c>
      <c r="K2479" t="s">
        <v>19</v>
      </c>
      <c r="L2479" t="s">
        <v>19</v>
      </c>
      <c r="M2479" t="s">
        <v>19</v>
      </c>
      <c r="N2479" t="s">
        <v>19</v>
      </c>
      <c r="O2479" t="s">
        <v>19</v>
      </c>
      <c r="P2479" t="s">
        <v>19</v>
      </c>
      <c r="Q2479">
        <f t="shared" si="29"/>
        <v>75</v>
      </c>
      <c r="R2479" t="s">
        <v>19</v>
      </c>
      <c r="S2479" t="s">
        <v>19</v>
      </c>
      <c r="T2479" t="s">
        <v>19</v>
      </c>
    </row>
    <row r="2480" spans="1:21" ht="15" customHeight="1" x14ac:dyDescent="0.25">
      <c r="A2480" t="s">
        <v>19</v>
      </c>
      <c r="B2480" t="s">
        <v>20</v>
      </c>
      <c r="C2480" t="s">
        <v>22</v>
      </c>
      <c r="D2480">
        <v>3</v>
      </c>
      <c r="E2480" t="s">
        <v>319</v>
      </c>
      <c r="F2480" t="s">
        <v>373</v>
      </c>
      <c r="G2480">
        <v>30</v>
      </c>
      <c r="H2480">
        <v>0</v>
      </c>
      <c r="I2480">
        <f>G2480+H2480</f>
        <v>30</v>
      </c>
      <c r="J2480">
        <f>100-G2480-H2480</f>
        <v>70</v>
      </c>
      <c r="K2480" t="s">
        <v>19</v>
      </c>
      <c r="L2480" t="s">
        <v>19</v>
      </c>
      <c r="M2480" t="s">
        <v>19</v>
      </c>
      <c r="N2480" t="s">
        <v>19</v>
      </c>
      <c r="O2480" t="s">
        <v>19</v>
      </c>
      <c r="P2480" t="s">
        <v>19</v>
      </c>
      <c r="Q2480">
        <f t="shared" si="29"/>
        <v>30</v>
      </c>
      <c r="R2480" t="s">
        <v>19</v>
      </c>
      <c r="S2480" t="s">
        <v>19</v>
      </c>
      <c r="T2480" t="s">
        <v>19</v>
      </c>
    </row>
    <row r="2481" spans="1:20" ht="15" customHeight="1" x14ac:dyDescent="0.25">
      <c r="A2481" t="s">
        <v>19</v>
      </c>
      <c r="B2481" t="s">
        <v>20</v>
      </c>
      <c r="C2481" t="s">
        <v>305</v>
      </c>
      <c r="D2481">
        <v>3</v>
      </c>
      <c r="E2481" t="s">
        <v>319</v>
      </c>
      <c r="F2481" t="s">
        <v>373</v>
      </c>
      <c r="G2481">
        <v>15</v>
      </c>
      <c r="H2481">
        <v>1</v>
      </c>
      <c r="I2481">
        <f>G2481+H2481</f>
        <v>16</v>
      </c>
      <c r="J2481">
        <f>100-G2481-H2481</f>
        <v>84</v>
      </c>
      <c r="K2481" t="s">
        <v>19</v>
      </c>
      <c r="L2481" t="s">
        <v>19</v>
      </c>
      <c r="M2481" t="s">
        <v>19</v>
      </c>
      <c r="N2481" t="s">
        <v>19</v>
      </c>
      <c r="O2481" t="s">
        <v>19</v>
      </c>
      <c r="P2481" t="s">
        <v>19</v>
      </c>
      <c r="Q2481">
        <f t="shared" si="29"/>
        <v>16</v>
      </c>
      <c r="R2481" t="s">
        <v>19</v>
      </c>
      <c r="S2481" t="s">
        <v>19</v>
      </c>
      <c r="T2481" t="s">
        <v>19</v>
      </c>
    </row>
    <row r="2482" spans="1:20" ht="15" customHeight="1" x14ac:dyDescent="0.25">
      <c r="A2482" t="s">
        <v>19</v>
      </c>
      <c r="B2482" t="s">
        <v>20</v>
      </c>
      <c r="C2482" t="s">
        <v>307</v>
      </c>
      <c r="D2482">
        <v>3</v>
      </c>
      <c r="E2482" t="s">
        <v>319</v>
      </c>
      <c r="F2482" t="s">
        <v>373</v>
      </c>
      <c r="G2482">
        <v>8</v>
      </c>
      <c r="H2482">
        <v>2</v>
      </c>
      <c r="I2482">
        <f>G2482+H2482</f>
        <v>10</v>
      </c>
      <c r="J2482">
        <f>100-G2482-H2482</f>
        <v>90</v>
      </c>
      <c r="K2482" t="s">
        <v>19</v>
      </c>
      <c r="L2482" t="s">
        <v>19</v>
      </c>
      <c r="M2482" t="s">
        <v>19</v>
      </c>
      <c r="N2482" t="s">
        <v>19</v>
      </c>
      <c r="O2482" t="s">
        <v>19</v>
      </c>
      <c r="P2482" t="s">
        <v>19</v>
      </c>
      <c r="Q2482">
        <f t="shared" si="29"/>
        <v>10</v>
      </c>
      <c r="R2482" t="s">
        <v>19</v>
      </c>
      <c r="S2482" t="s">
        <v>19</v>
      </c>
      <c r="T2482" t="s">
        <v>19</v>
      </c>
    </row>
    <row r="2483" spans="1:20" ht="15" customHeight="1" x14ac:dyDescent="0.25">
      <c r="A2483" s="2">
        <v>45253.797222222223</v>
      </c>
      <c r="B2483" t="s">
        <v>309</v>
      </c>
      <c r="C2483" t="s">
        <v>213</v>
      </c>
      <c r="D2483">
        <v>3</v>
      </c>
      <c r="E2483" t="s">
        <v>319</v>
      </c>
      <c r="F2483" t="s">
        <v>373</v>
      </c>
      <c r="G2483">
        <v>47.305389220000002</v>
      </c>
      <c r="H2483">
        <v>0</v>
      </c>
      <c r="I2483">
        <v>47.305389220000002</v>
      </c>
      <c r="J2483">
        <v>52.694610779999998</v>
      </c>
      <c r="K2483">
        <v>0.8</v>
      </c>
      <c r="L2483">
        <v>0.2</v>
      </c>
      <c r="M2483">
        <v>0.7</v>
      </c>
      <c r="N2483">
        <v>264</v>
      </c>
      <c r="O2483">
        <v>237</v>
      </c>
      <c r="P2483">
        <v>0</v>
      </c>
      <c r="Q2483">
        <v>47.31</v>
      </c>
      <c r="R2483" t="s">
        <v>238</v>
      </c>
      <c r="S2483">
        <v>2.8</v>
      </c>
      <c r="T2483">
        <v>2.92</v>
      </c>
    </row>
    <row r="2484" spans="1:20" ht="15" customHeight="1" x14ac:dyDescent="0.25">
      <c r="A2484" s="2">
        <v>45253.970833333333</v>
      </c>
      <c r="B2484" t="s">
        <v>309</v>
      </c>
      <c r="C2484" t="s">
        <v>215</v>
      </c>
      <c r="D2484">
        <v>2</v>
      </c>
      <c r="E2484" t="s">
        <v>319</v>
      </c>
      <c r="F2484" t="s">
        <v>373</v>
      </c>
      <c r="G2484">
        <v>5.511811024</v>
      </c>
      <c r="H2484">
        <v>0</v>
      </c>
      <c r="I2484">
        <v>5.511811024</v>
      </c>
      <c r="J2484">
        <v>94.488188980000004</v>
      </c>
      <c r="K2484">
        <v>0.8</v>
      </c>
      <c r="L2484">
        <v>0.2</v>
      </c>
      <c r="M2484">
        <v>0.7</v>
      </c>
      <c r="N2484">
        <v>600</v>
      </c>
      <c r="O2484">
        <v>35</v>
      </c>
      <c r="P2484">
        <v>0</v>
      </c>
      <c r="Q2484">
        <v>5.51</v>
      </c>
      <c r="R2484" t="s">
        <v>216</v>
      </c>
      <c r="S2484">
        <v>0.21</v>
      </c>
      <c r="T2484">
        <v>0.23</v>
      </c>
    </row>
    <row r="2485" spans="1:20" ht="15" customHeight="1" x14ac:dyDescent="0.25">
      <c r="A2485" s="2">
        <v>45254.147916666669</v>
      </c>
      <c r="B2485" t="s">
        <v>309</v>
      </c>
      <c r="C2485" t="s">
        <v>217</v>
      </c>
      <c r="D2485">
        <v>2</v>
      </c>
      <c r="E2485" t="s">
        <v>319</v>
      </c>
      <c r="F2485" t="s">
        <v>373</v>
      </c>
      <c r="G2485">
        <v>15.993788820000001</v>
      </c>
      <c r="H2485">
        <v>0</v>
      </c>
      <c r="I2485">
        <v>15.993788820000001</v>
      </c>
      <c r="J2485">
        <v>84.006211179999994</v>
      </c>
      <c r="K2485">
        <v>0.8</v>
      </c>
      <c r="L2485">
        <v>0.2</v>
      </c>
      <c r="M2485">
        <v>0.7</v>
      </c>
      <c r="N2485">
        <v>541</v>
      </c>
      <c r="O2485">
        <v>103</v>
      </c>
      <c r="P2485">
        <v>0</v>
      </c>
      <c r="Q2485">
        <v>15.99</v>
      </c>
      <c r="R2485" t="s">
        <v>218</v>
      </c>
      <c r="S2485">
        <v>0.44</v>
      </c>
      <c r="T2485">
        <v>0.46</v>
      </c>
    </row>
    <row r="2486" spans="1:20" ht="15" customHeight="1" x14ac:dyDescent="0.25">
      <c r="A2486" s="2">
        <v>45316.48333333333</v>
      </c>
      <c r="B2486" t="s">
        <v>309</v>
      </c>
      <c r="C2486" t="s">
        <v>219</v>
      </c>
      <c r="D2486">
        <v>3</v>
      </c>
      <c r="E2486" t="s">
        <v>319</v>
      </c>
      <c r="F2486" t="s">
        <v>373</v>
      </c>
      <c r="G2486">
        <v>32.8125</v>
      </c>
      <c r="H2486">
        <v>0.66964285700000004</v>
      </c>
      <c r="I2486">
        <v>33.482142860000003</v>
      </c>
      <c r="J2486">
        <v>66.517857140000004</v>
      </c>
      <c r="K2486">
        <v>0.8</v>
      </c>
      <c r="L2486">
        <v>0.2</v>
      </c>
      <c r="M2486">
        <v>0.7</v>
      </c>
      <c r="N2486">
        <v>298</v>
      </c>
      <c r="O2486">
        <v>147</v>
      </c>
      <c r="P2486">
        <v>3</v>
      </c>
      <c r="Q2486">
        <v>33.479999999999997</v>
      </c>
      <c r="R2486" t="s">
        <v>225</v>
      </c>
      <c r="S2486">
        <v>3.16</v>
      </c>
      <c r="T2486">
        <v>4.22</v>
      </c>
    </row>
    <row r="2487" spans="1:20" ht="15" customHeight="1" x14ac:dyDescent="0.25">
      <c r="A2487" s="2">
        <v>45321.010416666664</v>
      </c>
      <c r="B2487" t="s">
        <v>309</v>
      </c>
      <c r="C2487" t="s">
        <v>221</v>
      </c>
      <c r="D2487">
        <v>2</v>
      </c>
      <c r="E2487" t="s">
        <v>319</v>
      </c>
      <c r="F2487" t="s">
        <v>373</v>
      </c>
      <c r="G2487">
        <v>32.227488149999999</v>
      </c>
      <c r="H2487">
        <v>0</v>
      </c>
      <c r="I2487">
        <v>32.227488149999999</v>
      </c>
      <c r="J2487">
        <v>67.772511850000001</v>
      </c>
      <c r="K2487">
        <v>0.8</v>
      </c>
      <c r="L2487">
        <v>0.3</v>
      </c>
      <c r="M2487">
        <v>0.7</v>
      </c>
      <c r="N2487">
        <v>429</v>
      </c>
      <c r="O2487">
        <v>204</v>
      </c>
      <c r="P2487">
        <v>0</v>
      </c>
      <c r="Q2487">
        <v>32.229999999999997</v>
      </c>
      <c r="R2487" t="s">
        <v>262</v>
      </c>
      <c r="S2487">
        <v>0.91</v>
      </c>
      <c r="T2487">
        <v>0.96</v>
      </c>
    </row>
    <row r="2488" spans="1:20" ht="15" customHeight="1" x14ac:dyDescent="0.25">
      <c r="A2488" t="s">
        <v>19</v>
      </c>
      <c r="B2488" t="s">
        <v>20</v>
      </c>
      <c r="C2488" t="s">
        <v>320</v>
      </c>
      <c r="D2488">
        <v>3</v>
      </c>
      <c r="E2488" t="s">
        <v>319</v>
      </c>
      <c r="F2488" t="s">
        <v>373</v>
      </c>
      <c r="G2488">
        <v>25</v>
      </c>
      <c r="H2488">
        <v>0</v>
      </c>
      <c r="I2488">
        <f>100-J2488</f>
        <v>25</v>
      </c>
      <c r="J2488">
        <f>100-G2488-H2488</f>
        <v>75</v>
      </c>
      <c r="K2488" t="s">
        <v>19</v>
      </c>
      <c r="L2488" t="s">
        <v>19</v>
      </c>
      <c r="M2488" t="s">
        <v>19</v>
      </c>
      <c r="N2488" t="s">
        <v>19</v>
      </c>
      <c r="O2488" t="s">
        <v>19</v>
      </c>
      <c r="P2488" t="s">
        <v>19</v>
      </c>
      <c r="Q2488">
        <f t="shared" ref="Q2488:Q2493" si="30">I2488</f>
        <v>25</v>
      </c>
      <c r="R2488" t="s">
        <v>19</v>
      </c>
      <c r="S2488" t="s">
        <v>19</v>
      </c>
      <c r="T2488" t="s">
        <v>19</v>
      </c>
    </row>
    <row r="2489" spans="1:20" ht="15" customHeight="1" x14ac:dyDescent="0.25">
      <c r="A2489" t="s">
        <v>19</v>
      </c>
      <c r="B2489" t="s">
        <v>20</v>
      </c>
      <c r="C2489" t="s">
        <v>306</v>
      </c>
      <c r="D2489">
        <v>3</v>
      </c>
      <c r="E2489" t="s">
        <v>190</v>
      </c>
      <c r="F2489" t="s">
        <v>373</v>
      </c>
      <c r="G2489" t="s">
        <v>321</v>
      </c>
      <c r="H2489" t="s">
        <v>321</v>
      </c>
      <c r="I2489">
        <v>25</v>
      </c>
      <c r="J2489">
        <v>75</v>
      </c>
      <c r="K2489" t="s">
        <v>19</v>
      </c>
      <c r="L2489" t="s">
        <v>19</v>
      </c>
      <c r="M2489" t="s">
        <v>19</v>
      </c>
      <c r="N2489" t="s">
        <v>19</v>
      </c>
      <c r="O2489" t="s">
        <v>19</v>
      </c>
      <c r="P2489" t="s">
        <v>19</v>
      </c>
      <c r="Q2489">
        <f t="shared" si="30"/>
        <v>25</v>
      </c>
      <c r="R2489" t="s">
        <v>19</v>
      </c>
      <c r="S2489" t="s">
        <v>19</v>
      </c>
      <c r="T2489" t="s">
        <v>19</v>
      </c>
    </row>
    <row r="2490" spans="1:20" ht="15" customHeight="1" x14ac:dyDescent="0.25">
      <c r="A2490" t="s">
        <v>19</v>
      </c>
      <c r="B2490" t="s">
        <v>20</v>
      </c>
      <c r="C2490" t="s">
        <v>308</v>
      </c>
      <c r="D2490">
        <v>3</v>
      </c>
      <c r="E2490" t="s">
        <v>190</v>
      </c>
      <c r="F2490" t="s">
        <v>373</v>
      </c>
      <c r="G2490">
        <v>30</v>
      </c>
      <c r="H2490">
        <v>2</v>
      </c>
      <c r="I2490">
        <f>G2490+H2490</f>
        <v>32</v>
      </c>
      <c r="J2490">
        <f>100-G2490-H2490</f>
        <v>68</v>
      </c>
      <c r="K2490" t="s">
        <v>19</v>
      </c>
      <c r="L2490" t="s">
        <v>19</v>
      </c>
      <c r="M2490" t="s">
        <v>19</v>
      </c>
      <c r="N2490" t="s">
        <v>19</v>
      </c>
      <c r="O2490" t="s">
        <v>19</v>
      </c>
      <c r="P2490" t="s">
        <v>19</v>
      </c>
      <c r="Q2490">
        <f t="shared" si="30"/>
        <v>32</v>
      </c>
      <c r="R2490" t="s">
        <v>19</v>
      </c>
      <c r="S2490" t="s">
        <v>19</v>
      </c>
      <c r="T2490" t="s">
        <v>19</v>
      </c>
    </row>
    <row r="2491" spans="1:20" ht="15" customHeight="1" x14ac:dyDescent="0.25">
      <c r="A2491" t="s">
        <v>19</v>
      </c>
      <c r="B2491" t="s">
        <v>20</v>
      </c>
      <c r="C2491" t="s">
        <v>22</v>
      </c>
      <c r="D2491">
        <v>3</v>
      </c>
      <c r="E2491" t="s">
        <v>190</v>
      </c>
      <c r="F2491" t="s">
        <v>373</v>
      </c>
      <c r="G2491">
        <v>5</v>
      </c>
      <c r="H2491">
        <v>0</v>
      </c>
      <c r="I2491">
        <f>G2491+H2491</f>
        <v>5</v>
      </c>
      <c r="J2491">
        <f>100-G2491-H2491</f>
        <v>95</v>
      </c>
      <c r="K2491" t="s">
        <v>19</v>
      </c>
      <c r="L2491" t="s">
        <v>19</v>
      </c>
      <c r="M2491" t="s">
        <v>19</v>
      </c>
      <c r="N2491" t="s">
        <v>19</v>
      </c>
      <c r="O2491" t="s">
        <v>19</v>
      </c>
      <c r="P2491" t="s">
        <v>19</v>
      </c>
      <c r="Q2491">
        <f t="shared" si="30"/>
        <v>5</v>
      </c>
      <c r="R2491" t="s">
        <v>19</v>
      </c>
      <c r="S2491" t="s">
        <v>19</v>
      </c>
      <c r="T2491" t="s">
        <v>19</v>
      </c>
    </row>
    <row r="2492" spans="1:20" ht="15" customHeight="1" x14ac:dyDescent="0.25">
      <c r="A2492" t="s">
        <v>19</v>
      </c>
      <c r="B2492" t="s">
        <v>20</v>
      </c>
      <c r="C2492" t="s">
        <v>305</v>
      </c>
      <c r="D2492">
        <v>3</v>
      </c>
      <c r="E2492" t="s">
        <v>190</v>
      </c>
      <c r="F2492" t="s">
        <v>373</v>
      </c>
      <c r="G2492">
        <v>10</v>
      </c>
      <c r="H2492">
        <v>1</v>
      </c>
      <c r="I2492">
        <f>G2492+H2492</f>
        <v>11</v>
      </c>
      <c r="J2492">
        <f>100-G2492-H2492</f>
        <v>89</v>
      </c>
      <c r="K2492" t="s">
        <v>19</v>
      </c>
      <c r="L2492" t="s">
        <v>19</v>
      </c>
      <c r="M2492" t="s">
        <v>19</v>
      </c>
      <c r="N2492" t="s">
        <v>19</v>
      </c>
      <c r="O2492" t="s">
        <v>19</v>
      </c>
      <c r="P2492" t="s">
        <v>19</v>
      </c>
      <c r="Q2492">
        <f t="shared" si="30"/>
        <v>11</v>
      </c>
      <c r="R2492" t="s">
        <v>19</v>
      </c>
      <c r="S2492" t="s">
        <v>19</v>
      </c>
      <c r="T2492" t="s">
        <v>19</v>
      </c>
    </row>
    <row r="2493" spans="1:20" ht="15" customHeight="1" x14ac:dyDescent="0.25">
      <c r="A2493" t="s">
        <v>19</v>
      </c>
      <c r="B2493" t="s">
        <v>20</v>
      </c>
      <c r="C2493" t="s">
        <v>307</v>
      </c>
      <c r="D2493">
        <v>3</v>
      </c>
      <c r="E2493" t="s">
        <v>190</v>
      </c>
      <c r="F2493" t="s">
        <v>373</v>
      </c>
      <c r="G2493">
        <v>2</v>
      </c>
      <c r="H2493">
        <v>0</v>
      </c>
      <c r="I2493">
        <f>G2493+H2493</f>
        <v>2</v>
      </c>
      <c r="J2493">
        <f>100-G2493-H2493</f>
        <v>98</v>
      </c>
      <c r="K2493" t="s">
        <v>19</v>
      </c>
      <c r="L2493" t="s">
        <v>19</v>
      </c>
      <c r="M2493" t="s">
        <v>19</v>
      </c>
      <c r="N2493" t="s">
        <v>19</v>
      </c>
      <c r="O2493" t="s">
        <v>19</v>
      </c>
      <c r="P2493" t="s">
        <v>19</v>
      </c>
      <c r="Q2493">
        <f t="shared" si="30"/>
        <v>2</v>
      </c>
      <c r="R2493" t="s">
        <v>19</v>
      </c>
      <c r="S2493" t="s">
        <v>19</v>
      </c>
      <c r="T2493" t="s">
        <v>19</v>
      </c>
    </row>
    <row r="2494" spans="1:20" ht="15" customHeight="1" x14ac:dyDescent="0.25">
      <c r="A2494" s="2">
        <v>45253.799305555556</v>
      </c>
      <c r="B2494" t="s">
        <v>309</v>
      </c>
      <c r="C2494" t="s">
        <v>213</v>
      </c>
      <c r="D2494">
        <v>3</v>
      </c>
      <c r="E2494" t="s">
        <v>190</v>
      </c>
      <c r="F2494" t="s">
        <v>373</v>
      </c>
      <c r="G2494">
        <v>4.2488619119999997</v>
      </c>
      <c r="H2494">
        <v>0.45523520499999998</v>
      </c>
      <c r="I2494">
        <v>4.7040971169999999</v>
      </c>
      <c r="J2494">
        <v>95.29590288</v>
      </c>
      <c r="K2494">
        <v>0.8</v>
      </c>
      <c r="L2494">
        <v>0.2</v>
      </c>
      <c r="M2494">
        <v>0.7</v>
      </c>
      <c r="N2494">
        <v>628</v>
      </c>
      <c r="O2494">
        <v>28</v>
      </c>
      <c r="P2494">
        <v>3</v>
      </c>
      <c r="Q2494">
        <v>4.7</v>
      </c>
      <c r="R2494" t="s">
        <v>236</v>
      </c>
      <c r="S2494">
        <v>2.77</v>
      </c>
      <c r="T2494">
        <v>3.11</v>
      </c>
    </row>
    <row r="2495" spans="1:20" ht="15" customHeight="1" x14ac:dyDescent="0.25">
      <c r="A2495" s="2">
        <v>45253.97152777778</v>
      </c>
      <c r="B2495" t="s">
        <v>309</v>
      </c>
      <c r="C2495" t="s">
        <v>215</v>
      </c>
      <c r="D2495">
        <v>2</v>
      </c>
      <c r="E2495" t="s">
        <v>190</v>
      </c>
      <c r="F2495" t="s">
        <v>373</v>
      </c>
      <c r="G2495">
        <v>9.9688473519999992</v>
      </c>
      <c r="H2495">
        <v>0</v>
      </c>
      <c r="I2495">
        <v>9.9688473519999992</v>
      </c>
      <c r="J2495">
        <v>90.031152649999996</v>
      </c>
      <c r="K2495">
        <v>0.8</v>
      </c>
      <c r="L2495">
        <v>0.2</v>
      </c>
      <c r="M2495">
        <v>0.7</v>
      </c>
      <c r="N2495">
        <v>578</v>
      </c>
      <c r="O2495">
        <v>64</v>
      </c>
      <c r="P2495">
        <v>0</v>
      </c>
      <c r="Q2495">
        <v>9.9700000000000006</v>
      </c>
      <c r="R2495" t="s">
        <v>227</v>
      </c>
      <c r="S2495">
        <v>0.34</v>
      </c>
      <c r="T2495">
        <v>0.37</v>
      </c>
    </row>
    <row r="2496" spans="1:20" ht="15" customHeight="1" x14ac:dyDescent="0.25">
      <c r="A2496" s="2">
        <v>45254.149305555555</v>
      </c>
      <c r="B2496" t="s">
        <v>309</v>
      </c>
      <c r="C2496" t="s">
        <v>217</v>
      </c>
      <c r="D2496">
        <v>2</v>
      </c>
      <c r="E2496" t="s">
        <v>190</v>
      </c>
      <c r="F2496" t="s">
        <v>373</v>
      </c>
      <c r="G2496">
        <v>18.167938929999998</v>
      </c>
      <c r="H2496">
        <v>0</v>
      </c>
      <c r="I2496">
        <v>18.167938929999998</v>
      </c>
      <c r="J2496">
        <v>81.832061069999995</v>
      </c>
      <c r="K2496">
        <v>0.8</v>
      </c>
      <c r="L2496">
        <v>0.2</v>
      </c>
      <c r="M2496">
        <v>0.7</v>
      </c>
      <c r="N2496">
        <v>536</v>
      </c>
      <c r="O2496">
        <v>119</v>
      </c>
      <c r="P2496">
        <v>0</v>
      </c>
      <c r="Q2496">
        <v>18.170000000000002</v>
      </c>
      <c r="R2496" t="s">
        <v>235</v>
      </c>
      <c r="S2496">
        <v>0.47</v>
      </c>
      <c r="T2496">
        <v>0.49</v>
      </c>
    </row>
    <row r="2497" spans="1:21" ht="15" customHeight="1" x14ac:dyDescent="0.25">
      <c r="A2497" s="2">
        <v>45316.484027777777</v>
      </c>
      <c r="B2497" t="s">
        <v>309</v>
      </c>
      <c r="C2497" t="s">
        <v>219</v>
      </c>
      <c r="D2497">
        <v>3</v>
      </c>
      <c r="E2497" t="s">
        <v>190</v>
      </c>
      <c r="F2497" t="s">
        <v>373</v>
      </c>
      <c r="G2497">
        <v>1.2158054709999999</v>
      </c>
      <c r="H2497">
        <v>0.75987841899999997</v>
      </c>
      <c r="I2497">
        <v>1.9756838910000001</v>
      </c>
      <c r="J2497">
        <v>98.024316110000001</v>
      </c>
      <c r="K2497">
        <v>0.8</v>
      </c>
      <c r="L2497">
        <v>0.2</v>
      </c>
      <c r="M2497">
        <v>0.7</v>
      </c>
      <c r="N2497">
        <v>645</v>
      </c>
      <c r="O2497">
        <v>8</v>
      </c>
      <c r="P2497">
        <v>5</v>
      </c>
      <c r="Q2497">
        <v>1.98</v>
      </c>
      <c r="R2497" t="s">
        <v>229</v>
      </c>
      <c r="S2497">
        <v>3.03</v>
      </c>
      <c r="T2497">
        <v>4.1100000000000003</v>
      </c>
    </row>
    <row r="2498" spans="1:21" ht="15" customHeight="1" x14ac:dyDescent="0.25">
      <c r="A2498" s="2">
        <v>45321.011805555558</v>
      </c>
      <c r="B2498" t="s">
        <v>309</v>
      </c>
      <c r="C2498" t="s">
        <v>221</v>
      </c>
      <c r="D2498">
        <v>2</v>
      </c>
      <c r="E2498" t="s">
        <v>190</v>
      </c>
      <c r="F2498" t="s">
        <v>373</v>
      </c>
      <c r="G2498">
        <v>11.72932331</v>
      </c>
      <c r="H2498">
        <v>0</v>
      </c>
      <c r="I2498">
        <v>11.72932331</v>
      </c>
      <c r="J2498">
        <v>88.270676690000002</v>
      </c>
      <c r="K2498">
        <v>0.8</v>
      </c>
      <c r="L2498">
        <v>0.3</v>
      </c>
      <c r="M2498">
        <v>0.7</v>
      </c>
      <c r="N2498">
        <v>587</v>
      </c>
      <c r="O2498">
        <v>78</v>
      </c>
      <c r="P2498">
        <v>0</v>
      </c>
      <c r="Q2498">
        <v>11.73</v>
      </c>
      <c r="R2498" t="s">
        <v>228</v>
      </c>
      <c r="S2498">
        <v>0.38</v>
      </c>
      <c r="T2498">
        <v>0.41</v>
      </c>
    </row>
    <row r="2499" spans="1:21" ht="15" customHeight="1" x14ac:dyDescent="0.25">
      <c r="A2499" t="s">
        <v>19</v>
      </c>
      <c r="B2499" t="s">
        <v>20</v>
      </c>
      <c r="C2499" t="s">
        <v>320</v>
      </c>
      <c r="D2499">
        <v>3</v>
      </c>
      <c r="E2499" t="s">
        <v>190</v>
      </c>
      <c r="F2499" t="s">
        <v>373</v>
      </c>
      <c r="G2499">
        <v>0</v>
      </c>
      <c r="H2499">
        <v>0</v>
      </c>
      <c r="I2499">
        <f>100-J2499</f>
        <v>0</v>
      </c>
      <c r="J2499">
        <f>100-G2499-H2499</f>
        <v>100</v>
      </c>
      <c r="K2499" t="s">
        <v>19</v>
      </c>
      <c r="L2499" t="s">
        <v>19</v>
      </c>
      <c r="M2499" t="s">
        <v>19</v>
      </c>
      <c r="N2499" t="s">
        <v>19</v>
      </c>
      <c r="O2499" t="s">
        <v>19</v>
      </c>
      <c r="P2499" t="s">
        <v>19</v>
      </c>
      <c r="Q2499">
        <f>I2499</f>
        <v>0</v>
      </c>
      <c r="R2499" t="s">
        <v>19</v>
      </c>
      <c r="S2499" t="s">
        <v>19</v>
      </c>
      <c r="T2499" t="s">
        <v>19</v>
      </c>
    </row>
    <row r="2500" spans="1:21" ht="15" customHeight="1" x14ac:dyDescent="0.25">
      <c r="A2500" s="2">
        <v>45323.650891203702</v>
      </c>
      <c r="B2500" t="s">
        <v>309</v>
      </c>
      <c r="C2500" t="s">
        <v>322</v>
      </c>
      <c r="D2500">
        <v>3</v>
      </c>
      <c r="E2500" t="s">
        <v>190</v>
      </c>
      <c r="F2500" t="s">
        <v>373</v>
      </c>
      <c r="G2500">
        <f>(O2500/(N2500+O2500+P2500))*100</f>
        <v>13.011695906432749</v>
      </c>
      <c r="H2500">
        <f>(P2500/(O2500+P2500+N2500))*100</f>
        <v>0.14619883040935672</v>
      </c>
      <c r="I2500">
        <f>((O2500+P2500)/(P2500+O2500+N2500))*100</f>
        <v>13.157894736842104</v>
      </c>
      <c r="J2500">
        <f>(N2500/(P2500+O2500+N2500))*100</f>
        <v>86.842105263157904</v>
      </c>
      <c r="K2500">
        <v>0.8</v>
      </c>
      <c r="L2500">
        <v>0.3</v>
      </c>
      <c r="M2500">
        <v>0.7</v>
      </c>
      <c r="N2500">
        <v>594</v>
      </c>
      <c r="O2500">
        <v>89</v>
      </c>
      <c r="P2500">
        <v>1</v>
      </c>
      <c r="Q2500">
        <v>13.16</v>
      </c>
      <c r="R2500" t="s">
        <v>288</v>
      </c>
      <c r="S2500">
        <v>2.46</v>
      </c>
      <c r="T2500">
        <v>2.89</v>
      </c>
      <c r="U2500">
        <v>57</v>
      </c>
    </row>
    <row r="2501" spans="1:21" ht="15" customHeight="1" x14ac:dyDescent="0.25">
      <c r="A2501" s="2">
        <v>45323.6565162037</v>
      </c>
      <c r="B2501" t="s">
        <v>309</v>
      </c>
      <c r="C2501" t="s">
        <v>322</v>
      </c>
      <c r="D2501">
        <v>3</v>
      </c>
      <c r="E2501" t="s">
        <v>190</v>
      </c>
      <c r="F2501" t="s">
        <v>373</v>
      </c>
      <c r="G2501">
        <f>(O2501/(N2501+O2501+P2501))*100</f>
        <v>14.756446991404012</v>
      </c>
      <c r="H2501">
        <f>(P2501/(O2501+P2501+N2501))*100</f>
        <v>0.14326647564469913</v>
      </c>
      <c r="I2501">
        <f>((O2501+P2501)/(P2501+O2501+N2501))*100</f>
        <v>14.899713467048711</v>
      </c>
      <c r="J2501">
        <f>(N2501/(P2501+O2501+N2501))*100</f>
        <v>85.100286532951287</v>
      </c>
      <c r="K2501">
        <v>0.7</v>
      </c>
      <c r="L2501">
        <v>0.3</v>
      </c>
      <c r="M2501">
        <v>0.7</v>
      </c>
      <c r="N2501">
        <v>594</v>
      </c>
      <c r="O2501">
        <v>103</v>
      </c>
      <c r="P2501">
        <v>1</v>
      </c>
      <c r="Q2501">
        <v>14.9</v>
      </c>
      <c r="R2501" t="s">
        <v>342</v>
      </c>
      <c r="S2501">
        <v>2.46</v>
      </c>
      <c r="T2501">
        <v>2.89</v>
      </c>
      <c r="U2501">
        <v>43</v>
      </c>
    </row>
    <row r="2502" spans="1:21" ht="15" customHeight="1" x14ac:dyDescent="0.25">
      <c r="A2502" s="2">
        <v>45325.210023148145</v>
      </c>
      <c r="B2502" t="s">
        <v>309</v>
      </c>
      <c r="C2502" t="s">
        <v>368</v>
      </c>
      <c r="D2502">
        <v>2</v>
      </c>
      <c r="E2502" t="s">
        <v>190</v>
      </c>
      <c r="F2502" t="s">
        <v>373</v>
      </c>
      <c r="G2502">
        <f>(O2502/(N2502+O2502+P2502))*100</f>
        <v>9.2724679029957215</v>
      </c>
      <c r="H2502">
        <f>(P2502/(O2502+P2502+N2502))*100</f>
        <v>0</v>
      </c>
      <c r="I2502">
        <v>9.27</v>
      </c>
      <c r="J2502">
        <f>(N2502/(P2502+O2502+N2502))*100</f>
        <v>90.727532097004286</v>
      </c>
      <c r="K2502">
        <v>0.8</v>
      </c>
      <c r="L2502">
        <v>0.3</v>
      </c>
      <c r="M2502">
        <v>0.7</v>
      </c>
      <c r="N2502">
        <v>636</v>
      </c>
      <c r="O2502">
        <v>65</v>
      </c>
      <c r="P2502">
        <v>0</v>
      </c>
      <c r="Q2502">
        <v>9.27</v>
      </c>
      <c r="R2502" t="s">
        <v>285</v>
      </c>
      <c r="S2502">
        <v>0.3</v>
      </c>
      <c r="T2502">
        <v>0.32</v>
      </c>
    </row>
    <row r="2503" spans="1:21" ht="15" customHeight="1" x14ac:dyDescent="0.25">
      <c r="A2503" t="s">
        <v>19</v>
      </c>
      <c r="B2503" t="s">
        <v>20</v>
      </c>
      <c r="C2503" t="s">
        <v>308</v>
      </c>
      <c r="D2503">
        <v>3</v>
      </c>
      <c r="E2503" t="s">
        <v>191</v>
      </c>
      <c r="F2503" t="s">
        <v>388</v>
      </c>
      <c r="G2503">
        <v>10</v>
      </c>
      <c r="H2503">
        <v>3</v>
      </c>
      <c r="I2503">
        <f>G2503+H2503</f>
        <v>13</v>
      </c>
      <c r="J2503">
        <f>100-G2503-H2503</f>
        <v>87</v>
      </c>
      <c r="K2503" t="s">
        <v>19</v>
      </c>
      <c r="L2503" t="s">
        <v>19</v>
      </c>
      <c r="M2503" t="s">
        <v>19</v>
      </c>
      <c r="N2503" t="s">
        <v>19</v>
      </c>
      <c r="O2503" t="s">
        <v>19</v>
      </c>
      <c r="P2503" t="s">
        <v>19</v>
      </c>
      <c r="Q2503">
        <f>I2503</f>
        <v>13</v>
      </c>
      <c r="R2503" t="s">
        <v>19</v>
      </c>
      <c r="S2503" t="s">
        <v>19</v>
      </c>
      <c r="T2503" t="s">
        <v>19</v>
      </c>
    </row>
    <row r="2504" spans="1:21" ht="15" customHeight="1" x14ac:dyDescent="0.25">
      <c r="A2504" t="s">
        <v>19</v>
      </c>
      <c r="B2504" t="s">
        <v>20</v>
      </c>
      <c r="C2504" t="s">
        <v>22</v>
      </c>
      <c r="D2504">
        <v>3</v>
      </c>
      <c r="E2504" t="s">
        <v>191</v>
      </c>
      <c r="F2504" t="s">
        <v>388</v>
      </c>
      <c r="G2504">
        <v>8</v>
      </c>
      <c r="H2504">
        <v>2</v>
      </c>
      <c r="I2504">
        <f>G2504+H2504</f>
        <v>10</v>
      </c>
      <c r="J2504">
        <f>100-G2504-H2504</f>
        <v>90</v>
      </c>
      <c r="K2504" t="s">
        <v>19</v>
      </c>
      <c r="L2504" t="s">
        <v>19</v>
      </c>
      <c r="M2504" t="s">
        <v>19</v>
      </c>
      <c r="N2504" t="s">
        <v>19</v>
      </c>
      <c r="O2504" t="s">
        <v>19</v>
      </c>
      <c r="P2504" t="s">
        <v>19</v>
      </c>
      <c r="Q2504">
        <f>I2504</f>
        <v>10</v>
      </c>
      <c r="R2504" t="s">
        <v>19</v>
      </c>
      <c r="S2504" t="s">
        <v>19</v>
      </c>
      <c r="T2504" t="s">
        <v>19</v>
      </c>
    </row>
    <row r="2505" spans="1:21" ht="15" customHeight="1" x14ac:dyDescent="0.25">
      <c r="A2505" t="s">
        <v>19</v>
      </c>
      <c r="B2505" t="s">
        <v>20</v>
      </c>
      <c r="C2505" t="s">
        <v>305</v>
      </c>
      <c r="D2505">
        <v>3</v>
      </c>
      <c r="E2505" t="s">
        <v>191</v>
      </c>
      <c r="F2505" t="s">
        <v>388</v>
      </c>
      <c r="G2505">
        <v>15</v>
      </c>
      <c r="H2505">
        <v>5</v>
      </c>
      <c r="I2505">
        <f>G2505+H2505</f>
        <v>20</v>
      </c>
      <c r="J2505">
        <f>100-G2505-H2505</f>
        <v>80</v>
      </c>
      <c r="K2505" t="s">
        <v>19</v>
      </c>
      <c r="L2505" t="s">
        <v>19</v>
      </c>
      <c r="M2505" t="s">
        <v>19</v>
      </c>
      <c r="N2505" t="s">
        <v>19</v>
      </c>
      <c r="O2505" t="s">
        <v>19</v>
      </c>
      <c r="P2505" t="s">
        <v>19</v>
      </c>
      <c r="Q2505">
        <f>I2505</f>
        <v>20</v>
      </c>
      <c r="R2505" t="s">
        <v>19</v>
      </c>
      <c r="S2505" t="s">
        <v>19</v>
      </c>
      <c r="T2505" t="s">
        <v>19</v>
      </c>
    </row>
    <row r="2506" spans="1:21" ht="15" customHeight="1" x14ac:dyDescent="0.25">
      <c r="A2506" t="s">
        <v>19</v>
      </c>
      <c r="B2506" t="s">
        <v>20</v>
      </c>
      <c r="C2506" t="s">
        <v>307</v>
      </c>
      <c r="D2506">
        <v>3</v>
      </c>
      <c r="E2506" t="s">
        <v>191</v>
      </c>
      <c r="F2506" t="s">
        <v>388</v>
      </c>
      <c r="G2506">
        <v>5</v>
      </c>
      <c r="H2506">
        <v>3</v>
      </c>
      <c r="I2506">
        <f>G2506+H2506</f>
        <v>8</v>
      </c>
      <c r="J2506">
        <f>100-G2506-H2506</f>
        <v>92</v>
      </c>
      <c r="K2506" t="s">
        <v>19</v>
      </c>
      <c r="L2506" t="s">
        <v>19</v>
      </c>
      <c r="M2506" t="s">
        <v>19</v>
      </c>
      <c r="N2506" t="s">
        <v>19</v>
      </c>
      <c r="O2506" t="s">
        <v>19</v>
      </c>
      <c r="P2506" t="s">
        <v>19</v>
      </c>
      <c r="Q2506">
        <f>I2506</f>
        <v>8</v>
      </c>
      <c r="R2506" t="s">
        <v>19</v>
      </c>
      <c r="S2506" t="s">
        <v>19</v>
      </c>
      <c r="T2506" t="s">
        <v>19</v>
      </c>
    </row>
    <row r="2507" spans="1:21" ht="15" customHeight="1" x14ac:dyDescent="0.25">
      <c r="A2507" s="2">
        <v>45253.64166666667</v>
      </c>
      <c r="B2507" t="s">
        <v>309</v>
      </c>
      <c r="C2507" t="s">
        <v>213</v>
      </c>
      <c r="D2507">
        <v>3</v>
      </c>
      <c r="E2507" t="s">
        <v>191</v>
      </c>
      <c r="F2507" t="s">
        <v>388</v>
      </c>
      <c r="G2507">
        <v>12.80788177</v>
      </c>
      <c r="H2507">
        <v>5.4187192120000001</v>
      </c>
      <c r="I2507">
        <v>18.226600990000001</v>
      </c>
      <c r="J2507">
        <v>81.773399010000006</v>
      </c>
      <c r="K2507">
        <v>0.8</v>
      </c>
      <c r="L2507">
        <v>0.2</v>
      </c>
      <c r="M2507">
        <v>0.7</v>
      </c>
      <c r="N2507">
        <v>498</v>
      </c>
      <c r="O2507">
        <v>78</v>
      </c>
      <c r="P2507">
        <v>33</v>
      </c>
      <c r="Q2507">
        <v>18.23</v>
      </c>
      <c r="R2507" t="s">
        <v>255</v>
      </c>
      <c r="S2507">
        <v>2.75</v>
      </c>
      <c r="T2507">
        <v>3.05</v>
      </c>
    </row>
    <row r="2508" spans="1:21" ht="15" customHeight="1" x14ac:dyDescent="0.25">
      <c r="A2508" s="2">
        <v>45253.888194444444</v>
      </c>
      <c r="B2508" t="s">
        <v>309</v>
      </c>
      <c r="C2508" t="s">
        <v>215</v>
      </c>
      <c r="D2508">
        <v>2</v>
      </c>
      <c r="E2508" t="s">
        <v>191</v>
      </c>
      <c r="F2508" t="s">
        <v>388</v>
      </c>
      <c r="G2508">
        <v>26.268656719999999</v>
      </c>
      <c r="H2508">
        <v>0</v>
      </c>
      <c r="I2508">
        <v>26.268656719999999</v>
      </c>
      <c r="J2508">
        <v>73.731343280000004</v>
      </c>
      <c r="K2508">
        <v>0.8</v>
      </c>
      <c r="L2508">
        <v>0.2</v>
      </c>
      <c r="M2508">
        <v>0.7</v>
      </c>
      <c r="N2508">
        <v>494</v>
      </c>
      <c r="O2508">
        <v>176</v>
      </c>
      <c r="P2508">
        <v>0</v>
      </c>
      <c r="Q2508">
        <v>26.27</v>
      </c>
      <c r="R2508" t="s">
        <v>226</v>
      </c>
      <c r="S2508">
        <v>0.61</v>
      </c>
      <c r="T2508">
        <v>0.66</v>
      </c>
    </row>
    <row r="2509" spans="1:21" ht="15" customHeight="1" x14ac:dyDescent="0.25">
      <c r="A2509" s="2">
        <v>45254.059027777781</v>
      </c>
      <c r="B2509" t="s">
        <v>309</v>
      </c>
      <c r="C2509" t="s">
        <v>217</v>
      </c>
      <c r="D2509">
        <v>2</v>
      </c>
      <c r="E2509" t="s">
        <v>191</v>
      </c>
      <c r="F2509" t="s">
        <v>388</v>
      </c>
      <c r="G2509">
        <v>27.9389313</v>
      </c>
      <c r="H2509">
        <v>0</v>
      </c>
      <c r="I2509">
        <v>27.9389313</v>
      </c>
      <c r="J2509">
        <v>72.061068700000007</v>
      </c>
      <c r="K2509">
        <v>0.8</v>
      </c>
      <c r="L2509">
        <v>0.2</v>
      </c>
      <c r="M2509">
        <v>0.7</v>
      </c>
      <c r="N2509">
        <v>472</v>
      </c>
      <c r="O2509">
        <v>183</v>
      </c>
      <c r="P2509">
        <v>0</v>
      </c>
      <c r="Q2509">
        <v>27.94</v>
      </c>
      <c r="R2509" t="s">
        <v>229</v>
      </c>
      <c r="S2509">
        <v>0.69</v>
      </c>
      <c r="T2509">
        <v>0.72</v>
      </c>
    </row>
    <row r="2510" spans="1:21" ht="15" customHeight="1" x14ac:dyDescent="0.25">
      <c r="A2510" s="2">
        <v>45316.568055555559</v>
      </c>
      <c r="B2510" t="s">
        <v>309</v>
      </c>
      <c r="C2510" t="s">
        <v>219</v>
      </c>
      <c r="D2510">
        <v>3</v>
      </c>
      <c r="E2510" t="s">
        <v>191</v>
      </c>
      <c r="F2510" t="s">
        <v>388</v>
      </c>
      <c r="G2510">
        <v>4.0178571429999996</v>
      </c>
      <c r="H2510">
        <v>4.4642857139999998</v>
      </c>
      <c r="I2510">
        <v>8.4821428569999995</v>
      </c>
      <c r="J2510">
        <v>91.517857140000004</v>
      </c>
      <c r="K2510">
        <v>0.8</v>
      </c>
      <c r="L2510">
        <v>0.2</v>
      </c>
      <c r="M2510">
        <v>0.7</v>
      </c>
      <c r="N2510">
        <v>410</v>
      </c>
      <c r="O2510">
        <v>18</v>
      </c>
      <c r="P2510">
        <v>20</v>
      </c>
      <c r="Q2510">
        <v>8.48</v>
      </c>
      <c r="R2510" t="s">
        <v>218</v>
      </c>
      <c r="S2510">
        <v>3.21</v>
      </c>
      <c r="T2510">
        <v>4.47</v>
      </c>
    </row>
    <row r="2511" spans="1:21" ht="15" customHeight="1" x14ac:dyDescent="0.25">
      <c r="A2511" s="2">
        <v>45320.913888888892</v>
      </c>
      <c r="B2511" t="s">
        <v>309</v>
      </c>
      <c r="C2511" t="s">
        <v>221</v>
      </c>
      <c r="D2511">
        <v>2</v>
      </c>
      <c r="E2511" t="s">
        <v>191</v>
      </c>
      <c r="F2511" t="s">
        <v>388</v>
      </c>
      <c r="G2511">
        <v>21.98347107</v>
      </c>
      <c r="H2511">
        <v>0</v>
      </c>
      <c r="I2511">
        <v>21.98347107</v>
      </c>
      <c r="J2511">
        <v>78.016528930000007</v>
      </c>
      <c r="K2511">
        <v>0.8</v>
      </c>
      <c r="L2511">
        <v>0.3</v>
      </c>
      <c r="M2511">
        <v>0.7</v>
      </c>
      <c r="N2511">
        <v>472</v>
      </c>
      <c r="O2511">
        <v>133</v>
      </c>
      <c r="P2511">
        <v>0</v>
      </c>
      <c r="Q2511">
        <v>21.98</v>
      </c>
      <c r="R2511" t="s">
        <v>254</v>
      </c>
      <c r="S2511">
        <v>0.67</v>
      </c>
      <c r="T2511">
        <v>0.74</v>
      </c>
    </row>
    <row r="2512" spans="1:21" ht="15" customHeight="1" x14ac:dyDescent="0.25">
      <c r="A2512" t="s">
        <v>19</v>
      </c>
      <c r="B2512" t="s">
        <v>20</v>
      </c>
      <c r="C2512" t="s">
        <v>306</v>
      </c>
      <c r="D2512">
        <v>3</v>
      </c>
      <c r="E2512" t="s">
        <v>191</v>
      </c>
      <c r="F2512" t="s">
        <v>388</v>
      </c>
      <c r="G2512">
        <v>30</v>
      </c>
      <c r="H2512">
        <v>6</v>
      </c>
      <c r="I2512">
        <f>G2512+H2512</f>
        <v>36</v>
      </c>
      <c r="J2512">
        <f>100-G2512-H2512</f>
        <v>64</v>
      </c>
      <c r="K2512" t="s">
        <v>19</v>
      </c>
      <c r="L2512" t="s">
        <v>19</v>
      </c>
      <c r="M2512" t="s">
        <v>19</v>
      </c>
      <c r="N2512" t="s">
        <v>19</v>
      </c>
      <c r="O2512" t="s">
        <v>19</v>
      </c>
      <c r="P2512" t="s">
        <v>19</v>
      </c>
      <c r="Q2512">
        <f>I2512</f>
        <v>36</v>
      </c>
      <c r="R2512" t="s">
        <v>19</v>
      </c>
      <c r="S2512" t="s">
        <v>19</v>
      </c>
      <c r="T2512" t="s">
        <v>19</v>
      </c>
    </row>
    <row r="2513" spans="1:21" ht="15" customHeight="1" x14ac:dyDescent="0.25">
      <c r="A2513" t="s">
        <v>19</v>
      </c>
      <c r="B2513" t="s">
        <v>20</v>
      </c>
      <c r="C2513" t="s">
        <v>320</v>
      </c>
      <c r="D2513">
        <v>3</v>
      </c>
      <c r="E2513" t="s">
        <v>191</v>
      </c>
      <c r="F2513" t="s">
        <v>388</v>
      </c>
      <c r="G2513">
        <v>5</v>
      </c>
      <c r="H2513">
        <v>15</v>
      </c>
      <c r="I2513">
        <f>100-J2513</f>
        <v>20</v>
      </c>
      <c r="J2513">
        <f>100-G2513-H2513</f>
        <v>80</v>
      </c>
      <c r="K2513" t="s">
        <v>19</v>
      </c>
      <c r="L2513" t="s">
        <v>19</v>
      </c>
      <c r="M2513" t="s">
        <v>19</v>
      </c>
      <c r="N2513" t="s">
        <v>19</v>
      </c>
      <c r="O2513" t="s">
        <v>19</v>
      </c>
      <c r="P2513" t="s">
        <v>19</v>
      </c>
      <c r="Q2513">
        <f>I2513</f>
        <v>20</v>
      </c>
      <c r="R2513" t="s">
        <v>19</v>
      </c>
      <c r="S2513" t="s">
        <v>19</v>
      </c>
      <c r="T2513" t="s">
        <v>19</v>
      </c>
    </row>
    <row r="2514" spans="1:21" ht="15" customHeight="1" x14ac:dyDescent="0.25">
      <c r="A2514" s="2">
        <v>45323.654849537037</v>
      </c>
      <c r="B2514" t="s">
        <v>309</v>
      </c>
      <c r="C2514" t="s">
        <v>322</v>
      </c>
      <c r="D2514">
        <v>3</v>
      </c>
      <c r="E2514" t="s">
        <v>191</v>
      </c>
      <c r="F2514" t="s">
        <v>388</v>
      </c>
      <c r="G2514">
        <f>(O2514/(N2514+O2514+P2514))*100</f>
        <v>16.309719934102141</v>
      </c>
      <c r="H2514">
        <f>(P2514/(O2514+P2514+N2514))*100</f>
        <v>2.9654036243822075</v>
      </c>
      <c r="I2514">
        <v>19.28</v>
      </c>
      <c r="J2514">
        <f>(N2514/(P2514+O2514+N2514))*100</f>
        <v>80.724876441515647</v>
      </c>
      <c r="K2514">
        <v>0.8</v>
      </c>
      <c r="L2514">
        <v>0.3</v>
      </c>
      <c r="M2514">
        <v>0.7</v>
      </c>
      <c r="N2514">
        <v>490</v>
      </c>
      <c r="O2514">
        <v>99</v>
      </c>
      <c r="P2514">
        <v>18</v>
      </c>
      <c r="Q2514">
        <v>19.28</v>
      </c>
      <c r="R2514" t="s">
        <v>234</v>
      </c>
      <c r="S2514">
        <v>2.46</v>
      </c>
      <c r="T2514">
        <v>3.11</v>
      </c>
      <c r="U2514">
        <v>76</v>
      </c>
    </row>
    <row r="2515" spans="1:21" ht="15" customHeight="1" x14ac:dyDescent="0.25">
      <c r="A2515" s="2">
        <v>45323.649953703702</v>
      </c>
      <c r="B2515" t="s">
        <v>309</v>
      </c>
      <c r="C2515" t="s">
        <v>322</v>
      </c>
      <c r="D2515">
        <v>3</v>
      </c>
      <c r="E2515" t="s">
        <v>191</v>
      </c>
      <c r="F2515" t="s">
        <v>388</v>
      </c>
      <c r="G2515">
        <f>(O2515/(N2515+O2515+P2515))*100</f>
        <v>18.459069020866771</v>
      </c>
      <c r="H2515">
        <f>(P2515/(O2515+P2515+N2515))*100</f>
        <v>3.0497592295345104</v>
      </c>
      <c r="I2515">
        <v>21.51</v>
      </c>
      <c r="J2515">
        <f>(N2515/(P2515+O2515+N2515))*100</f>
        <v>78.49117174959872</v>
      </c>
      <c r="K2515">
        <v>0.7</v>
      </c>
      <c r="L2515">
        <v>0.3</v>
      </c>
      <c r="M2515">
        <v>0.7</v>
      </c>
      <c r="N2515">
        <v>489</v>
      </c>
      <c r="O2515">
        <v>115</v>
      </c>
      <c r="P2515">
        <v>19</v>
      </c>
      <c r="Q2515">
        <v>21.51</v>
      </c>
      <c r="R2515" t="s">
        <v>234</v>
      </c>
      <c r="S2515">
        <v>2.46</v>
      </c>
      <c r="T2515">
        <v>3.11</v>
      </c>
      <c r="U2515">
        <v>60</v>
      </c>
    </row>
    <row r="2516" spans="1:21" ht="15" customHeight="1" x14ac:dyDescent="0.25">
      <c r="A2516" s="2">
        <v>45325.06554398148</v>
      </c>
      <c r="B2516" t="s">
        <v>309</v>
      </c>
      <c r="C2516" t="s">
        <v>368</v>
      </c>
      <c r="D2516">
        <v>2</v>
      </c>
      <c r="E2516" t="s">
        <v>191</v>
      </c>
      <c r="F2516" t="s">
        <v>388</v>
      </c>
      <c r="G2516">
        <f>(O2516/(N2516+O2516+P2516))*100</f>
        <v>22.712418300653596</v>
      </c>
      <c r="H2516">
        <f>(P2516/(O2516+P2516+N2516))*100</f>
        <v>0</v>
      </c>
      <c r="I2516">
        <v>22.71</v>
      </c>
      <c r="J2516">
        <f>(N2516/(P2516+O2516+N2516))*100</f>
        <v>77.287581699346404</v>
      </c>
      <c r="K2516">
        <v>0.8</v>
      </c>
      <c r="L2516">
        <v>0.3</v>
      </c>
      <c r="M2516">
        <v>0.7</v>
      </c>
      <c r="N2516">
        <v>473</v>
      </c>
      <c r="O2516">
        <v>139</v>
      </c>
      <c r="P2516">
        <v>0</v>
      </c>
      <c r="Q2516">
        <v>22.71</v>
      </c>
      <c r="R2516" t="s">
        <v>359</v>
      </c>
      <c r="S2516">
        <v>0.62</v>
      </c>
      <c r="T2516">
        <v>0.67</v>
      </c>
    </row>
    <row r="2517" spans="1:21" ht="15" customHeight="1" x14ac:dyDescent="0.25">
      <c r="A2517" t="s">
        <v>19</v>
      </c>
      <c r="B2517" t="s">
        <v>20</v>
      </c>
      <c r="C2517" t="s">
        <v>308</v>
      </c>
      <c r="D2517">
        <v>3</v>
      </c>
      <c r="E2517" t="s">
        <v>192</v>
      </c>
      <c r="F2517" t="s">
        <v>388</v>
      </c>
      <c r="G2517">
        <v>45</v>
      </c>
      <c r="H2517">
        <v>25</v>
      </c>
      <c r="I2517">
        <f>G2517+H2517</f>
        <v>70</v>
      </c>
      <c r="J2517">
        <f>100-G2517-H2517</f>
        <v>30</v>
      </c>
      <c r="K2517" t="s">
        <v>19</v>
      </c>
      <c r="L2517" t="s">
        <v>19</v>
      </c>
      <c r="M2517" t="s">
        <v>19</v>
      </c>
      <c r="N2517" t="s">
        <v>19</v>
      </c>
      <c r="O2517" t="s">
        <v>19</v>
      </c>
      <c r="P2517" t="s">
        <v>19</v>
      </c>
      <c r="Q2517">
        <f>I2517</f>
        <v>70</v>
      </c>
      <c r="R2517" t="s">
        <v>19</v>
      </c>
      <c r="S2517" t="s">
        <v>19</v>
      </c>
      <c r="T2517" t="s">
        <v>19</v>
      </c>
    </row>
    <row r="2518" spans="1:21" ht="15" customHeight="1" x14ac:dyDescent="0.25">
      <c r="A2518" t="s">
        <v>19</v>
      </c>
      <c r="B2518" t="s">
        <v>20</v>
      </c>
      <c r="C2518" t="s">
        <v>22</v>
      </c>
      <c r="D2518">
        <v>3</v>
      </c>
      <c r="E2518" t="s">
        <v>192</v>
      </c>
      <c r="F2518" t="s">
        <v>388</v>
      </c>
      <c r="G2518">
        <v>30</v>
      </c>
      <c r="H2518">
        <v>25</v>
      </c>
      <c r="I2518">
        <f>G2518+H2518</f>
        <v>55</v>
      </c>
      <c r="J2518">
        <f>100-G2518-H2518</f>
        <v>45</v>
      </c>
      <c r="K2518" t="s">
        <v>19</v>
      </c>
      <c r="L2518" t="s">
        <v>19</v>
      </c>
      <c r="M2518" t="s">
        <v>19</v>
      </c>
      <c r="N2518" t="s">
        <v>19</v>
      </c>
      <c r="O2518" t="s">
        <v>19</v>
      </c>
      <c r="P2518" t="s">
        <v>19</v>
      </c>
      <c r="Q2518">
        <f>I2518</f>
        <v>55</v>
      </c>
      <c r="R2518" t="s">
        <v>19</v>
      </c>
      <c r="S2518" t="s">
        <v>19</v>
      </c>
      <c r="T2518" t="s">
        <v>19</v>
      </c>
    </row>
    <row r="2519" spans="1:21" ht="15" customHeight="1" x14ac:dyDescent="0.25">
      <c r="A2519" t="s">
        <v>19</v>
      </c>
      <c r="B2519" t="s">
        <v>20</v>
      </c>
      <c r="C2519" t="s">
        <v>305</v>
      </c>
      <c r="D2519">
        <v>3</v>
      </c>
      <c r="E2519" t="s">
        <v>192</v>
      </c>
      <c r="F2519" t="s">
        <v>388</v>
      </c>
      <c r="G2519">
        <v>35</v>
      </c>
      <c r="H2519">
        <v>15</v>
      </c>
      <c r="I2519">
        <f>G2519+H2519</f>
        <v>50</v>
      </c>
      <c r="J2519">
        <f>100-G2519-H2519</f>
        <v>50</v>
      </c>
      <c r="K2519" t="s">
        <v>19</v>
      </c>
      <c r="L2519" t="s">
        <v>19</v>
      </c>
      <c r="M2519" t="s">
        <v>19</v>
      </c>
      <c r="N2519" t="s">
        <v>19</v>
      </c>
      <c r="O2519" t="s">
        <v>19</v>
      </c>
      <c r="P2519" t="s">
        <v>19</v>
      </c>
      <c r="Q2519">
        <f>I2519</f>
        <v>50</v>
      </c>
      <c r="R2519" t="s">
        <v>19</v>
      </c>
      <c r="S2519" t="s">
        <v>19</v>
      </c>
      <c r="T2519" t="s">
        <v>19</v>
      </c>
    </row>
    <row r="2520" spans="1:21" ht="15" customHeight="1" x14ac:dyDescent="0.25">
      <c r="A2520" t="s">
        <v>19</v>
      </c>
      <c r="B2520" t="s">
        <v>20</v>
      </c>
      <c r="C2520" t="s">
        <v>307</v>
      </c>
      <c r="D2520">
        <v>3</v>
      </c>
      <c r="E2520" t="s">
        <v>192</v>
      </c>
      <c r="F2520" t="s">
        <v>388</v>
      </c>
      <c r="G2520">
        <v>40</v>
      </c>
      <c r="H2520">
        <v>10</v>
      </c>
      <c r="I2520">
        <f>G2520+H2520</f>
        <v>50</v>
      </c>
      <c r="J2520">
        <f>100-G2520-H2520</f>
        <v>50</v>
      </c>
      <c r="K2520" t="s">
        <v>19</v>
      </c>
      <c r="L2520" t="s">
        <v>19</v>
      </c>
      <c r="M2520" t="s">
        <v>19</v>
      </c>
      <c r="N2520" t="s">
        <v>19</v>
      </c>
      <c r="O2520" t="s">
        <v>19</v>
      </c>
      <c r="P2520" t="s">
        <v>19</v>
      </c>
      <c r="Q2520">
        <f>I2520</f>
        <v>50</v>
      </c>
      <c r="R2520" t="s">
        <v>19</v>
      </c>
      <c r="S2520" t="s">
        <v>19</v>
      </c>
      <c r="T2520" t="s">
        <v>19</v>
      </c>
    </row>
    <row r="2521" spans="1:21" ht="15" customHeight="1" x14ac:dyDescent="0.25">
      <c r="A2521" s="2">
        <v>45253.643055555556</v>
      </c>
      <c r="B2521" t="s">
        <v>309</v>
      </c>
      <c r="C2521" t="s">
        <v>213</v>
      </c>
      <c r="D2521">
        <v>3</v>
      </c>
      <c r="E2521" t="s">
        <v>192</v>
      </c>
      <c r="F2521" t="s">
        <v>388</v>
      </c>
      <c r="G2521">
        <v>17.196261679999999</v>
      </c>
      <c r="H2521">
        <v>33.457943929999999</v>
      </c>
      <c r="I2521">
        <v>50.654205609999998</v>
      </c>
      <c r="J2521">
        <v>49.345794390000002</v>
      </c>
      <c r="K2521">
        <v>0.8</v>
      </c>
      <c r="L2521">
        <v>0.2</v>
      </c>
      <c r="M2521">
        <v>0.7</v>
      </c>
      <c r="N2521">
        <v>264</v>
      </c>
      <c r="O2521">
        <v>92</v>
      </c>
      <c r="P2521">
        <v>179</v>
      </c>
      <c r="Q2521">
        <v>50.65</v>
      </c>
      <c r="R2521" t="s">
        <v>245</v>
      </c>
      <c r="S2521">
        <v>2.75</v>
      </c>
      <c r="T2521">
        <v>3.1</v>
      </c>
    </row>
    <row r="2522" spans="1:21" ht="15" customHeight="1" x14ac:dyDescent="0.25">
      <c r="A2522" s="2">
        <v>45253.888888888891</v>
      </c>
      <c r="B2522" t="s">
        <v>309</v>
      </c>
      <c r="C2522" t="s">
        <v>215</v>
      </c>
      <c r="D2522">
        <v>2</v>
      </c>
      <c r="E2522" t="s">
        <v>192</v>
      </c>
      <c r="F2522" t="s">
        <v>388</v>
      </c>
      <c r="G2522">
        <v>42.857142860000003</v>
      </c>
      <c r="H2522">
        <v>0</v>
      </c>
      <c r="I2522">
        <v>42.857142860000003</v>
      </c>
      <c r="J2522">
        <v>57.142857139999997</v>
      </c>
      <c r="K2522">
        <v>0.8</v>
      </c>
      <c r="L2522">
        <v>0.2</v>
      </c>
      <c r="M2522">
        <v>0.7</v>
      </c>
      <c r="N2522">
        <v>352</v>
      </c>
      <c r="O2522">
        <v>264</v>
      </c>
      <c r="P2522">
        <v>0</v>
      </c>
      <c r="Q2522">
        <v>42.86</v>
      </c>
      <c r="R2522" t="s">
        <v>220</v>
      </c>
      <c r="S2522">
        <v>1.08</v>
      </c>
      <c r="T2522">
        <v>1.18</v>
      </c>
    </row>
    <row r="2523" spans="1:21" ht="15" customHeight="1" x14ac:dyDescent="0.25">
      <c r="A2523" s="2">
        <v>45254.060416666667</v>
      </c>
      <c r="B2523" t="s">
        <v>309</v>
      </c>
      <c r="C2523" t="s">
        <v>217</v>
      </c>
      <c r="D2523">
        <v>2</v>
      </c>
      <c r="E2523" t="s">
        <v>192</v>
      </c>
      <c r="F2523" t="s">
        <v>388</v>
      </c>
      <c r="G2523">
        <v>48.701298700000002</v>
      </c>
      <c r="H2523">
        <v>0</v>
      </c>
      <c r="I2523">
        <v>48.701298700000002</v>
      </c>
      <c r="J2523">
        <v>51.298701299999998</v>
      </c>
      <c r="K2523">
        <v>0.8</v>
      </c>
      <c r="L2523">
        <v>0.2</v>
      </c>
      <c r="M2523">
        <v>0.7</v>
      </c>
      <c r="N2523">
        <v>316</v>
      </c>
      <c r="O2523">
        <v>300</v>
      </c>
      <c r="P2523">
        <v>0</v>
      </c>
      <c r="Q2523">
        <v>48.7</v>
      </c>
      <c r="R2523" t="s">
        <v>237</v>
      </c>
      <c r="S2523">
        <v>1.27</v>
      </c>
      <c r="T2523">
        <v>1.36</v>
      </c>
    </row>
    <row r="2524" spans="1:21" ht="15" customHeight="1" x14ac:dyDescent="0.25">
      <c r="A2524" s="2">
        <v>45316.568749999999</v>
      </c>
      <c r="B2524" t="s">
        <v>309</v>
      </c>
      <c r="C2524" t="s">
        <v>219</v>
      </c>
      <c r="D2524">
        <v>3</v>
      </c>
      <c r="E2524" t="s">
        <v>192</v>
      </c>
      <c r="F2524" t="s">
        <v>388</v>
      </c>
      <c r="G2524">
        <v>24.27884615</v>
      </c>
      <c r="H2524">
        <v>28.125</v>
      </c>
      <c r="I2524">
        <v>52.40384615</v>
      </c>
      <c r="J2524">
        <v>47.59615385</v>
      </c>
      <c r="K2524">
        <v>0.8</v>
      </c>
      <c r="L2524">
        <v>0.2</v>
      </c>
      <c r="M2524">
        <v>0.7</v>
      </c>
      <c r="N2524">
        <v>198</v>
      </c>
      <c r="O2524">
        <v>101</v>
      </c>
      <c r="P2524">
        <v>117</v>
      </c>
      <c r="Q2524">
        <v>52.4</v>
      </c>
      <c r="R2524" t="s">
        <v>225</v>
      </c>
      <c r="S2524">
        <v>3.15</v>
      </c>
      <c r="T2524">
        <v>4.4800000000000004</v>
      </c>
    </row>
    <row r="2525" spans="1:21" ht="15" customHeight="1" x14ac:dyDescent="0.25">
      <c r="A2525" s="2">
        <v>45320.915277777778</v>
      </c>
      <c r="B2525" t="s">
        <v>309</v>
      </c>
      <c r="C2525" t="s">
        <v>221</v>
      </c>
      <c r="D2525">
        <v>2</v>
      </c>
      <c r="E2525" t="s">
        <v>192</v>
      </c>
      <c r="F2525" t="s">
        <v>388</v>
      </c>
      <c r="G2525">
        <v>74.442538589999998</v>
      </c>
      <c r="H2525">
        <v>0</v>
      </c>
      <c r="I2525">
        <v>74.442538589999998</v>
      </c>
      <c r="J2525">
        <v>25.557461409999998</v>
      </c>
      <c r="K2525">
        <v>0.8</v>
      </c>
      <c r="L2525">
        <v>0.3</v>
      </c>
      <c r="M2525">
        <v>0.7</v>
      </c>
      <c r="N2525">
        <v>149</v>
      </c>
      <c r="O2525">
        <v>434</v>
      </c>
      <c r="P2525">
        <v>0</v>
      </c>
      <c r="Q2525">
        <v>74.44</v>
      </c>
      <c r="R2525" t="s">
        <v>242</v>
      </c>
      <c r="S2525">
        <v>1.85</v>
      </c>
      <c r="T2525">
        <v>2.0099999999999998</v>
      </c>
    </row>
    <row r="2526" spans="1:21" ht="15" customHeight="1" x14ac:dyDescent="0.25">
      <c r="A2526" t="s">
        <v>19</v>
      </c>
      <c r="B2526" t="s">
        <v>20</v>
      </c>
      <c r="C2526" t="s">
        <v>306</v>
      </c>
      <c r="D2526">
        <v>3</v>
      </c>
      <c r="E2526" t="s">
        <v>192</v>
      </c>
      <c r="F2526" t="s">
        <v>388</v>
      </c>
      <c r="G2526">
        <v>45</v>
      </c>
      <c r="H2526">
        <v>40</v>
      </c>
      <c r="I2526">
        <f>G2526+H2526</f>
        <v>85</v>
      </c>
      <c r="J2526">
        <f>100-G2526-H2526</f>
        <v>15</v>
      </c>
      <c r="K2526" t="s">
        <v>19</v>
      </c>
      <c r="L2526" t="s">
        <v>19</v>
      </c>
      <c r="M2526" t="s">
        <v>19</v>
      </c>
      <c r="N2526" t="s">
        <v>19</v>
      </c>
      <c r="O2526" t="s">
        <v>19</v>
      </c>
      <c r="P2526" t="s">
        <v>19</v>
      </c>
      <c r="Q2526">
        <f>I2526</f>
        <v>85</v>
      </c>
      <c r="R2526" t="s">
        <v>19</v>
      </c>
      <c r="S2526" t="s">
        <v>19</v>
      </c>
      <c r="T2526" t="s">
        <v>19</v>
      </c>
    </row>
    <row r="2527" spans="1:21" ht="15" customHeight="1" x14ac:dyDescent="0.25">
      <c r="A2527" t="s">
        <v>19</v>
      </c>
      <c r="B2527" t="s">
        <v>20</v>
      </c>
      <c r="C2527" t="s">
        <v>320</v>
      </c>
      <c r="D2527">
        <v>3</v>
      </c>
      <c r="E2527" t="s">
        <v>192</v>
      </c>
      <c r="F2527" t="s">
        <v>388</v>
      </c>
      <c r="G2527">
        <v>50</v>
      </c>
      <c r="H2527">
        <v>33</v>
      </c>
      <c r="I2527">
        <f>100-J2527</f>
        <v>83</v>
      </c>
      <c r="J2527">
        <f>100-G2527-H2527</f>
        <v>17</v>
      </c>
      <c r="K2527" t="s">
        <v>19</v>
      </c>
      <c r="L2527" t="s">
        <v>19</v>
      </c>
      <c r="M2527" t="s">
        <v>19</v>
      </c>
      <c r="N2527" t="s">
        <v>19</v>
      </c>
      <c r="O2527" t="s">
        <v>19</v>
      </c>
      <c r="P2527" t="s">
        <v>19</v>
      </c>
      <c r="Q2527">
        <f>I2527</f>
        <v>83</v>
      </c>
      <c r="R2527" t="s">
        <v>19</v>
      </c>
      <c r="S2527" t="s">
        <v>19</v>
      </c>
      <c r="T2527" t="s">
        <v>19</v>
      </c>
    </row>
    <row r="2528" spans="1:21" ht="15" customHeight="1" x14ac:dyDescent="0.25">
      <c r="A2528" s="2">
        <v>45323.656423611108</v>
      </c>
      <c r="B2528" t="s">
        <v>309</v>
      </c>
      <c r="C2528" t="s">
        <v>322</v>
      </c>
      <c r="D2528">
        <v>3</v>
      </c>
      <c r="E2528" t="s">
        <v>192</v>
      </c>
      <c r="F2528" t="s">
        <v>388</v>
      </c>
      <c r="G2528">
        <f>(O2528/(N2528+O2528+P2528))*100</f>
        <v>45.028142589118197</v>
      </c>
      <c r="H2528">
        <f>(P2528/(O2528+P2528+N2528))*100</f>
        <v>16.51031894934334</v>
      </c>
      <c r="I2528">
        <v>61.54</v>
      </c>
      <c r="J2528">
        <f>(N2528/(P2528+O2528+N2528))*100</f>
        <v>38.461538461538467</v>
      </c>
      <c r="K2528">
        <v>0.8</v>
      </c>
      <c r="L2528">
        <v>0.3</v>
      </c>
      <c r="M2528">
        <v>0.7</v>
      </c>
      <c r="N2528">
        <v>205</v>
      </c>
      <c r="O2528">
        <v>240</v>
      </c>
      <c r="P2528">
        <v>88</v>
      </c>
      <c r="Q2528">
        <v>61.54</v>
      </c>
      <c r="R2528" t="s">
        <v>240</v>
      </c>
      <c r="S2528">
        <v>2.5499999999999998</v>
      </c>
      <c r="T2528">
        <v>3.53</v>
      </c>
      <c r="U2528">
        <v>116</v>
      </c>
    </row>
    <row r="2529" spans="1:21" ht="15" customHeight="1" x14ac:dyDescent="0.25">
      <c r="A2529" s="2">
        <v>45323.651539351849</v>
      </c>
      <c r="B2529" t="s">
        <v>309</v>
      </c>
      <c r="C2529" t="s">
        <v>322</v>
      </c>
      <c r="D2529">
        <v>3</v>
      </c>
      <c r="E2529" t="s">
        <v>192</v>
      </c>
      <c r="F2529" t="s">
        <v>388</v>
      </c>
      <c r="G2529">
        <f>(O2529/(N2529+O2529+P2529))*100</f>
        <v>46.823956442831218</v>
      </c>
      <c r="H2529">
        <f>(P2529/(O2529+P2529+N2529))*100</f>
        <v>19.237749546279492</v>
      </c>
      <c r="I2529">
        <v>66.06</v>
      </c>
      <c r="J2529">
        <f>(N2529/(P2529+O2529+N2529))*100</f>
        <v>33.938294010889294</v>
      </c>
      <c r="K2529">
        <v>0.7</v>
      </c>
      <c r="L2529">
        <v>0.3</v>
      </c>
      <c r="M2529">
        <v>0.7</v>
      </c>
      <c r="N2529">
        <v>187</v>
      </c>
      <c r="O2529">
        <v>258</v>
      </c>
      <c r="P2529">
        <v>106</v>
      </c>
      <c r="Q2529">
        <v>66.06</v>
      </c>
      <c r="R2529" t="s">
        <v>214</v>
      </c>
      <c r="S2529">
        <v>2.5499999999999998</v>
      </c>
      <c r="T2529">
        <v>3.53</v>
      </c>
      <c r="U2529">
        <v>98</v>
      </c>
    </row>
    <row r="2530" spans="1:21" ht="15" customHeight="1" x14ac:dyDescent="0.25">
      <c r="A2530" s="2">
        <v>45325.066840277781</v>
      </c>
      <c r="B2530" t="s">
        <v>309</v>
      </c>
      <c r="C2530" t="s">
        <v>368</v>
      </c>
      <c r="D2530">
        <v>2</v>
      </c>
      <c r="E2530" t="s">
        <v>192</v>
      </c>
      <c r="F2530" t="s">
        <v>388</v>
      </c>
      <c r="G2530">
        <f>(O2530/(N2530+O2530+P2530))*100</f>
        <v>76.470588235294116</v>
      </c>
      <c r="H2530">
        <f>(P2530/(O2530+P2530+N2530))*100</f>
        <v>0</v>
      </c>
      <c r="I2530">
        <v>76.47</v>
      </c>
      <c r="J2530">
        <f>(N2530/(P2530+O2530+N2530))*100</f>
        <v>23.52941176470588</v>
      </c>
      <c r="K2530">
        <v>0.8</v>
      </c>
      <c r="L2530">
        <v>0.3</v>
      </c>
      <c r="M2530">
        <v>0.7</v>
      </c>
      <c r="N2530">
        <v>136</v>
      </c>
      <c r="O2530">
        <v>442</v>
      </c>
      <c r="P2530">
        <v>0</v>
      </c>
      <c r="Q2530">
        <v>76.47</v>
      </c>
      <c r="R2530" t="s">
        <v>214</v>
      </c>
      <c r="S2530">
        <v>1.84</v>
      </c>
      <c r="T2530">
        <v>2.02</v>
      </c>
    </row>
    <row r="2531" spans="1:21" ht="15" customHeight="1" x14ac:dyDescent="0.25">
      <c r="A2531" t="s">
        <v>19</v>
      </c>
      <c r="B2531" t="s">
        <v>20</v>
      </c>
      <c r="C2531" t="s">
        <v>306</v>
      </c>
      <c r="D2531">
        <v>3</v>
      </c>
      <c r="E2531" t="s">
        <v>193</v>
      </c>
      <c r="F2531" t="s">
        <v>373</v>
      </c>
      <c r="G2531">
        <v>15</v>
      </c>
      <c r="H2531">
        <v>0</v>
      </c>
      <c r="I2531">
        <f>G2531+H2531</f>
        <v>15</v>
      </c>
      <c r="J2531">
        <f>100-G2531-H2531</f>
        <v>85</v>
      </c>
      <c r="K2531" t="s">
        <v>19</v>
      </c>
      <c r="L2531" t="s">
        <v>19</v>
      </c>
      <c r="M2531" t="s">
        <v>19</v>
      </c>
      <c r="N2531" t="s">
        <v>19</v>
      </c>
      <c r="O2531" t="s">
        <v>19</v>
      </c>
      <c r="P2531" t="s">
        <v>19</v>
      </c>
      <c r="Q2531">
        <f>I2531</f>
        <v>15</v>
      </c>
      <c r="R2531" t="s">
        <v>19</v>
      </c>
      <c r="S2531" t="s">
        <v>19</v>
      </c>
      <c r="T2531" t="s">
        <v>19</v>
      </c>
    </row>
    <row r="2532" spans="1:21" ht="15" customHeight="1" x14ac:dyDescent="0.25">
      <c r="A2532" t="s">
        <v>19</v>
      </c>
      <c r="B2532" t="s">
        <v>20</v>
      </c>
      <c r="C2532" t="s">
        <v>308</v>
      </c>
      <c r="D2532">
        <v>3</v>
      </c>
      <c r="E2532" t="s">
        <v>193</v>
      </c>
      <c r="F2532" t="s">
        <v>373</v>
      </c>
      <c r="G2532">
        <v>10</v>
      </c>
      <c r="H2532">
        <v>2</v>
      </c>
      <c r="I2532">
        <f>G2532+H2532</f>
        <v>12</v>
      </c>
      <c r="J2532">
        <f>100-G2532-H2532</f>
        <v>88</v>
      </c>
      <c r="K2532" t="s">
        <v>19</v>
      </c>
      <c r="L2532" t="s">
        <v>19</v>
      </c>
      <c r="M2532" t="s">
        <v>19</v>
      </c>
      <c r="N2532" t="s">
        <v>19</v>
      </c>
      <c r="O2532" t="s">
        <v>19</v>
      </c>
      <c r="P2532" t="s">
        <v>19</v>
      </c>
      <c r="Q2532">
        <f>I2532</f>
        <v>12</v>
      </c>
      <c r="R2532" t="s">
        <v>19</v>
      </c>
      <c r="S2532" t="s">
        <v>19</v>
      </c>
      <c r="T2532" t="s">
        <v>19</v>
      </c>
    </row>
    <row r="2533" spans="1:21" ht="15" customHeight="1" x14ac:dyDescent="0.25">
      <c r="A2533" t="s">
        <v>19</v>
      </c>
      <c r="B2533" t="s">
        <v>20</v>
      </c>
      <c r="C2533" t="s">
        <v>22</v>
      </c>
      <c r="D2533">
        <v>3</v>
      </c>
      <c r="E2533" t="s">
        <v>193</v>
      </c>
      <c r="F2533" t="s">
        <v>373</v>
      </c>
      <c r="G2533">
        <v>5</v>
      </c>
      <c r="H2533">
        <v>0</v>
      </c>
      <c r="I2533">
        <f>G2533+H2533</f>
        <v>5</v>
      </c>
      <c r="J2533">
        <f>100-G2533-H2533</f>
        <v>95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  <c r="P2533" t="s">
        <v>19</v>
      </c>
      <c r="Q2533">
        <f>I2533</f>
        <v>5</v>
      </c>
      <c r="R2533" t="s">
        <v>19</v>
      </c>
      <c r="S2533" t="s">
        <v>19</v>
      </c>
      <c r="T2533" t="s">
        <v>19</v>
      </c>
    </row>
    <row r="2534" spans="1:21" ht="15" customHeight="1" x14ac:dyDescent="0.25">
      <c r="A2534" t="s">
        <v>19</v>
      </c>
      <c r="B2534" t="s">
        <v>20</v>
      </c>
      <c r="C2534" t="s">
        <v>305</v>
      </c>
      <c r="D2534">
        <v>3</v>
      </c>
      <c r="E2534" t="s">
        <v>193</v>
      </c>
      <c r="F2534" t="s">
        <v>373</v>
      </c>
      <c r="G2534">
        <v>6</v>
      </c>
      <c r="H2534">
        <v>0</v>
      </c>
      <c r="I2534">
        <f>G2534+H2534</f>
        <v>6</v>
      </c>
      <c r="J2534">
        <f>100-G2534-H2534</f>
        <v>94</v>
      </c>
      <c r="K2534" t="s">
        <v>19</v>
      </c>
      <c r="L2534" t="s">
        <v>19</v>
      </c>
      <c r="M2534" t="s">
        <v>19</v>
      </c>
      <c r="N2534" t="s">
        <v>19</v>
      </c>
      <c r="O2534" t="s">
        <v>19</v>
      </c>
      <c r="P2534" t="s">
        <v>19</v>
      </c>
      <c r="Q2534">
        <f>I2534</f>
        <v>6</v>
      </c>
      <c r="R2534" t="s">
        <v>19</v>
      </c>
      <c r="S2534" t="s">
        <v>19</v>
      </c>
      <c r="T2534" t="s">
        <v>19</v>
      </c>
    </row>
    <row r="2535" spans="1:21" ht="15" customHeight="1" x14ac:dyDescent="0.25">
      <c r="A2535" t="s">
        <v>19</v>
      </c>
      <c r="B2535" t="s">
        <v>20</v>
      </c>
      <c r="C2535" t="s">
        <v>307</v>
      </c>
      <c r="D2535">
        <v>3</v>
      </c>
      <c r="E2535" t="s">
        <v>193</v>
      </c>
      <c r="F2535" t="s">
        <v>373</v>
      </c>
      <c r="G2535">
        <v>3</v>
      </c>
      <c r="H2535">
        <v>0</v>
      </c>
      <c r="I2535">
        <f>G2535+H2535</f>
        <v>3</v>
      </c>
      <c r="J2535">
        <f>100-G2535-H2535</f>
        <v>97</v>
      </c>
      <c r="K2535" t="s">
        <v>19</v>
      </c>
      <c r="L2535" t="s">
        <v>19</v>
      </c>
      <c r="M2535" t="s">
        <v>19</v>
      </c>
      <c r="N2535" t="s">
        <v>19</v>
      </c>
      <c r="O2535" t="s">
        <v>19</v>
      </c>
      <c r="P2535" t="s">
        <v>19</v>
      </c>
      <c r="Q2535">
        <f>I2535</f>
        <v>3</v>
      </c>
      <c r="R2535" t="s">
        <v>19</v>
      </c>
      <c r="S2535" t="s">
        <v>19</v>
      </c>
      <c r="T2535" t="s">
        <v>19</v>
      </c>
    </row>
    <row r="2536" spans="1:21" ht="15" customHeight="1" x14ac:dyDescent="0.25">
      <c r="A2536" s="2">
        <v>45253.800694444442</v>
      </c>
      <c r="B2536" t="s">
        <v>309</v>
      </c>
      <c r="C2536" t="s">
        <v>213</v>
      </c>
      <c r="D2536">
        <v>3</v>
      </c>
      <c r="E2536" t="s">
        <v>193</v>
      </c>
      <c r="F2536" t="s">
        <v>373</v>
      </c>
      <c r="G2536">
        <v>8.5487077530000004</v>
      </c>
      <c r="H2536">
        <v>0.19880715700000001</v>
      </c>
      <c r="I2536">
        <v>8.7475149109999997</v>
      </c>
      <c r="J2536">
        <v>91.252485089999993</v>
      </c>
      <c r="K2536">
        <v>0.8</v>
      </c>
      <c r="L2536">
        <v>0.2</v>
      </c>
      <c r="M2536">
        <v>0.7</v>
      </c>
      <c r="N2536">
        <v>459</v>
      </c>
      <c r="O2536">
        <v>43</v>
      </c>
      <c r="P2536">
        <v>1</v>
      </c>
      <c r="Q2536">
        <v>8.75</v>
      </c>
      <c r="R2536" t="s">
        <v>260</v>
      </c>
      <c r="S2536">
        <v>2.72</v>
      </c>
      <c r="T2536">
        <v>3.02</v>
      </c>
    </row>
    <row r="2537" spans="1:21" ht="15" customHeight="1" x14ac:dyDescent="0.25">
      <c r="A2537" s="2">
        <v>45253.972222222219</v>
      </c>
      <c r="B2537" t="s">
        <v>309</v>
      </c>
      <c r="C2537" t="s">
        <v>215</v>
      </c>
      <c r="D2537">
        <v>2</v>
      </c>
      <c r="E2537" t="s">
        <v>193</v>
      </c>
      <c r="F2537" t="s">
        <v>373</v>
      </c>
      <c r="G2537">
        <v>2.8213166140000001</v>
      </c>
      <c r="H2537">
        <v>0</v>
      </c>
      <c r="I2537">
        <v>2.8213166140000001</v>
      </c>
      <c r="J2537">
        <v>97.178683390000003</v>
      </c>
      <c r="K2537">
        <v>0.8</v>
      </c>
      <c r="L2537">
        <v>0.2</v>
      </c>
      <c r="M2537">
        <v>0.7</v>
      </c>
      <c r="N2537">
        <v>620</v>
      </c>
      <c r="O2537">
        <v>18</v>
      </c>
      <c r="P2537">
        <v>0</v>
      </c>
      <c r="Q2537">
        <v>2.82</v>
      </c>
      <c r="R2537" t="s">
        <v>216</v>
      </c>
      <c r="S2537">
        <v>0.12</v>
      </c>
      <c r="T2537">
        <v>0.14000000000000001</v>
      </c>
    </row>
    <row r="2538" spans="1:21" ht="15" customHeight="1" x14ac:dyDescent="0.25">
      <c r="A2538" s="2">
        <v>45254.15</v>
      </c>
      <c r="B2538" t="s">
        <v>309</v>
      </c>
      <c r="C2538" t="s">
        <v>217</v>
      </c>
      <c r="D2538">
        <v>2</v>
      </c>
      <c r="E2538" t="s">
        <v>193</v>
      </c>
      <c r="F2538" t="s">
        <v>373</v>
      </c>
      <c r="G2538">
        <v>8.4403669719999996</v>
      </c>
      <c r="H2538">
        <v>0</v>
      </c>
      <c r="I2538">
        <v>8.4403669719999996</v>
      </c>
      <c r="J2538">
        <v>91.559633030000001</v>
      </c>
      <c r="K2538">
        <v>0.8</v>
      </c>
      <c r="L2538">
        <v>0.2</v>
      </c>
      <c r="M2538">
        <v>0.7</v>
      </c>
      <c r="N2538">
        <v>499</v>
      </c>
      <c r="O2538">
        <v>46</v>
      </c>
      <c r="P2538">
        <v>0</v>
      </c>
      <c r="Q2538">
        <v>8.44</v>
      </c>
      <c r="R2538" t="s">
        <v>225</v>
      </c>
      <c r="S2538">
        <v>0.31</v>
      </c>
      <c r="T2538">
        <v>0.32</v>
      </c>
    </row>
    <row r="2539" spans="1:21" ht="15" customHeight="1" x14ac:dyDescent="0.25">
      <c r="A2539" s="2">
        <v>45316.48541666667</v>
      </c>
      <c r="B2539" t="s">
        <v>309</v>
      </c>
      <c r="C2539" t="s">
        <v>219</v>
      </c>
      <c r="D2539">
        <v>3</v>
      </c>
      <c r="E2539" t="s">
        <v>193</v>
      </c>
      <c r="F2539" t="s">
        <v>373</v>
      </c>
      <c r="G2539">
        <v>10.63218391</v>
      </c>
      <c r="H2539">
        <v>0.287356322</v>
      </c>
      <c r="I2539">
        <v>10.919540230000001</v>
      </c>
      <c r="J2539">
        <v>89.080459770000004</v>
      </c>
      <c r="K2539">
        <v>0.8</v>
      </c>
      <c r="L2539">
        <v>0.2</v>
      </c>
      <c r="M2539">
        <v>0.7</v>
      </c>
      <c r="N2539">
        <v>310</v>
      </c>
      <c r="O2539">
        <v>37</v>
      </c>
      <c r="P2539">
        <v>1</v>
      </c>
      <c r="Q2539">
        <v>10.92</v>
      </c>
      <c r="R2539" t="s">
        <v>227</v>
      </c>
      <c r="S2539">
        <v>3.25</v>
      </c>
      <c r="T2539">
        <v>4.28</v>
      </c>
    </row>
    <row r="2540" spans="1:21" ht="15" customHeight="1" x14ac:dyDescent="0.25">
      <c r="A2540" s="2">
        <v>45321.012499999997</v>
      </c>
      <c r="B2540" t="s">
        <v>309</v>
      </c>
      <c r="C2540" t="s">
        <v>221</v>
      </c>
      <c r="D2540">
        <v>2</v>
      </c>
      <c r="E2540" t="s">
        <v>193</v>
      </c>
      <c r="F2540" t="s">
        <v>373</v>
      </c>
      <c r="G2540">
        <v>8.5664335660000006</v>
      </c>
      <c r="H2540">
        <v>0</v>
      </c>
      <c r="I2540">
        <v>8.5664335660000006</v>
      </c>
      <c r="J2540">
        <v>91.433566429999999</v>
      </c>
      <c r="K2540">
        <v>0.8</v>
      </c>
      <c r="L2540">
        <v>0.3</v>
      </c>
      <c r="M2540">
        <v>0.7</v>
      </c>
      <c r="N2540">
        <v>523</v>
      </c>
      <c r="O2540">
        <v>49</v>
      </c>
      <c r="P2540">
        <v>0</v>
      </c>
      <c r="Q2540">
        <v>8.57</v>
      </c>
      <c r="R2540" t="s">
        <v>232</v>
      </c>
      <c r="S2540">
        <v>0.34</v>
      </c>
      <c r="T2540">
        <v>0.37</v>
      </c>
    </row>
    <row r="2541" spans="1:21" ht="15" customHeight="1" x14ac:dyDescent="0.25">
      <c r="A2541" t="s">
        <v>19</v>
      </c>
      <c r="B2541" t="s">
        <v>20</v>
      </c>
      <c r="C2541" t="s">
        <v>320</v>
      </c>
      <c r="D2541">
        <v>3</v>
      </c>
      <c r="E2541" t="s">
        <v>193</v>
      </c>
      <c r="F2541" t="s">
        <v>373</v>
      </c>
      <c r="G2541">
        <v>0</v>
      </c>
      <c r="H2541">
        <v>0</v>
      </c>
      <c r="I2541">
        <f>100-J2541</f>
        <v>0</v>
      </c>
      <c r="J2541">
        <f>100-G2541-H2541</f>
        <v>100</v>
      </c>
      <c r="K2541" t="s">
        <v>19</v>
      </c>
      <c r="L2541" t="s">
        <v>19</v>
      </c>
      <c r="M2541" t="s">
        <v>19</v>
      </c>
      <c r="N2541" t="s">
        <v>19</v>
      </c>
      <c r="O2541" t="s">
        <v>19</v>
      </c>
      <c r="P2541" t="s">
        <v>19</v>
      </c>
      <c r="Q2541">
        <f>I2541</f>
        <v>0</v>
      </c>
      <c r="R2541" t="s">
        <v>19</v>
      </c>
      <c r="S2541" t="s">
        <v>19</v>
      </c>
      <c r="T2541" t="s">
        <v>19</v>
      </c>
    </row>
    <row r="2542" spans="1:21" ht="15" customHeight="1" x14ac:dyDescent="0.25">
      <c r="A2542" s="2">
        <v>45323.652499999997</v>
      </c>
      <c r="B2542" t="s">
        <v>309</v>
      </c>
      <c r="C2542" t="s">
        <v>322</v>
      </c>
      <c r="D2542">
        <v>3</v>
      </c>
      <c r="E2542" t="s">
        <v>193</v>
      </c>
      <c r="F2542" t="s">
        <v>373</v>
      </c>
      <c r="G2542">
        <f>(O2542/(N2542+O2542+P2542))*100</f>
        <v>6.3973063973063971</v>
      </c>
      <c r="H2542">
        <f>(P2542/(O2542+P2542+N2542))*100</f>
        <v>0</v>
      </c>
      <c r="I2542">
        <f>((O2542+P2542)/(P2542+O2542+N2542))*100</f>
        <v>6.3973063973063971</v>
      </c>
      <c r="J2542">
        <f>(N2542/(P2542+O2542+N2542))*100</f>
        <v>93.602693602693591</v>
      </c>
      <c r="K2542">
        <v>0.8</v>
      </c>
      <c r="L2542">
        <v>0.3</v>
      </c>
      <c r="M2542">
        <v>0.7</v>
      </c>
      <c r="N2542">
        <v>556</v>
      </c>
      <c r="O2542">
        <v>38</v>
      </c>
      <c r="P2542">
        <v>0</v>
      </c>
      <c r="Q2542">
        <v>6.4</v>
      </c>
      <c r="R2542" t="s">
        <v>285</v>
      </c>
      <c r="S2542">
        <v>2.48</v>
      </c>
      <c r="T2542">
        <v>2.91</v>
      </c>
      <c r="U2542">
        <v>50</v>
      </c>
    </row>
    <row r="2543" spans="1:21" ht="15" customHeight="1" x14ac:dyDescent="0.25">
      <c r="A2543" s="2">
        <v>45323.658217592594</v>
      </c>
      <c r="B2543" t="s">
        <v>309</v>
      </c>
      <c r="C2543" t="s">
        <v>322</v>
      </c>
      <c r="D2543">
        <v>3</v>
      </c>
      <c r="E2543" t="s">
        <v>193</v>
      </c>
      <c r="F2543" t="s">
        <v>373</v>
      </c>
      <c r="G2543">
        <f>(O2543/(N2543+O2543+P2543))*100</f>
        <v>7.023411371237458</v>
      </c>
      <c r="H2543">
        <f>(P2543/(O2543+P2543+N2543))*100</f>
        <v>0</v>
      </c>
      <c r="I2543">
        <f>((O2543+P2543)/(P2543+O2543+N2543))*100</f>
        <v>7.023411371237458</v>
      </c>
      <c r="J2543">
        <f>(N2543/(P2543+O2543+N2543))*100</f>
        <v>92.976588628762542</v>
      </c>
      <c r="K2543">
        <v>0.7</v>
      </c>
      <c r="L2543">
        <v>0.3</v>
      </c>
      <c r="M2543">
        <v>0.7</v>
      </c>
      <c r="N2543">
        <v>556</v>
      </c>
      <c r="O2543">
        <v>42</v>
      </c>
      <c r="P2543">
        <v>0</v>
      </c>
      <c r="Q2543">
        <v>7.02</v>
      </c>
      <c r="R2543" t="s">
        <v>245</v>
      </c>
      <c r="S2543">
        <v>2.48</v>
      </c>
      <c r="T2543">
        <v>2.91</v>
      </c>
      <c r="U2543">
        <v>46</v>
      </c>
    </row>
    <row r="2544" spans="1:21" ht="15" customHeight="1" x14ac:dyDescent="0.25">
      <c r="A2544" s="2">
        <v>45325.211377314816</v>
      </c>
      <c r="B2544" t="s">
        <v>309</v>
      </c>
      <c r="C2544" t="s">
        <v>368</v>
      </c>
      <c r="D2544">
        <v>2</v>
      </c>
      <c r="E2544" t="s">
        <v>193</v>
      </c>
      <c r="F2544" t="s">
        <v>373</v>
      </c>
      <c r="G2544">
        <f>(O2544/(N2544+O2544+P2544))*100</f>
        <v>9.4138543516873892</v>
      </c>
      <c r="H2544">
        <f>(P2544/(O2544+P2544+N2544))*100</f>
        <v>0</v>
      </c>
      <c r="I2544">
        <v>9.41</v>
      </c>
      <c r="J2544">
        <f>(N2544/(P2544+O2544+N2544))*100</f>
        <v>90.586145648312609</v>
      </c>
      <c r="K2544">
        <v>0.8</v>
      </c>
      <c r="L2544">
        <v>0.3</v>
      </c>
      <c r="M2544">
        <v>0.7</v>
      </c>
      <c r="N2544">
        <v>510</v>
      </c>
      <c r="O2544">
        <v>53</v>
      </c>
      <c r="P2544">
        <v>0</v>
      </c>
      <c r="Q2544">
        <v>9.41</v>
      </c>
      <c r="R2544" t="s">
        <v>369</v>
      </c>
      <c r="S2544">
        <v>0.35</v>
      </c>
      <c r="T2544">
        <v>0.38</v>
      </c>
    </row>
    <row r="2545" spans="1:21" ht="15" customHeight="1" x14ac:dyDescent="0.25">
      <c r="A2545" t="s">
        <v>19</v>
      </c>
      <c r="B2545" t="s">
        <v>20</v>
      </c>
      <c r="C2545" t="s">
        <v>306</v>
      </c>
      <c r="D2545">
        <v>3</v>
      </c>
      <c r="E2545" t="s">
        <v>194</v>
      </c>
      <c r="F2545" t="s">
        <v>373</v>
      </c>
      <c r="G2545" t="s">
        <v>321</v>
      </c>
      <c r="H2545" t="s">
        <v>321</v>
      </c>
      <c r="I2545">
        <v>40</v>
      </c>
      <c r="J2545">
        <v>60</v>
      </c>
      <c r="K2545" t="s">
        <v>19</v>
      </c>
      <c r="L2545" t="s">
        <v>19</v>
      </c>
      <c r="M2545" t="s">
        <v>19</v>
      </c>
      <c r="N2545" t="s">
        <v>19</v>
      </c>
      <c r="O2545" t="s">
        <v>19</v>
      </c>
      <c r="P2545" t="s">
        <v>19</v>
      </c>
      <c r="Q2545">
        <f>I2545</f>
        <v>40</v>
      </c>
      <c r="R2545" t="s">
        <v>19</v>
      </c>
      <c r="S2545" t="s">
        <v>19</v>
      </c>
      <c r="T2545" t="s">
        <v>19</v>
      </c>
    </row>
    <row r="2546" spans="1:21" ht="15" customHeight="1" x14ac:dyDescent="0.25">
      <c r="A2546" t="s">
        <v>19</v>
      </c>
      <c r="B2546" t="s">
        <v>20</v>
      </c>
      <c r="C2546" t="s">
        <v>308</v>
      </c>
      <c r="D2546">
        <v>3</v>
      </c>
      <c r="E2546" t="s">
        <v>194</v>
      </c>
      <c r="F2546" t="s">
        <v>373</v>
      </c>
      <c r="G2546">
        <v>70</v>
      </c>
      <c r="H2546">
        <v>5</v>
      </c>
      <c r="I2546">
        <f>G2546+H2546</f>
        <v>75</v>
      </c>
      <c r="J2546">
        <f>100-G2546-H2546</f>
        <v>25</v>
      </c>
      <c r="K2546" t="s">
        <v>19</v>
      </c>
      <c r="L2546" t="s">
        <v>19</v>
      </c>
      <c r="M2546" t="s">
        <v>19</v>
      </c>
      <c r="N2546" t="s">
        <v>19</v>
      </c>
      <c r="O2546" t="s">
        <v>19</v>
      </c>
      <c r="P2546" t="s">
        <v>19</v>
      </c>
      <c r="Q2546">
        <f>I2546</f>
        <v>75</v>
      </c>
      <c r="R2546" t="s">
        <v>19</v>
      </c>
      <c r="S2546" t="s">
        <v>19</v>
      </c>
      <c r="T2546" t="s">
        <v>19</v>
      </c>
    </row>
    <row r="2547" spans="1:21" ht="15" customHeight="1" x14ac:dyDescent="0.25">
      <c r="A2547" t="s">
        <v>19</v>
      </c>
      <c r="B2547" t="s">
        <v>20</v>
      </c>
      <c r="C2547" t="s">
        <v>22</v>
      </c>
      <c r="D2547">
        <v>3</v>
      </c>
      <c r="E2547" t="s">
        <v>194</v>
      </c>
      <c r="F2547" t="s">
        <v>373</v>
      </c>
      <c r="G2547">
        <v>20</v>
      </c>
      <c r="H2547">
        <v>0</v>
      </c>
      <c r="I2547">
        <f>G2547+H2547</f>
        <v>20</v>
      </c>
      <c r="J2547">
        <f>100-G2547-H2547</f>
        <v>80</v>
      </c>
      <c r="K2547" t="s">
        <v>19</v>
      </c>
      <c r="L2547" t="s">
        <v>19</v>
      </c>
      <c r="M2547" t="s">
        <v>19</v>
      </c>
      <c r="N2547" t="s">
        <v>19</v>
      </c>
      <c r="O2547" t="s">
        <v>19</v>
      </c>
      <c r="P2547" t="s">
        <v>19</v>
      </c>
      <c r="Q2547">
        <f>I2547</f>
        <v>20</v>
      </c>
      <c r="R2547" t="s">
        <v>19</v>
      </c>
      <c r="S2547" t="s">
        <v>19</v>
      </c>
      <c r="T2547" t="s">
        <v>19</v>
      </c>
    </row>
    <row r="2548" spans="1:21" ht="15" customHeight="1" x14ac:dyDescent="0.25">
      <c r="A2548" t="s">
        <v>19</v>
      </c>
      <c r="B2548" t="s">
        <v>20</v>
      </c>
      <c r="C2548" t="s">
        <v>305</v>
      </c>
      <c r="D2548">
        <v>3</v>
      </c>
      <c r="E2548" t="s">
        <v>194</v>
      </c>
      <c r="F2548" t="s">
        <v>373</v>
      </c>
      <c r="G2548">
        <v>15</v>
      </c>
      <c r="H2548">
        <v>0</v>
      </c>
      <c r="I2548">
        <f>G2548+H2548</f>
        <v>15</v>
      </c>
      <c r="J2548">
        <f>100-G2548-H2548</f>
        <v>85</v>
      </c>
      <c r="K2548" t="s">
        <v>19</v>
      </c>
      <c r="L2548" t="s">
        <v>19</v>
      </c>
      <c r="M2548" t="s">
        <v>19</v>
      </c>
      <c r="N2548" t="s">
        <v>19</v>
      </c>
      <c r="O2548" t="s">
        <v>19</v>
      </c>
      <c r="P2548" t="s">
        <v>19</v>
      </c>
      <c r="Q2548">
        <f>I2548</f>
        <v>15</v>
      </c>
      <c r="R2548" t="s">
        <v>19</v>
      </c>
      <c r="S2548" t="s">
        <v>19</v>
      </c>
      <c r="T2548" t="s">
        <v>19</v>
      </c>
    </row>
    <row r="2549" spans="1:21" ht="15" customHeight="1" x14ac:dyDescent="0.25">
      <c r="A2549" t="s">
        <v>19</v>
      </c>
      <c r="B2549" t="s">
        <v>20</v>
      </c>
      <c r="C2549" t="s">
        <v>307</v>
      </c>
      <c r="D2549">
        <v>3</v>
      </c>
      <c r="E2549" t="s">
        <v>194</v>
      </c>
      <c r="F2549" t="s">
        <v>373</v>
      </c>
      <c r="G2549">
        <v>1</v>
      </c>
      <c r="H2549">
        <v>0</v>
      </c>
      <c r="I2549">
        <f>G2549+H2549</f>
        <v>1</v>
      </c>
      <c r="J2549">
        <f>100-G2549-H2549</f>
        <v>99</v>
      </c>
      <c r="K2549" t="s">
        <v>19</v>
      </c>
      <c r="L2549" t="s">
        <v>19</v>
      </c>
      <c r="M2549" t="s">
        <v>19</v>
      </c>
      <c r="N2549" t="s">
        <v>19</v>
      </c>
      <c r="O2549" t="s">
        <v>19</v>
      </c>
      <c r="P2549" t="s">
        <v>19</v>
      </c>
      <c r="Q2549">
        <f>I2549</f>
        <v>1</v>
      </c>
      <c r="R2549" t="s">
        <v>19</v>
      </c>
      <c r="S2549" t="s">
        <v>19</v>
      </c>
      <c r="T2549" t="s">
        <v>19</v>
      </c>
    </row>
    <row r="2550" spans="1:21" ht="15" customHeight="1" x14ac:dyDescent="0.25">
      <c r="A2550" s="2">
        <v>45253.802083333336</v>
      </c>
      <c r="B2550" t="s">
        <v>309</v>
      </c>
      <c r="C2550" t="s">
        <v>213</v>
      </c>
      <c r="D2550">
        <v>3</v>
      </c>
      <c r="E2550" t="s">
        <v>194</v>
      </c>
      <c r="F2550" t="s">
        <v>373</v>
      </c>
      <c r="G2550">
        <v>46.27906977</v>
      </c>
      <c r="H2550">
        <v>0.69767441900000005</v>
      </c>
      <c r="I2550">
        <v>46.976744189999998</v>
      </c>
      <c r="J2550">
        <v>53.023255810000002</v>
      </c>
      <c r="K2550">
        <v>0.8</v>
      </c>
      <c r="L2550">
        <v>0.2</v>
      </c>
      <c r="M2550">
        <v>0.7</v>
      </c>
      <c r="N2550">
        <v>228</v>
      </c>
      <c r="O2550">
        <v>199</v>
      </c>
      <c r="P2550">
        <v>3</v>
      </c>
      <c r="Q2550">
        <v>46.98</v>
      </c>
      <c r="R2550" t="s">
        <v>260</v>
      </c>
      <c r="S2550">
        <v>2.76</v>
      </c>
      <c r="T2550">
        <v>2.98</v>
      </c>
    </row>
    <row r="2551" spans="1:21" ht="15" customHeight="1" x14ac:dyDescent="0.25">
      <c r="A2551" s="2">
        <v>45253.972916666666</v>
      </c>
      <c r="B2551" t="s">
        <v>309</v>
      </c>
      <c r="C2551" t="s">
        <v>215</v>
      </c>
      <c r="D2551">
        <v>2</v>
      </c>
      <c r="E2551" t="s">
        <v>194</v>
      </c>
      <c r="F2551" t="s">
        <v>373</v>
      </c>
      <c r="G2551">
        <v>3.8647342999999998</v>
      </c>
      <c r="H2551">
        <v>0</v>
      </c>
      <c r="I2551">
        <v>3.8647342999999998</v>
      </c>
      <c r="J2551">
        <v>96.135265700000005</v>
      </c>
      <c r="K2551">
        <v>0.8</v>
      </c>
      <c r="L2551">
        <v>0.2</v>
      </c>
      <c r="M2551">
        <v>0.7</v>
      </c>
      <c r="N2551">
        <v>597</v>
      </c>
      <c r="O2551">
        <v>24</v>
      </c>
      <c r="P2551">
        <v>0</v>
      </c>
      <c r="Q2551">
        <v>3.86</v>
      </c>
      <c r="R2551" t="s">
        <v>243</v>
      </c>
      <c r="S2551">
        <v>0.17</v>
      </c>
      <c r="T2551">
        <v>0.18</v>
      </c>
    </row>
    <row r="2552" spans="1:21" ht="15" customHeight="1" x14ac:dyDescent="0.25">
      <c r="A2552" s="2">
        <v>45254.150694444441</v>
      </c>
      <c r="B2552" t="s">
        <v>309</v>
      </c>
      <c r="C2552" t="s">
        <v>217</v>
      </c>
      <c r="D2552">
        <v>2</v>
      </c>
      <c r="E2552" t="s">
        <v>194</v>
      </c>
      <c r="F2552" t="s">
        <v>373</v>
      </c>
      <c r="G2552">
        <v>11.20543294</v>
      </c>
      <c r="H2552">
        <v>0</v>
      </c>
      <c r="I2552">
        <v>11.20543294</v>
      </c>
      <c r="J2552">
        <v>88.794567060000006</v>
      </c>
      <c r="K2552">
        <v>0.8</v>
      </c>
      <c r="L2552">
        <v>0.2</v>
      </c>
      <c r="M2552">
        <v>0.7</v>
      </c>
      <c r="N2552">
        <v>523</v>
      </c>
      <c r="O2552">
        <v>66</v>
      </c>
      <c r="P2552">
        <v>0</v>
      </c>
      <c r="Q2552">
        <v>11.21</v>
      </c>
      <c r="R2552" t="s">
        <v>225</v>
      </c>
      <c r="S2552">
        <v>0.39</v>
      </c>
      <c r="T2552">
        <v>0.41</v>
      </c>
    </row>
    <row r="2553" spans="1:21" ht="15" customHeight="1" x14ac:dyDescent="0.25">
      <c r="A2553" s="2">
        <v>45316.486111111109</v>
      </c>
      <c r="B2553" t="s">
        <v>309</v>
      </c>
      <c r="C2553" t="s">
        <v>219</v>
      </c>
      <c r="D2553">
        <v>3</v>
      </c>
      <c r="E2553" t="s">
        <v>194</v>
      </c>
      <c r="F2553" t="s">
        <v>373</v>
      </c>
      <c r="G2553">
        <v>34.41734417</v>
      </c>
      <c r="H2553">
        <v>0.81300813000000005</v>
      </c>
      <c r="I2553">
        <v>35.2303523</v>
      </c>
      <c r="J2553">
        <v>64.769647699999993</v>
      </c>
      <c r="K2553">
        <v>0.8</v>
      </c>
      <c r="L2553">
        <v>0.2</v>
      </c>
      <c r="M2553">
        <v>0.7</v>
      </c>
      <c r="N2553">
        <v>239</v>
      </c>
      <c r="O2553">
        <v>127</v>
      </c>
      <c r="P2553">
        <v>3</v>
      </c>
      <c r="Q2553">
        <v>35.229999999999997</v>
      </c>
      <c r="R2553" t="s">
        <v>231</v>
      </c>
      <c r="S2553">
        <v>3.14</v>
      </c>
      <c r="T2553">
        <v>4.28</v>
      </c>
    </row>
    <row r="2554" spans="1:21" ht="15" customHeight="1" x14ac:dyDescent="0.25">
      <c r="A2554" s="2">
        <v>45321.013888888891</v>
      </c>
      <c r="B2554" t="s">
        <v>309</v>
      </c>
      <c r="C2554" t="s">
        <v>221</v>
      </c>
      <c r="D2554">
        <v>2</v>
      </c>
      <c r="E2554" t="s">
        <v>194</v>
      </c>
      <c r="F2554" t="s">
        <v>373</v>
      </c>
      <c r="G2554">
        <v>32.3943662</v>
      </c>
      <c r="H2554">
        <v>0</v>
      </c>
      <c r="I2554">
        <v>32.3943662</v>
      </c>
      <c r="J2554">
        <v>67.605633800000007</v>
      </c>
      <c r="K2554">
        <v>0.8</v>
      </c>
      <c r="L2554">
        <v>0.3</v>
      </c>
      <c r="M2554">
        <v>0.7</v>
      </c>
      <c r="N2554">
        <v>384</v>
      </c>
      <c r="O2554">
        <v>184</v>
      </c>
      <c r="P2554">
        <v>0</v>
      </c>
      <c r="Q2554">
        <v>32.39</v>
      </c>
      <c r="R2554" t="s">
        <v>228</v>
      </c>
      <c r="S2554">
        <v>0.94</v>
      </c>
      <c r="T2554">
        <v>1</v>
      </c>
    </row>
    <row r="2555" spans="1:21" ht="15" customHeight="1" x14ac:dyDescent="0.25">
      <c r="A2555" t="s">
        <v>19</v>
      </c>
      <c r="B2555" t="s">
        <v>20</v>
      </c>
      <c r="C2555" t="s">
        <v>320</v>
      </c>
      <c r="D2555">
        <v>3</v>
      </c>
      <c r="E2555" t="s">
        <v>194</v>
      </c>
      <c r="F2555" t="s">
        <v>373</v>
      </c>
      <c r="G2555">
        <v>0</v>
      </c>
      <c r="H2555">
        <v>0</v>
      </c>
      <c r="I2555">
        <f>100-J2555</f>
        <v>0</v>
      </c>
      <c r="J2555">
        <f>100-G2555-H2555</f>
        <v>100</v>
      </c>
      <c r="K2555" t="s">
        <v>19</v>
      </c>
      <c r="L2555" t="s">
        <v>19</v>
      </c>
      <c r="M2555" t="s">
        <v>19</v>
      </c>
      <c r="N2555" t="s">
        <v>19</v>
      </c>
      <c r="O2555" t="s">
        <v>19</v>
      </c>
      <c r="P2555" t="s">
        <v>19</v>
      </c>
      <c r="Q2555">
        <f>I2555</f>
        <v>0</v>
      </c>
      <c r="R2555" t="s">
        <v>19</v>
      </c>
      <c r="S2555" t="s">
        <v>19</v>
      </c>
      <c r="T2555" t="s">
        <v>19</v>
      </c>
    </row>
    <row r="2556" spans="1:21" ht="15" customHeight="1" x14ac:dyDescent="0.25">
      <c r="A2556" s="2">
        <v>45323.65384259259</v>
      </c>
      <c r="B2556" t="s">
        <v>309</v>
      </c>
      <c r="C2556" t="s">
        <v>322</v>
      </c>
      <c r="D2556">
        <v>3</v>
      </c>
      <c r="E2556" t="s">
        <v>194</v>
      </c>
      <c r="F2556" t="s">
        <v>373</v>
      </c>
      <c r="G2556">
        <f>(O2556/(N2556+O2556+P2556))*100</f>
        <v>33.143939393939391</v>
      </c>
      <c r="H2556">
        <f>(P2556/(O2556+P2556+N2556))*100</f>
        <v>0</v>
      </c>
      <c r="I2556">
        <f>((O2556+P2556)/(P2556+O2556+N2556))*100</f>
        <v>33.143939393939391</v>
      </c>
      <c r="J2556">
        <f>(N2556/(P2556+O2556+N2556))*100</f>
        <v>66.856060606060609</v>
      </c>
      <c r="K2556">
        <v>0.8</v>
      </c>
      <c r="L2556">
        <v>0.3</v>
      </c>
      <c r="M2556">
        <v>0.7</v>
      </c>
      <c r="N2556">
        <v>353</v>
      </c>
      <c r="O2556">
        <v>175</v>
      </c>
      <c r="P2556">
        <v>0</v>
      </c>
      <c r="Q2556">
        <v>33.14</v>
      </c>
      <c r="R2556" t="s">
        <v>256</v>
      </c>
      <c r="S2556">
        <v>2.58</v>
      </c>
      <c r="T2556">
        <v>2.92</v>
      </c>
      <c r="U2556">
        <v>134</v>
      </c>
    </row>
    <row r="2557" spans="1:21" ht="15" customHeight="1" x14ac:dyDescent="0.25">
      <c r="A2557" s="2">
        <v>45323.659791666665</v>
      </c>
      <c r="B2557" t="s">
        <v>309</v>
      </c>
      <c r="C2557" t="s">
        <v>322</v>
      </c>
      <c r="D2557">
        <v>3</v>
      </c>
      <c r="E2557" t="s">
        <v>194</v>
      </c>
      <c r="F2557" t="s">
        <v>373</v>
      </c>
      <c r="G2557">
        <f>(O2557/(N2557+O2557+P2557))*100</f>
        <v>36.964285714285715</v>
      </c>
      <c r="H2557">
        <f>(P2557/(O2557+P2557+N2557))*100</f>
        <v>0</v>
      </c>
      <c r="I2557">
        <f>((O2557+P2557)/(P2557+O2557+N2557))*100</f>
        <v>36.964285714285715</v>
      </c>
      <c r="J2557">
        <f>(N2557/(P2557+O2557+N2557))*100</f>
        <v>63.035714285714285</v>
      </c>
      <c r="K2557">
        <v>0.7</v>
      </c>
      <c r="L2557">
        <v>0.3</v>
      </c>
      <c r="M2557">
        <v>0.7</v>
      </c>
      <c r="N2557">
        <v>353</v>
      </c>
      <c r="O2557">
        <v>207</v>
      </c>
      <c r="P2557">
        <v>0</v>
      </c>
      <c r="Q2557">
        <v>36.96</v>
      </c>
      <c r="R2557" t="s">
        <v>230</v>
      </c>
      <c r="S2557">
        <v>2.58</v>
      </c>
      <c r="T2557">
        <v>2.92</v>
      </c>
      <c r="U2557">
        <v>102</v>
      </c>
    </row>
    <row r="2558" spans="1:21" ht="15" customHeight="1" x14ac:dyDescent="0.25">
      <c r="A2558" s="2">
        <v>45325.212719907409</v>
      </c>
      <c r="B2558" t="s">
        <v>309</v>
      </c>
      <c r="C2558" t="s">
        <v>368</v>
      </c>
      <c r="D2558">
        <v>2</v>
      </c>
      <c r="E2558" t="s">
        <v>194</v>
      </c>
      <c r="F2558" t="s">
        <v>373</v>
      </c>
      <c r="G2558">
        <f>(O2558/(N2558+O2558+P2558))*100</f>
        <v>33.879781420765028</v>
      </c>
      <c r="H2558">
        <f>(P2558/(O2558+P2558+N2558))*100</f>
        <v>0</v>
      </c>
      <c r="I2558">
        <v>33.880000000000003</v>
      </c>
      <c r="J2558">
        <f>(N2558/(P2558+O2558+N2558))*100</f>
        <v>66.120218579234972</v>
      </c>
      <c r="K2558">
        <v>0.8</v>
      </c>
      <c r="L2558">
        <v>0.3</v>
      </c>
      <c r="M2558">
        <v>0.7</v>
      </c>
      <c r="N2558">
        <v>363</v>
      </c>
      <c r="O2558">
        <v>186</v>
      </c>
      <c r="P2558">
        <v>0</v>
      </c>
      <c r="Q2558">
        <v>33.880000000000003</v>
      </c>
      <c r="R2558" t="s">
        <v>279</v>
      </c>
      <c r="S2558">
        <v>0.97</v>
      </c>
      <c r="T2558">
        <v>1.04</v>
      </c>
    </row>
    <row r="2559" spans="1:21" ht="15" customHeight="1" x14ac:dyDescent="0.25">
      <c r="A2559" t="s">
        <v>19</v>
      </c>
      <c r="B2559" t="s">
        <v>20</v>
      </c>
      <c r="C2559" t="s">
        <v>308</v>
      </c>
      <c r="D2559">
        <v>3</v>
      </c>
      <c r="E2559" t="s">
        <v>195</v>
      </c>
      <c r="F2559" t="s">
        <v>388</v>
      </c>
      <c r="G2559">
        <v>10</v>
      </c>
      <c r="H2559">
        <v>65</v>
      </c>
      <c r="I2559">
        <f>G2559+H2559</f>
        <v>75</v>
      </c>
      <c r="J2559">
        <f>100-G2559-H2559</f>
        <v>25</v>
      </c>
      <c r="K2559" t="s">
        <v>19</v>
      </c>
      <c r="L2559" t="s">
        <v>19</v>
      </c>
      <c r="M2559" t="s">
        <v>19</v>
      </c>
      <c r="N2559" t="s">
        <v>19</v>
      </c>
      <c r="O2559" t="s">
        <v>19</v>
      </c>
      <c r="P2559" t="s">
        <v>19</v>
      </c>
      <c r="Q2559">
        <f>I2559</f>
        <v>75</v>
      </c>
      <c r="R2559" t="s">
        <v>19</v>
      </c>
      <c r="S2559" t="s">
        <v>19</v>
      </c>
      <c r="T2559" t="s">
        <v>19</v>
      </c>
    </row>
    <row r="2560" spans="1:21" ht="15" customHeight="1" x14ac:dyDescent="0.25">
      <c r="A2560" t="s">
        <v>19</v>
      </c>
      <c r="B2560" t="s">
        <v>20</v>
      </c>
      <c r="C2560" t="s">
        <v>22</v>
      </c>
      <c r="D2560">
        <v>3</v>
      </c>
      <c r="E2560" t="s">
        <v>195</v>
      </c>
      <c r="F2560" t="s">
        <v>388</v>
      </c>
      <c r="G2560">
        <v>5</v>
      </c>
      <c r="H2560">
        <v>35</v>
      </c>
      <c r="I2560">
        <f>G2560+H2560</f>
        <v>40</v>
      </c>
      <c r="J2560">
        <f>100-G2560-H2560</f>
        <v>60</v>
      </c>
      <c r="K2560" t="s">
        <v>19</v>
      </c>
      <c r="L2560" t="s">
        <v>19</v>
      </c>
      <c r="M2560" t="s">
        <v>19</v>
      </c>
      <c r="N2560" t="s">
        <v>19</v>
      </c>
      <c r="O2560" t="s">
        <v>19</v>
      </c>
      <c r="P2560" t="s">
        <v>19</v>
      </c>
      <c r="Q2560">
        <f>I2560</f>
        <v>40</v>
      </c>
      <c r="R2560" t="s">
        <v>19</v>
      </c>
      <c r="S2560" t="s">
        <v>19</v>
      </c>
      <c r="T2560" t="s">
        <v>19</v>
      </c>
    </row>
    <row r="2561" spans="1:21" ht="15" customHeight="1" x14ac:dyDescent="0.25">
      <c r="A2561" t="s">
        <v>19</v>
      </c>
      <c r="B2561" t="s">
        <v>20</v>
      </c>
      <c r="C2561" t="s">
        <v>305</v>
      </c>
      <c r="D2561">
        <v>3</v>
      </c>
      <c r="E2561" t="s">
        <v>195</v>
      </c>
      <c r="F2561" t="s">
        <v>388</v>
      </c>
      <c r="G2561">
        <v>20</v>
      </c>
      <c r="H2561">
        <v>30</v>
      </c>
      <c r="I2561">
        <f>G2561+H2561</f>
        <v>50</v>
      </c>
      <c r="J2561">
        <f>100-G2561-H2561</f>
        <v>50</v>
      </c>
      <c r="K2561" t="s">
        <v>19</v>
      </c>
      <c r="L2561" t="s">
        <v>19</v>
      </c>
      <c r="M2561" t="s">
        <v>19</v>
      </c>
      <c r="N2561" t="s">
        <v>19</v>
      </c>
      <c r="O2561" t="s">
        <v>19</v>
      </c>
      <c r="P2561" t="s">
        <v>19</v>
      </c>
      <c r="Q2561">
        <f>I2561</f>
        <v>50</v>
      </c>
      <c r="R2561" t="s">
        <v>19</v>
      </c>
      <c r="S2561" t="s">
        <v>19</v>
      </c>
      <c r="T2561" t="s">
        <v>19</v>
      </c>
    </row>
    <row r="2562" spans="1:21" ht="15" customHeight="1" x14ac:dyDescent="0.25">
      <c r="A2562" t="s">
        <v>19</v>
      </c>
      <c r="B2562" t="s">
        <v>20</v>
      </c>
      <c r="C2562" t="s">
        <v>307</v>
      </c>
      <c r="D2562">
        <v>3</v>
      </c>
      <c r="E2562" t="s">
        <v>195</v>
      </c>
      <c r="F2562" t="s">
        <v>388</v>
      </c>
      <c r="G2562">
        <v>15</v>
      </c>
      <c r="H2562">
        <v>15</v>
      </c>
      <c r="I2562">
        <f>G2562+H2562</f>
        <v>30</v>
      </c>
      <c r="J2562">
        <f>100-G2562-H2562</f>
        <v>70</v>
      </c>
      <c r="K2562" t="s">
        <v>19</v>
      </c>
      <c r="L2562" t="s">
        <v>19</v>
      </c>
      <c r="M2562" t="s">
        <v>19</v>
      </c>
      <c r="N2562" t="s">
        <v>19</v>
      </c>
      <c r="O2562" t="s">
        <v>19</v>
      </c>
      <c r="P2562" t="s">
        <v>19</v>
      </c>
      <c r="Q2562">
        <f>I2562</f>
        <v>30</v>
      </c>
      <c r="R2562" t="s">
        <v>19</v>
      </c>
      <c r="S2562" t="s">
        <v>19</v>
      </c>
      <c r="T2562" t="s">
        <v>19</v>
      </c>
    </row>
    <row r="2563" spans="1:21" ht="15" customHeight="1" x14ac:dyDescent="0.25">
      <c r="A2563" s="2">
        <v>45253.645138888889</v>
      </c>
      <c r="B2563" t="s">
        <v>309</v>
      </c>
      <c r="C2563" t="s">
        <v>213</v>
      </c>
      <c r="D2563">
        <v>3</v>
      </c>
      <c r="E2563" t="s">
        <v>195</v>
      </c>
      <c r="F2563" t="s">
        <v>388</v>
      </c>
      <c r="G2563">
        <v>13.8671875</v>
      </c>
      <c r="H2563">
        <v>57.6171875</v>
      </c>
      <c r="I2563">
        <v>71.484375</v>
      </c>
      <c r="J2563">
        <v>28.515625</v>
      </c>
      <c r="K2563">
        <v>0.8</v>
      </c>
      <c r="L2563">
        <v>0.2</v>
      </c>
      <c r="M2563">
        <v>0.7</v>
      </c>
      <c r="N2563">
        <v>146</v>
      </c>
      <c r="O2563">
        <v>71</v>
      </c>
      <c r="P2563">
        <v>295</v>
      </c>
      <c r="Q2563">
        <v>71.48</v>
      </c>
      <c r="R2563" t="s">
        <v>289</v>
      </c>
      <c r="S2563">
        <v>2.89</v>
      </c>
      <c r="T2563">
        <v>3.67</v>
      </c>
    </row>
    <row r="2564" spans="1:21" ht="15" customHeight="1" x14ac:dyDescent="0.25">
      <c r="A2564" s="2">
        <v>45253.88958333333</v>
      </c>
      <c r="B2564" t="s">
        <v>309</v>
      </c>
      <c r="C2564" t="s">
        <v>215</v>
      </c>
      <c r="D2564">
        <v>2</v>
      </c>
      <c r="E2564" t="s">
        <v>195</v>
      </c>
      <c r="F2564" t="s">
        <v>388</v>
      </c>
      <c r="G2564">
        <v>1.213960546</v>
      </c>
      <c r="H2564">
        <v>0</v>
      </c>
      <c r="I2564">
        <v>1.213960546</v>
      </c>
      <c r="J2564">
        <v>98.786039450000004</v>
      </c>
      <c r="K2564">
        <v>0.8</v>
      </c>
      <c r="L2564">
        <v>0.2</v>
      </c>
      <c r="M2564">
        <v>0.7</v>
      </c>
      <c r="N2564">
        <v>651</v>
      </c>
      <c r="O2564">
        <v>8</v>
      </c>
      <c r="P2564">
        <v>0</v>
      </c>
      <c r="Q2564">
        <v>1.21</v>
      </c>
      <c r="R2564" t="s">
        <v>243</v>
      </c>
      <c r="S2564">
        <v>0.1</v>
      </c>
      <c r="T2564">
        <v>0.11</v>
      </c>
    </row>
    <row r="2565" spans="1:21" ht="15" customHeight="1" x14ac:dyDescent="0.25">
      <c r="A2565" s="2">
        <v>45254.061111111114</v>
      </c>
      <c r="B2565" t="s">
        <v>309</v>
      </c>
      <c r="C2565" t="s">
        <v>217</v>
      </c>
      <c r="D2565">
        <v>2</v>
      </c>
      <c r="E2565" t="s">
        <v>195</v>
      </c>
      <c r="F2565" t="s">
        <v>388</v>
      </c>
      <c r="G2565">
        <v>1.4641288429999999</v>
      </c>
      <c r="H2565">
        <v>0</v>
      </c>
      <c r="I2565">
        <v>1.4641288429999999</v>
      </c>
      <c r="J2565">
        <v>98.535871159999999</v>
      </c>
      <c r="K2565">
        <v>0.8</v>
      </c>
      <c r="L2565">
        <v>0.2</v>
      </c>
      <c r="M2565">
        <v>0.7</v>
      </c>
      <c r="N2565">
        <v>673</v>
      </c>
      <c r="O2565">
        <v>10</v>
      </c>
      <c r="P2565">
        <v>0</v>
      </c>
      <c r="Q2565">
        <v>1.46</v>
      </c>
      <c r="R2565" t="s">
        <v>227</v>
      </c>
      <c r="S2565">
        <v>0.08</v>
      </c>
      <c r="T2565">
        <v>0.08</v>
      </c>
    </row>
    <row r="2566" spans="1:21" ht="15" customHeight="1" x14ac:dyDescent="0.25">
      <c r="A2566" s="2">
        <v>45316.570138888892</v>
      </c>
      <c r="B2566" t="s">
        <v>309</v>
      </c>
      <c r="C2566" t="s">
        <v>219</v>
      </c>
      <c r="D2566">
        <v>3</v>
      </c>
      <c r="E2566" t="s">
        <v>195</v>
      </c>
      <c r="F2566" t="s">
        <v>388</v>
      </c>
      <c r="G2566">
        <v>19.246861920000001</v>
      </c>
      <c r="H2566">
        <v>49.581589960000002</v>
      </c>
      <c r="I2566">
        <v>68.828451880000003</v>
      </c>
      <c r="J2566">
        <v>31.171548120000001</v>
      </c>
      <c r="K2566">
        <v>0.8</v>
      </c>
      <c r="L2566">
        <v>0.2</v>
      </c>
      <c r="M2566">
        <v>0.7</v>
      </c>
      <c r="N2566">
        <v>149</v>
      </c>
      <c r="O2566">
        <v>92</v>
      </c>
      <c r="P2566">
        <v>237</v>
      </c>
      <c r="Q2566">
        <v>68.83</v>
      </c>
      <c r="R2566" t="s">
        <v>231</v>
      </c>
      <c r="S2566">
        <v>3.19</v>
      </c>
      <c r="T2566">
        <v>4.8</v>
      </c>
    </row>
    <row r="2567" spans="1:21" ht="15" customHeight="1" x14ac:dyDescent="0.25">
      <c r="A2567" s="2">
        <v>45320.915972222225</v>
      </c>
      <c r="B2567" t="s">
        <v>309</v>
      </c>
      <c r="C2567" t="s">
        <v>221</v>
      </c>
      <c r="D2567">
        <v>2</v>
      </c>
      <c r="E2567" t="s">
        <v>195</v>
      </c>
      <c r="F2567" t="s">
        <v>388</v>
      </c>
      <c r="G2567">
        <v>78.391167190000004</v>
      </c>
      <c r="H2567">
        <v>0</v>
      </c>
      <c r="I2567">
        <v>78.391167190000004</v>
      </c>
      <c r="J2567">
        <v>21.608832809999999</v>
      </c>
      <c r="K2567">
        <v>0.8</v>
      </c>
      <c r="L2567">
        <v>0.3</v>
      </c>
      <c r="M2567">
        <v>0.7</v>
      </c>
      <c r="N2567">
        <v>137</v>
      </c>
      <c r="O2567">
        <v>497</v>
      </c>
      <c r="P2567">
        <v>0</v>
      </c>
      <c r="Q2567">
        <v>78.39</v>
      </c>
      <c r="R2567" t="s">
        <v>283</v>
      </c>
      <c r="S2567">
        <v>2.21</v>
      </c>
      <c r="T2567">
        <v>2.33</v>
      </c>
    </row>
    <row r="2568" spans="1:21" ht="15" customHeight="1" x14ac:dyDescent="0.25">
      <c r="A2568" t="s">
        <v>19</v>
      </c>
      <c r="B2568" t="s">
        <v>20</v>
      </c>
      <c r="C2568" t="s">
        <v>306</v>
      </c>
      <c r="D2568">
        <v>3</v>
      </c>
      <c r="E2568" t="s">
        <v>195</v>
      </c>
      <c r="F2568" t="s">
        <v>388</v>
      </c>
      <c r="G2568">
        <v>45</v>
      </c>
      <c r="H2568">
        <v>50</v>
      </c>
      <c r="I2568">
        <f>G2568+H2568</f>
        <v>95</v>
      </c>
      <c r="J2568">
        <f>100-G2568-H2568</f>
        <v>5</v>
      </c>
      <c r="K2568" t="s">
        <v>19</v>
      </c>
      <c r="L2568" t="s">
        <v>19</v>
      </c>
      <c r="M2568" t="s">
        <v>19</v>
      </c>
      <c r="N2568" t="s">
        <v>19</v>
      </c>
      <c r="O2568" t="s">
        <v>19</v>
      </c>
      <c r="P2568" t="s">
        <v>19</v>
      </c>
      <c r="Q2568">
        <f>I2568</f>
        <v>95</v>
      </c>
      <c r="R2568" t="s">
        <v>19</v>
      </c>
      <c r="S2568" t="s">
        <v>19</v>
      </c>
      <c r="T2568" t="s">
        <v>19</v>
      </c>
    </row>
    <row r="2569" spans="1:21" ht="15" customHeight="1" x14ac:dyDescent="0.25">
      <c r="A2569" t="s">
        <v>19</v>
      </c>
      <c r="B2569" t="s">
        <v>20</v>
      </c>
      <c r="C2569" t="s">
        <v>320</v>
      </c>
      <c r="D2569">
        <v>3</v>
      </c>
      <c r="E2569" t="s">
        <v>195</v>
      </c>
      <c r="F2569" t="s">
        <v>388</v>
      </c>
      <c r="G2569">
        <v>45</v>
      </c>
      <c r="H2569">
        <v>55</v>
      </c>
      <c r="I2569">
        <f>100-J2569</f>
        <v>100</v>
      </c>
      <c r="J2569">
        <f>100-G2569-H2569</f>
        <v>0</v>
      </c>
      <c r="K2569" t="s">
        <v>19</v>
      </c>
      <c r="L2569" t="s">
        <v>19</v>
      </c>
      <c r="M2569" t="s">
        <v>19</v>
      </c>
      <c r="N2569" t="s">
        <v>19</v>
      </c>
      <c r="O2569" t="s">
        <v>19</v>
      </c>
      <c r="P2569" t="s">
        <v>19</v>
      </c>
      <c r="Q2569">
        <f>I2569</f>
        <v>100</v>
      </c>
      <c r="R2569" t="s">
        <v>19</v>
      </c>
      <c r="S2569" t="s">
        <v>19</v>
      </c>
      <c r="T2569" t="s">
        <v>19</v>
      </c>
    </row>
    <row r="2570" spans="1:21" ht="15" customHeight="1" x14ac:dyDescent="0.25">
      <c r="A2570" s="2">
        <v>45323.65792824074</v>
      </c>
      <c r="B2570" t="s">
        <v>309</v>
      </c>
      <c r="C2570" t="s">
        <v>322</v>
      </c>
      <c r="D2570">
        <v>3</v>
      </c>
      <c r="E2570" t="s">
        <v>195</v>
      </c>
      <c r="F2570" t="s">
        <v>388</v>
      </c>
      <c r="G2570">
        <f>(O2570/(N2570+O2570+P2570))*100</f>
        <v>21.466905187835419</v>
      </c>
      <c r="H2570">
        <f>(P2570/(O2570+P2570+N2570))*100</f>
        <v>38.998211091234346</v>
      </c>
      <c r="I2570">
        <v>60.47</v>
      </c>
      <c r="J2570">
        <f>(N2570/(P2570+O2570+N2570))*100</f>
        <v>39.534883720930232</v>
      </c>
      <c r="K2570">
        <v>0.8</v>
      </c>
      <c r="L2570">
        <v>0.3</v>
      </c>
      <c r="M2570">
        <v>0.7</v>
      </c>
      <c r="N2570">
        <v>221</v>
      </c>
      <c r="O2570">
        <v>120</v>
      </c>
      <c r="P2570">
        <v>218</v>
      </c>
      <c r="Q2570">
        <v>60.47</v>
      </c>
      <c r="R2570" t="s">
        <v>255</v>
      </c>
      <c r="S2570">
        <v>2.8</v>
      </c>
      <c r="T2570">
        <v>3.7</v>
      </c>
      <c r="U2570">
        <v>149</v>
      </c>
    </row>
    <row r="2571" spans="1:21" ht="15" customHeight="1" x14ac:dyDescent="0.25">
      <c r="A2571" s="2">
        <v>45323.653067129628</v>
      </c>
      <c r="B2571" t="s">
        <v>309</v>
      </c>
      <c r="C2571" t="s">
        <v>322</v>
      </c>
      <c r="D2571">
        <v>3</v>
      </c>
      <c r="E2571" t="s">
        <v>195</v>
      </c>
      <c r="F2571" t="s">
        <v>388</v>
      </c>
      <c r="G2571">
        <f>(O2571/(N2571+O2571+P2571))*100</f>
        <v>25.593220338983052</v>
      </c>
      <c r="H2571">
        <f>(P2571/(O2571+P2571+N2571))*100</f>
        <v>41.525423728813557</v>
      </c>
      <c r="I2571">
        <v>67.12</v>
      </c>
      <c r="J2571">
        <f>(N2571/(P2571+O2571+N2571))*100</f>
        <v>32.881355932203391</v>
      </c>
      <c r="K2571">
        <v>0.7</v>
      </c>
      <c r="L2571">
        <v>0.3</v>
      </c>
      <c r="M2571">
        <v>0.7</v>
      </c>
      <c r="N2571">
        <v>194</v>
      </c>
      <c r="O2571">
        <v>151</v>
      </c>
      <c r="P2571">
        <v>245</v>
      </c>
      <c r="Q2571">
        <v>67.12</v>
      </c>
      <c r="R2571" t="s">
        <v>214</v>
      </c>
      <c r="S2571">
        <v>2.8</v>
      </c>
      <c r="T2571">
        <v>3.7</v>
      </c>
      <c r="U2571">
        <v>118</v>
      </c>
    </row>
    <row r="2572" spans="1:21" ht="15" customHeight="1" x14ac:dyDescent="0.25">
      <c r="A2572" s="2">
        <v>45325.068379629629</v>
      </c>
      <c r="B2572" t="s">
        <v>309</v>
      </c>
      <c r="C2572" t="s">
        <v>368</v>
      </c>
      <c r="D2572">
        <v>2</v>
      </c>
      <c r="E2572" t="s">
        <v>195</v>
      </c>
      <c r="F2572" t="s">
        <v>388</v>
      </c>
      <c r="G2572">
        <f>(O2572/(N2572+O2572+P2572))*100</f>
        <v>83.747927031509121</v>
      </c>
      <c r="H2572">
        <f>(P2572/(O2572+P2572+N2572))*100</f>
        <v>0</v>
      </c>
      <c r="I2572">
        <v>83.75</v>
      </c>
      <c r="J2572">
        <f>(N2572/(P2572+O2572+N2572))*100</f>
        <v>16.252072968490879</v>
      </c>
      <c r="K2572">
        <v>0.8</v>
      </c>
      <c r="L2572">
        <v>0.3</v>
      </c>
      <c r="M2572">
        <v>0.7</v>
      </c>
      <c r="N2572">
        <v>98</v>
      </c>
      <c r="O2572">
        <v>505</v>
      </c>
      <c r="P2572">
        <v>0</v>
      </c>
      <c r="Q2572">
        <v>83.75</v>
      </c>
      <c r="R2572" t="s">
        <v>245</v>
      </c>
      <c r="S2572">
        <v>2.14</v>
      </c>
      <c r="T2572">
        <v>2.2999999999999998</v>
      </c>
    </row>
    <row r="2573" spans="1:21" ht="15" customHeight="1" x14ac:dyDescent="0.25">
      <c r="A2573" t="s">
        <v>19</v>
      </c>
      <c r="B2573" t="s">
        <v>20</v>
      </c>
      <c r="C2573" t="s">
        <v>308</v>
      </c>
      <c r="D2573">
        <v>3</v>
      </c>
      <c r="E2573" t="s">
        <v>196</v>
      </c>
      <c r="F2573" t="s">
        <v>388</v>
      </c>
      <c r="G2573">
        <v>5</v>
      </c>
      <c r="H2573">
        <v>0</v>
      </c>
      <c r="I2573">
        <f>G2573+H2573</f>
        <v>5</v>
      </c>
      <c r="J2573">
        <f>100-G2573-H2573</f>
        <v>95</v>
      </c>
      <c r="K2573" t="s">
        <v>19</v>
      </c>
      <c r="L2573" t="s">
        <v>19</v>
      </c>
      <c r="M2573" t="s">
        <v>19</v>
      </c>
      <c r="N2573" t="s">
        <v>19</v>
      </c>
      <c r="O2573" t="s">
        <v>19</v>
      </c>
      <c r="P2573" t="s">
        <v>19</v>
      </c>
      <c r="Q2573">
        <f>I2573</f>
        <v>5</v>
      </c>
      <c r="R2573" t="s">
        <v>19</v>
      </c>
      <c r="S2573" t="s">
        <v>19</v>
      </c>
      <c r="T2573" t="s">
        <v>19</v>
      </c>
    </row>
    <row r="2574" spans="1:21" ht="15" customHeight="1" x14ac:dyDescent="0.25">
      <c r="A2574" t="s">
        <v>19</v>
      </c>
      <c r="B2574" t="s">
        <v>20</v>
      </c>
      <c r="C2574" t="s">
        <v>22</v>
      </c>
      <c r="D2574">
        <v>3</v>
      </c>
      <c r="E2574" t="s">
        <v>196</v>
      </c>
      <c r="F2574" t="s">
        <v>388</v>
      </c>
      <c r="G2574">
        <v>0</v>
      </c>
      <c r="H2574">
        <v>0</v>
      </c>
      <c r="I2574">
        <f>G2574+H2574</f>
        <v>0</v>
      </c>
      <c r="J2574">
        <f>100-G2574-H2574</f>
        <v>100</v>
      </c>
      <c r="K2574" t="s">
        <v>19</v>
      </c>
      <c r="L2574" t="s">
        <v>19</v>
      </c>
      <c r="M2574" t="s">
        <v>19</v>
      </c>
      <c r="N2574" t="s">
        <v>19</v>
      </c>
      <c r="O2574" t="s">
        <v>19</v>
      </c>
      <c r="P2574" t="s">
        <v>19</v>
      </c>
      <c r="Q2574">
        <f>I2574</f>
        <v>0</v>
      </c>
      <c r="R2574" t="s">
        <v>19</v>
      </c>
      <c r="S2574" t="s">
        <v>19</v>
      </c>
      <c r="T2574" t="s">
        <v>19</v>
      </c>
    </row>
    <row r="2575" spans="1:21" ht="15" customHeight="1" x14ac:dyDescent="0.25">
      <c r="A2575" t="s">
        <v>19</v>
      </c>
      <c r="B2575" t="s">
        <v>20</v>
      </c>
      <c r="C2575" t="s">
        <v>305</v>
      </c>
      <c r="D2575">
        <v>3</v>
      </c>
      <c r="E2575" t="s">
        <v>196</v>
      </c>
      <c r="F2575" t="s">
        <v>388</v>
      </c>
      <c r="G2575">
        <v>6</v>
      </c>
      <c r="H2575">
        <v>0</v>
      </c>
      <c r="I2575">
        <f>G2575+H2575</f>
        <v>6</v>
      </c>
      <c r="J2575">
        <f>100-G2575-H2575</f>
        <v>94</v>
      </c>
      <c r="K2575" t="s">
        <v>19</v>
      </c>
      <c r="L2575" t="s">
        <v>19</v>
      </c>
      <c r="M2575" t="s">
        <v>19</v>
      </c>
      <c r="N2575" t="s">
        <v>19</v>
      </c>
      <c r="O2575" t="s">
        <v>19</v>
      </c>
      <c r="P2575" t="s">
        <v>19</v>
      </c>
      <c r="Q2575">
        <f>I2575</f>
        <v>6</v>
      </c>
      <c r="R2575" t="s">
        <v>19</v>
      </c>
      <c r="S2575" t="s">
        <v>19</v>
      </c>
      <c r="T2575" t="s">
        <v>19</v>
      </c>
    </row>
    <row r="2576" spans="1:21" ht="15" customHeight="1" x14ac:dyDescent="0.25">
      <c r="A2576" t="s">
        <v>19</v>
      </c>
      <c r="B2576" t="s">
        <v>20</v>
      </c>
      <c r="C2576" t="s">
        <v>307</v>
      </c>
      <c r="D2576">
        <v>3</v>
      </c>
      <c r="E2576" t="s">
        <v>196</v>
      </c>
      <c r="F2576" t="s">
        <v>388</v>
      </c>
      <c r="G2576">
        <v>0</v>
      </c>
      <c r="H2576">
        <v>0</v>
      </c>
      <c r="I2576">
        <f>G2576+H2576</f>
        <v>0</v>
      </c>
      <c r="J2576">
        <f>100-G2576-H2576</f>
        <v>100</v>
      </c>
      <c r="K2576" t="s">
        <v>19</v>
      </c>
      <c r="L2576" t="s">
        <v>19</v>
      </c>
      <c r="M2576" t="s">
        <v>19</v>
      </c>
      <c r="N2576" t="s">
        <v>19</v>
      </c>
      <c r="O2576" t="s">
        <v>19</v>
      </c>
      <c r="P2576" t="s">
        <v>19</v>
      </c>
      <c r="Q2576">
        <f>I2576</f>
        <v>0</v>
      </c>
      <c r="R2576" t="s">
        <v>19</v>
      </c>
      <c r="S2576" t="s">
        <v>19</v>
      </c>
      <c r="T2576" t="s">
        <v>19</v>
      </c>
    </row>
    <row r="2577" spans="1:21" ht="15" customHeight="1" x14ac:dyDescent="0.25">
      <c r="A2577" s="2">
        <v>45253.646527777775</v>
      </c>
      <c r="B2577" t="s">
        <v>309</v>
      </c>
      <c r="C2577" t="s">
        <v>213</v>
      </c>
      <c r="D2577">
        <v>3</v>
      </c>
      <c r="E2577" t="s">
        <v>196</v>
      </c>
      <c r="F2577" t="s">
        <v>388</v>
      </c>
      <c r="G2577">
        <v>14.697406340000001</v>
      </c>
      <c r="H2577">
        <v>3.170028818</v>
      </c>
      <c r="I2577">
        <v>17.867435159999999</v>
      </c>
      <c r="J2577">
        <v>82.132564840000001</v>
      </c>
      <c r="K2577">
        <v>0.8</v>
      </c>
      <c r="L2577">
        <v>0.2</v>
      </c>
      <c r="M2577">
        <v>0.7</v>
      </c>
      <c r="N2577">
        <v>285</v>
      </c>
      <c r="O2577">
        <v>51</v>
      </c>
      <c r="P2577">
        <v>11</v>
      </c>
      <c r="Q2577">
        <v>17.87</v>
      </c>
      <c r="R2577" t="s">
        <v>253</v>
      </c>
      <c r="S2577">
        <v>3.08</v>
      </c>
      <c r="T2577">
        <v>3.8</v>
      </c>
    </row>
    <row r="2578" spans="1:21" ht="15" customHeight="1" x14ac:dyDescent="0.25">
      <c r="A2578" s="2">
        <v>45253.890277777777</v>
      </c>
      <c r="B2578" t="s">
        <v>309</v>
      </c>
      <c r="C2578" t="s">
        <v>215</v>
      </c>
      <c r="D2578">
        <v>2</v>
      </c>
      <c r="E2578" t="s">
        <v>196</v>
      </c>
      <c r="F2578" t="s">
        <v>388</v>
      </c>
      <c r="G2578">
        <v>8.0838323350000003</v>
      </c>
      <c r="H2578">
        <v>0</v>
      </c>
      <c r="I2578">
        <v>8.0838323350000003</v>
      </c>
      <c r="J2578">
        <v>91.916167659999999</v>
      </c>
      <c r="K2578">
        <v>0.8</v>
      </c>
      <c r="L2578">
        <v>0.2</v>
      </c>
      <c r="M2578">
        <v>0.7</v>
      </c>
      <c r="N2578">
        <v>614</v>
      </c>
      <c r="O2578">
        <v>54</v>
      </c>
      <c r="P2578">
        <v>0</v>
      </c>
      <c r="Q2578">
        <v>8.08</v>
      </c>
      <c r="R2578" t="s">
        <v>243</v>
      </c>
      <c r="S2578">
        <v>0.21</v>
      </c>
      <c r="T2578">
        <v>0.23</v>
      </c>
    </row>
    <row r="2579" spans="1:21" ht="15" customHeight="1" x14ac:dyDescent="0.25">
      <c r="A2579" s="2">
        <v>45254.061805555553</v>
      </c>
      <c r="B2579" t="s">
        <v>309</v>
      </c>
      <c r="C2579" t="s">
        <v>217</v>
      </c>
      <c r="D2579">
        <v>2</v>
      </c>
      <c r="E2579" t="s">
        <v>196</v>
      </c>
      <c r="F2579" t="s">
        <v>388</v>
      </c>
      <c r="G2579">
        <v>9.2953523239999996</v>
      </c>
      <c r="H2579">
        <v>0</v>
      </c>
      <c r="I2579">
        <v>9.2953523239999996</v>
      </c>
      <c r="J2579">
        <v>90.704647679999994</v>
      </c>
      <c r="K2579">
        <v>0.8</v>
      </c>
      <c r="L2579">
        <v>0.2</v>
      </c>
      <c r="M2579">
        <v>0.7</v>
      </c>
      <c r="N2579">
        <v>605</v>
      </c>
      <c r="O2579">
        <v>62</v>
      </c>
      <c r="P2579">
        <v>0</v>
      </c>
      <c r="Q2579">
        <v>9.3000000000000007</v>
      </c>
      <c r="R2579" t="s">
        <v>226</v>
      </c>
      <c r="S2579">
        <v>0.24</v>
      </c>
      <c r="T2579">
        <v>0.26</v>
      </c>
    </row>
    <row r="2580" spans="1:21" ht="15" customHeight="1" x14ac:dyDescent="0.25">
      <c r="A2580" s="2">
        <v>45316.570833333331</v>
      </c>
      <c r="B2580" t="s">
        <v>309</v>
      </c>
      <c r="C2580" t="s">
        <v>219</v>
      </c>
      <c r="D2580">
        <v>3</v>
      </c>
      <c r="E2580" t="s">
        <v>196</v>
      </c>
      <c r="F2580" t="s">
        <v>388</v>
      </c>
      <c r="G2580">
        <v>23</v>
      </c>
      <c r="H2580">
        <v>5</v>
      </c>
      <c r="I2580">
        <v>28</v>
      </c>
      <c r="J2580">
        <v>72</v>
      </c>
      <c r="K2580">
        <v>0.8</v>
      </c>
      <c r="L2580">
        <v>0.2</v>
      </c>
      <c r="M2580">
        <v>0.7</v>
      </c>
      <c r="N2580">
        <v>72</v>
      </c>
      <c r="O2580">
        <v>23</v>
      </c>
      <c r="P2580">
        <v>5</v>
      </c>
      <c r="Q2580">
        <v>28</v>
      </c>
      <c r="R2580" t="s">
        <v>225</v>
      </c>
      <c r="S2580">
        <v>3.28</v>
      </c>
      <c r="T2580">
        <v>4.59</v>
      </c>
    </row>
    <row r="2581" spans="1:21" ht="15" customHeight="1" x14ac:dyDescent="0.25">
      <c r="A2581" s="2">
        <v>45320.917361111111</v>
      </c>
      <c r="B2581" t="s">
        <v>309</v>
      </c>
      <c r="C2581" t="s">
        <v>221</v>
      </c>
      <c r="D2581">
        <v>2</v>
      </c>
      <c r="E2581" t="s">
        <v>196</v>
      </c>
      <c r="F2581" t="s">
        <v>388</v>
      </c>
      <c r="G2581">
        <v>7.820299501</v>
      </c>
      <c r="H2581">
        <v>0</v>
      </c>
      <c r="I2581">
        <v>7.820299501</v>
      </c>
      <c r="J2581">
        <v>92.179700499999996</v>
      </c>
      <c r="K2581">
        <v>0.8</v>
      </c>
      <c r="L2581">
        <v>0.3</v>
      </c>
      <c r="M2581">
        <v>0.7</v>
      </c>
      <c r="N2581">
        <v>554</v>
      </c>
      <c r="O2581">
        <v>47</v>
      </c>
      <c r="P2581">
        <v>0</v>
      </c>
      <c r="Q2581">
        <v>7.82</v>
      </c>
      <c r="R2581" t="s">
        <v>222</v>
      </c>
      <c r="S2581">
        <v>0.28999999999999998</v>
      </c>
      <c r="T2581">
        <v>0.32</v>
      </c>
    </row>
    <row r="2582" spans="1:21" ht="15" customHeight="1" x14ac:dyDescent="0.25">
      <c r="A2582" t="s">
        <v>19</v>
      </c>
      <c r="B2582" t="s">
        <v>20</v>
      </c>
      <c r="C2582" t="s">
        <v>306</v>
      </c>
      <c r="D2582">
        <v>3</v>
      </c>
      <c r="E2582" t="s">
        <v>196</v>
      </c>
      <c r="F2582" t="s">
        <v>388</v>
      </c>
      <c r="G2582">
        <v>0</v>
      </c>
      <c r="H2582">
        <v>0</v>
      </c>
      <c r="I2582">
        <f>G2582+H2582</f>
        <v>0</v>
      </c>
      <c r="J2582">
        <f>100-G2582-H2582</f>
        <v>100</v>
      </c>
      <c r="K2582" t="s">
        <v>19</v>
      </c>
      <c r="L2582" t="s">
        <v>19</v>
      </c>
      <c r="M2582" t="s">
        <v>19</v>
      </c>
      <c r="N2582" t="s">
        <v>19</v>
      </c>
      <c r="O2582" t="s">
        <v>19</v>
      </c>
      <c r="P2582" t="s">
        <v>19</v>
      </c>
      <c r="Q2582">
        <f>I2582</f>
        <v>0</v>
      </c>
      <c r="R2582" t="s">
        <v>19</v>
      </c>
      <c r="S2582" t="s">
        <v>19</v>
      </c>
      <c r="T2582" t="s">
        <v>19</v>
      </c>
    </row>
    <row r="2583" spans="1:21" ht="15" customHeight="1" x14ac:dyDescent="0.25">
      <c r="A2583" t="s">
        <v>19</v>
      </c>
      <c r="B2583" t="s">
        <v>20</v>
      </c>
      <c r="C2583" t="s">
        <v>320</v>
      </c>
      <c r="D2583">
        <v>3</v>
      </c>
      <c r="E2583" t="s">
        <v>196</v>
      </c>
      <c r="F2583" t="s">
        <v>388</v>
      </c>
      <c r="G2583">
        <v>0</v>
      </c>
      <c r="H2583">
        <v>0</v>
      </c>
      <c r="I2583">
        <f>100-J2583</f>
        <v>0</v>
      </c>
      <c r="J2583">
        <f>100-G2583-H2583</f>
        <v>100</v>
      </c>
      <c r="K2583" t="s">
        <v>19</v>
      </c>
      <c r="L2583" t="s">
        <v>19</v>
      </c>
      <c r="M2583" t="s">
        <v>19</v>
      </c>
      <c r="N2583" t="s">
        <v>19</v>
      </c>
      <c r="O2583" t="s">
        <v>19</v>
      </c>
      <c r="P2583" t="s">
        <v>19</v>
      </c>
      <c r="Q2583">
        <f>I2583</f>
        <v>0</v>
      </c>
      <c r="R2583" t="s">
        <v>19</v>
      </c>
      <c r="S2583" t="s">
        <v>19</v>
      </c>
      <c r="T2583" t="s">
        <v>19</v>
      </c>
    </row>
    <row r="2584" spans="1:21" ht="15" customHeight="1" x14ac:dyDescent="0.25">
      <c r="A2584" s="2">
        <v>45323.659479166665</v>
      </c>
      <c r="B2584" t="s">
        <v>309</v>
      </c>
      <c r="C2584" t="s">
        <v>322</v>
      </c>
      <c r="D2584">
        <v>3</v>
      </c>
      <c r="E2584" t="s">
        <v>196</v>
      </c>
      <c r="F2584" t="s">
        <v>388</v>
      </c>
      <c r="G2584" t="e">
        <f>(O2584/(N2584+O2584+P2584))*100</f>
        <v>#VALUE!</v>
      </c>
      <c r="H2584" t="e">
        <f>(P2584/(O2584+P2584+N2584))*100</f>
        <v>#VALUE!</v>
      </c>
      <c r="I2584">
        <v>16.8</v>
      </c>
      <c r="J2584" t="e">
        <f>(N2584/(P2584+O2584+N2584))*100</f>
        <v>#VALUE!</v>
      </c>
      <c r="K2584">
        <v>0.8</v>
      </c>
      <c r="L2584">
        <v>0.3</v>
      </c>
      <c r="M2584">
        <v>0.7</v>
      </c>
      <c r="N2584">
        <v>416</v>
      </c>
      <c r="O2584" t="s">
        <v>266</v>
      </c>
      <c r="P2584" t="s">
        <v>266</v>
      </c>
      <c r="Q2584">
        <v>16.8</v>
      </c>
      <c r="R2584" t="s">
        <v>245</v>
      </c>
      <c r="S2584">
        <v>3.01</v>
      </c>
      <c r="T2584">
        <v>4.01</v>
      </c>
      <c r="U2584">
        <v>192</v>
      </c>
    </row>
    <row r="2585" spans="1:21" ht="15" customHeight="1" x14ac:dyDescent="0.25">
      <c r="A2585" s="2">
        <v>45323.654594907406</v>
      </c>
      <c r="B2585" t="s">
        <v>309</v>
      </c>
      <c r="C2585" t="s">
        <v>322</v>
      </c>
      <c r="D2585">
        <v>3</v>
      </c>
      <c r="E2585" t="s">
        <v>196</v>
      </c>
      <c r="F2585" t="s">
        <v>388</v>
      </c>
      <c r="G2585" t="e">
        <f>(O2585/(N2585+O2585+P2585))*100</f>
        <v>#VALUE!</v>
      </c>
      <c r="H2585" t="e">
        <f>(P2585/(O2585+P2585+N2585))*100</f>
        <v>#VALUE!</v>
      </c>
      <c r="I2585">
        <v>21.8</v>
      </c>
      <c r="J2585" t="e">
        <f>(N2585/(P2585+O2585+N2585))*100</f>
        <v>#VALUE!</v>
      </c>
      <c r="K2585">
        <v>0.7</v>
      </c>
      <c r="L2585">
        <v>0.3</v>
      </c>
      <c r="M2585">
        <v>0.7</v>
      </c>
      <c r="N2585">
        <v>416</v>
      </c>
      <c r="O2585" t="s">
        <v>266</v>
      </c>
      <c r="P2585" t="s">
        <v>266</v>
      </c>
      <c r="Q2585">
        <v>21.8</v>
      </c>
      <c r="R2585" t="s">
        <v>248</v>
      </c>
      <c r="S2585">
        <v>3.01</v>
      </c>
      <c r="T2585">
        <v>4.01</v>
      </c>
      <c r="U2585">
        <v>160</v>
      </c>
    </row>
    <row r="2586" spans="1:21" ht="15" customHeight="1" x14ac:dyDescent="0.25">
      <c r="A2586" s="2">
        <v>45325.069953703707</v>
      </c>
      <c r="B2586" t="s">
        <v>309</v>
      </c>
      <c r="C2586" t="s">
        <v>368</v>
      </c>
      <c r="D2586">
        <v>2</v>
      </c>
      <c r="E2586" t="s">
        <v>196</v>
      </c>
      <c r="F2586" t="s">
        <v>388</v>
      </c>
      <c r="G2586">
        <f>(O2586/(N2586+O2586+P2586))*100</f>
        <v>7.7041602465331271</v>
      </c>
      <c r="H2586">
        <f>(P2586/(O2586+P2586+N2586))*100</f>
        <v>0</v>
      </c>
      <c r="I2586">
        <v>7.7</v>
      </c>
      <c r="J2586">
        <f>(N2586/(P2586+O2586+N2586))*100</f>
        <v>92.295839753466865</v>
      </c>
      <c r="K2586">
        <v>0.8</v>
      </c>
      <c r="L2586">
        <v>0.3</v>
      </c>
      <c r="M2586">
        <v>0.7</v>
      </c>
      <c r="N2586">
        <v>599</v>
      </c>
      <c r="O2586">
        <v>50</v>
      </c>
      <c r="P2586">
        <v>0</v>
      </c>
      <c r="Q2586">
        <v>7.7</v>
      </c>
      <c r="R2586" t="s">
        <v>264</v>
      </c>
      <c r="S2586">
        <v>0.25</v>
      </c>
      <c r="T2586">
        <v>0.26</v>
      </c>
    </row>
    <row r="2587" spans="1:21" ht="15" customHeight="1" x14ac:dyDescent="0.25">
      <c r="A2587" t="s">
        <v>19</v>
      </c>
      <c r="B2587" t="s">
        <v>20</v>
      </c>
      <c r="C2587" t="s">
        <v>306</v>
      </c>
      <c r="D2587">
        <v>3</v>
      </c>
      <c r="E2587" t="s">
        <v>197</v>
      </c>
      <c r="F2587" t="s">
        <v>373</v>
      </c>
      <c r="G2587">
        <v>0</v>
      </c>
      <c r="H2587">
        <v>0</v>
      </c>
      <c r="I2587">
        <f>G2587+H2587</f>
        <v>0</v>
      </c>
      <c r="J2587">
        <f>100-G2587-H2587</f>
        <v>100</v>
      </c>
      <c r="K2587" t="s">
        <v>19</v>
      </c>
      <c r="L2587" t="s">
        <v>19</v>
      </c>
      <c r="M2587" t="s">
        <v>19</v>
      </c>
      <c r="N2587" t="s">
        <v>19</v>
      </c>
      <c r="O2587" t="s">
        <v>19</v>
      </c>
      <c r="P2587" t="s">
        <v>19</v>
      </c>
      <c r="Q2587">
        <f>I2587</f>
        <v>0</v>
      </c>
      <c r="R2587" t="s">
        <v>19</v>
      </c>
      <c r="S2587" t="s">
        <v>19</v>
      </c>
      <c r="T2587" t="s">
        <v>19</v>
      </c>
    </row>
    <row r="2588" spans="1:21" ht="15" customHeight="1" x14ac:dyDescent="0.25">
      <c r="A2588" t="s">
        <v>19</v>
      </c>
      <c r="B2588" t="s">
        <v>20</v>
      </c>
      <c r="C2588" t="s">
        <v>308</v>
      </c>
      <c r="D2588">
        <v>3</v>
      </c>
      <c r="E2588" t="s">
        <v>197</v>
      </c>
      <c r="F2588" t="s">
        <v>373</v>
      </c>
      <c r="G2588">
        <v>0</v>
      </c>
      <c r="H2588">
        <v>0</v>
      </c>
      <c r="I2588">
        <f>G2588+H2588</f>
        <v>0</v>
      </c>
      <c r="J2588">
        <f>100-G2588-H2588</f>
        <v>100</v>
      </c>
      <c r="K2588" t="s">
        <v>19</v>
      </c>
      <c r="L2588" t="s">
        <v>19</v>
      </c>
      <c r="M2588" t="s">
        <v>19</v>
      </c>
      <c r="N2588" t="s">
        <v>19</v>
      </c>
      <c r="O2588" t="s">
        <v>19</v>
      </c>
      <c r="P2588" t="s">
        <v>19</v>
      </c>
      <c r="Q2588">
        <f>I2588</f>
        <v>0</v>
      </c>
      <c r="R2588" t="s">
        <v>19</v>
      </c>
      <c r="S2588" t="s">
        <v>19</v>
      </c>
      <c r="T2588" t="s">
        <v>19</v>
      </c>
    </row>
    <row r="2589" spans="1:21" ht="15" customHeight="1" x14ac:dyDescent="0.25">
      <c r="A2589" t="s">
        <v>19</v>
      </c>
      <c r="B2589" t="s">
        <v>20</v>
      </c>
      <c r="C2589" t="s">
        <v>22</v>
      </c>
      <c r="D2589">
        <v>3</v>
      </c>
      <c r="E2589" t="s">
        <v>197</v>
      </c>
      <c r="F2589" t="s">
        <v>373</v>
      </c>
      <c r="G2589">
        <v>0</v>
      </c>
      <c r="H2589">
        <v>0</v>
      </c>
      <c r="I2589">
        <f>G2589+H2589</f>
        <v>0</v>
      </c>
      <c r="J2589">
        <f>100-G2589-H2589</f>
        <v>100</v>
      </c>
      <c r="K2589" t="s">
        <v>19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  <c r="Q2589">
        <f>I2589</f>
        <v>0</v>
      </c>
      <c r="R2589" t="s">
        <v>19</v>
      </c>
      <c r="S2589" t="s">
        <v>19</v>
      </c>
      <c r="T2589" t="s">
        <v>19</v>
      </c>
    </row>
    <row r="2590" spans="1:21" ht="15" customHeight="1" x14ac:dyDescent="0.25">
      <c r="A2590" t="s">
        <v>19</v>
      </c>
      <c r="B2590" t="s">
        <v>20</v>
      </c>
      <c r="C2590" t="s">
        <v>305</v>
      </c>
      <c r="D2590">
        <v>3</v>
      </c>
      <c r="E2590" t="s">
        <v>197</v>
      </c>
      <c r="F2590" t="s">
        <v>373</v>
      </c>
      <c r="G2590">
        <v>0</v>
      </c>
      <c r="H2590">
        <v>0</v>
      </c>
      <c r="I2590">
        <f>G2590+H2590</f>
        <v>0</v>
      </c>
      <c r="J2590">
        <f>100-G2590-H2590</f>
        <v>100</v>
      </c>
      <c r="K2590" t="s">
        <v>19</v>
      </c>
      <c r="L2590" t="s">
        <v>19</v>
      </c>
      <c r="M2590" t="s">
        <v>19</v>
      </c>
      <c r="N2590" t="s">
        <v>19</v>
      </c>
      <c r="O2590" t="s">
        <v>19</v>
      </c>
      <c r="P2590" t="s">
        <v>19</v>
      </c>
      <c r="Q2590">
        <f>I2590</f>
        <v>0</v>
      </c>
      <c r="R2590" t="s">
        <v>19</v>
      </c>
      <c r="S2590" t="s">
        <v>19</v>
      </c>
      <c r="T2590" t="s">
        <v>19</v>
      </c>
    </row>
    <row r="2591" spans="1:21" ht="15" customHeight="1" x14ac:dyDescent="0.25">
      <c r="A2591" t="s">
        <v>19</v>
      </c>
      <c r="B2591" t="s">
        <v>20</v>
      </c>
      <c r="C2591" t="s">
        <v>307</v>
      </c>
      <c r="D2591">
        <v>3</v>
      </c>
      <c r="E2591" t="s">
        <v>197</v>
      </c>
      <c r="F2591" t="s">
        <v>373</v>
      </c>
      <c r="G2591">
        <v>0</v>
      </c>
      <c r="H2591">
        <v>0</v>
      </c>
      <c r="I2591">
        <f>G2591+H2591</f>
        <v>0</v>
      </c>
      <c r="J2591">
        <f>100-G2591-H2591</f>
        <v>100</v>
      </c>
      <c r="K2591" t="s">
        <v>19</v>
      </c>
      <c r="L2591" t="s">
        <v>19</v>
      </c>
      <c r="M2591" t="s">
        <v>19</v>
      </c>
      <c r="N2591" t="s">
        <v>19</v>
      </c>
      <c r="O2591" t="s">
        <v>19</v>
      </c>
      <c r="P2591" t="s">
        <v>19</v>
      </c>
      <c r="Q2591">
        <f>I2591</f>
        <v>0</v>
      </c>
      <c r="R2591" t="s">
        <v>19</v>
      </c>
      <c r="S2591" t="s">
        <v>19</v>
      </c>
      <c r="T2591" t="s">
        <v>19</v>
      </c>
    </row>
    <row r="2592" spans="1:21" ht="15" customHeight="1" x14ac:dyDescent="0.25">
      <c r="A2592" s="2">
        <v>45253.803472222222</v>
      </c>
      <c r="B2592" t="s">
        <v>309</v>
      </c>
      <c r="C2592" t="s">
        <v>213</v>
      </c>
      <c r="D2592">
        <v>3</v>
      </c>
      <c r="E2592" t="s">
        <v>197</v>
      </c>
      <c r="F2592" t="s">
        <v>373</v>
      </c>
      <c r="G2592">
        <v>0.899280576</v>
      </c>
      <c r="H2592">
        <v>0.17985611500000001</v>
      </c>
      <c r="I2592">
        <v>1.079136691</v>
      </c>
      <c r="J2592">
        <v>98.920863310000001</v>
      </c>
      <c r="K2592">
        <v>0.8</v>
      </c>
      <c r="L2592">
        <v>0.2</v>
      </c>
      <c r="M2592">
        <v>0.7</v>
      </c>
      <c r="N2592">
        <v>550</v>
      </c>
      <c r="O2592">
        <v>5</v>
      </c>
      <c r="P2592">
        <v>1</v>
      </c>
      <c r="Q2592">
        <v>1.08</v>
      </c>
      <c r="R2592" t="s">
        <v>246</v>
      </c>
      <c r="S2592">
        <v>2.91</v>
      </c>
      <c r="T2592">
        <v>3.25</v>
      </c>
    </row>
    <row r="2593" spans="1:21" ht="15" customHeight="1" x14ac:dyDescent="0.25">
      <c r="A2593" s="2">
        <v>45253.973611111112</v>
      </c>
      <c r="B2593" t="s">
        <v>309</v>
      </c>
      <c r="C2593" t="s">
        <v>215</v>
      </c>
      <c r="D2593">
        <v>2</v>
      </c>
      <c r="E2593" t="s">
        <v>197</v>
      </c>
      <c r="F2593" t="s">
        <v>373</v>
      </c>
      <c r="G2593">
        <v>0.306748466</v>
      </c>
      <c r="H2593">
        <v>0</v>
      </c>
      <c r="I2593">
        <v>0.306748466</v>
      </c>
      <c r="J2593">
        <v>99.693251529999998</v>
      </c>
      <c r="K2593">
        <v>0.8</v>
      </c>
      <c r="L2593">
        <v>0.2</v>
      </c>
      <c r="M2593">
        <v>0.7</v>
      </c>
      <c r="N2593">
        <v>650</v>
      </c>
      <c r="O2593">
        <v>2</v>
      </c>
      <c r="P2593">
        <v>0</v>
      </c>
      <c r="Q2593">
        <v>0.31</v>
      </c>
      <c r="R2593" t="s">
        <v>290</v>
      </c>
      <c r="S2593">
        <v>0.01</v>
      </c>
      <c r="T2593">
        <v>0.02</v>
      </c>
    </row>
    <row r="2594" spans="1:21" ht="15" customHeight="1" x14ac:dyDescent="0.25">
      <c r="A2594" s="2">
        <v>45254.151388888888</v>
      </c>
      <c r="B2594" t="s">
        <v>309</v>
      </c>
      <c r="C2594" t="s">
        <v>217</v>
      </c>
      <c r="D2594">
        <v>2</v>
      </c>
      <c r="E2594" t="s">
        <v>197</v>
      </c>
      <c r="F2594" t="s">
        <v>373</v>
      </c>
      <c r="G2594">
        <v>1.7054263569999999</v>
      </c>
      <c r="H2594">
        <v>0</v>
      </c>
      <c r="I2594">
        <v>1.7054263569999999</v>
      </c>
      <c r="J2594">
        <v>98.294573639999996</v>
      </c>
      <c r="K2594">
        <v>0.8</v>
      </c>
      <c r="L2594">
        <v>0.2</v>
      </c>
      <c r="M2594">
        <v>0.7</v>
      </c>
      <c r="N2594">
        <v>634</v>
      </c>
      <c r="O2594">
        <v>11</v>
      </c>
      <c r="P2594">
        <v>0</v>
      </c>
      <c r="Q2594">
        <v>1.71</v>
      </c>
      <c r="R2594" t="s">
        <v>224</v>
      </c>
      <c r="S2594">
        <v>0.06</v>
      </c>
      <c r="T2594">
        <v>0.06</v>
      </c>
    </row>
    <row r="2595" spans="1:21" ht="15" customHeight="1" x14ac:dyDescent="0.25">
      <c r="A2595" s="2">
        <v>45316.486805555556</v>
      </c>
      <c r="B2595" t="s">
        <v>309</v>
      </c>
      <c r="C2595" t="s">
        <v>219</v>
      </c>
      <c r="D2595">
        <v>3</v>
      </c>
      <c r="E2595" t="s">
        <v>197</v>
      </c>
      <c r="F2595" t="s">
        <v>373</v>
      </c>
      <c r="G2595">
        <v>11.020408160000001</v>
      </c>
      <c r="H2595">
        <v>0.408163265</v>
      </c>
      <c r="I2595">
        <v>11.42857143</v>
      </c>
      <c r="J2595">
        <v>88.571428569999995</v>
      </c>
      <c r="K2595">
        <v>0.8</v>
      </c>
      <c r="L2595">
        <v>0.2</v>
      </c>
      <c r="M2595">
        <v>0.7</v>
      </c>
      <c r="N2595">
        <v>217</v>
      </c>
      <c r="O2595">
        <v>27</v>
      </c>
      <c r="P2595">
        <v>1</v>
      </c>
      <c r="Q2595">
        <v>11.43</v>
      </c>
      <c r="R2595" t="s">
        <v>224</v>
      </c>
      <c r="S2595">
        <v>3.01</v>
      </c>
      <c r="T2595">
        <v>4.3099999999999996</v>
      </c>
    </row>
    <row r="2596" spans="1:21" ht="15" customHeight="1" x14ac:dyDescent="0.25">
      <c r="A2596" s="2">
        <v>45321.01458333333</v>
      </c>
      <c r="B2596" t="s">
        <v>309</v>
      </c>
      <c r="C2596" t="s">
        <v>221</v>
      </c>
      <c r="D2596">
        <v>2</v>
      </c>
      <c r="E2596" t="s">
        <v>197</v>
      </c>
      <c r="F2596" t="s">
        <v>373</v>
      </c>
      <c r="G2596">
        <v>2.2544283410000001</v>
      </c>
      <c r="H2596">
        <v>0</v>
      </c>
      <c r="I2596">
        <v>2.2544283410000001</v>
      </c>
      <c r="J2596">
        <v>97.745571659999996</v>
      </c>
      <c r="K2596">
        <v>0.8</v>
      </c>
      <c r="L2596">
        <v>0.3</v>
      </c>
      <c r="M2596">
        <v>0.7</v>
      </c>
      <c r="N2596">
        <v>607</v>
      </c>
      <c r="O2596">
        <v>14</v>
      </c>
      <c r="P2596">
        <v>0</v>
      </c>
      <c r="Q2596">
        <v>2.25</v>
      </c>
      <c r="R2596" t="s">
        <v>220</v>
      </c>
      <c r="S2596">
        <v>0.11</v>
      </c>
      <c r="T2596">
        <v>0.12</v>
      </c>
    </row>
    <row r="2597" spans="1:21" ht="15" customHeight="1" x14ac:dyDescent="0.25">
      <c r="A2597" t="s">
        <v>19</v>
      </c>
      <c r="B2597" t="s">
        <v>20</v>
      </c>
      <c r="C2597" t="s">
        <v>320</v>
      </c>
      <c r="D2597">
        <v>3</v>
      </c>
      <c r="E2597" t="s">
        <v>197</v>
      </c>
      <c r="F2597" t="s">
        <v>373</v>
      </c>
      <c r="G2597">
        <v>0</v>
      </c>
      <c r="H2597">
        <v>0</v>
      </c>
      <c r="I2597">
        <f>100-J2597</f>
        <v>0</v>
      </c>
      <c r="J2597">
        <f>100-G2597-H2597</f>
        <v>100</v>
      </c>
      <c r="K2597" t="s">
        <v>19</v>
      </c>
      <c r="L2597" t="s">
        <v>19</v>
      </c>
      <c r="M2597" t="s">
        <v>19</v>
      </c>
      <c r="N2597" t="s">
        <v>19</v>
      </c>
      <c r="O2597" t="s">
        <v>19</v>
      </c>
      <c r="P2597" t="s">
        <v>19</v>
      </c>
      <c r="Q2597">
        <f>I2597</f>
        <v>0</v>
      </c>
      <c r="R2597" t="s">
        <v>19</v>
      </c>
      <c r="S2597" t="s">
        <v>19</v>
      </c>
      <c r="T2597" t="s">
        <v>19</v>
      </c>
    </row>
    <row r="2598" spans="1:21" ht="15" customHeight="1" x14ac:dyDescent="0.25">
      <c r="A2598" s="2">
        <v>45323.65525462963</v>
      </c>
      <c r="B2598" t="s">
        <v>309</v>
      </c>
      <c r="C2598" t="s">
        <v>322</v>
      </c>
      <c r="D2598">
        <v>3</v>
      </c>
      <c r="E2598" t="s">
        <v>197</v>
      </c>
      <c r="F2598" t="s">
        <v>373</v>
      </c>
      <c r="G2598">
        <f>(O2598/(N2598+O2598+P2598))*100</f>
        <v>1.1705685618729096</v>
      </c>
      <c r="H2598">
        <f>(P2598/(O2598+P2598+N2598))*100</f>
        <v>0</v>
      </c>
      <c r="I2598">
        <f>((O2598+P2598)/(P2598+O2598+N2598))*100</f>
        <v>1.1705685618729096</v>
      </c>
      <c r="J2598">
        <f>(N2598/(P2598+O2598+N2598))*100</f>
        <v>98.829431438127088</v>
      </c>
      <c r="K2598">
        <v>0.8</v>
      </c>
      <c r="L2598">
        <v>0.3</v>
      </c>
      <c r="M2598">
        <v>0.7</v>
      </c>
      <c r="N2598">
        <v>591</v>
      </c>
      <c r="O2598">
        <v>7</v>
      </c>
      <c r="P2598">
        <v>0</v>
      </c>
      <c r="Q2598">
        <v>1.17</v>
      </c>
      <c r="R2598" t="s">
        <v>265</v>
      </c>
      <c r="S2598">
        <v>2.81</v>
      </c>
      <c r="T2598">
        <v>3.19</v>
      </c>
      <c r="U2598">
        <v>69</v>
      </c>
    </row>
    <row r="2599" spans="1:21" ht="15" customHeight="1" x14ac:dyDescent="0.25">
      <c r="A2599" s="2">
        <v>45323.661458333336</v>
      </c>
      <c r="B2599" t="s">
        <v>309</v>
      </c>
      <c r="C2599" t="s">
        <v>322</v>
      </c>
      <c r="D2599">
        <v>3</v>
      </c>
      <c r="E2599" t="s">
        <v>197</v>
      </c>
      <c r="F2599" t="s">
        <v>373</v>
      </c>
      <c r="G2599">
        <f>(O2599/(N2599+O2599+P2599))*100</f>
        <v>2.6359143327841847</v>
      </c>
      <c r="H2599">
        <f>(P2599/(O2599+P2599+N2599))*100</f>
        <v>0</v>
      </c>
      <c r="I2599">
        <f>((O2599+P2599)/(P2599+O2599+N2599))*100</f>
        <v>2.6359143327841847</v>
      </c>
      <c r="J2599">
        <f>(N2599/(P2599+O2599+N2599))*100</f>
        <v>97.364085667215818</v>
      </c>
      <c r="K2599">
        <v>0.7</v>
      </c>
      <c r="L2599">
        <v>0.3</v>
      </c>
      <c r="M2599">
        <v>0.7</v>
      </c>
      <c r="N2599">
        <v>591</v>
      </c>
      <c r="O2599">
        <v>16</v>
      </c>
      <c r="P2599">
        <v>0</v>
      </c>
      <c r="Q2599">
        <v>2.64</v>
      </c>
      <c r="R2599" t="s">
        <v>338</v>
      </c>
      <c r="S2599">
        <v>2.81</v>
      </c>
      <c r="T2599">
        <v>3.19</v>
      </c>
      <c r="U2599">
        <v>60</v>
      </c>
    </row>
    <row r="2600" spans="1:21" ht="15" customHeight="1" x14ac:dyDescent="0.25">
      <c r="A2600" s="2">
        <v>45325.214120370372</v>
      </c>
      <c r="B2600" t="s">
        <v>309</v>
      </c>
      <c r="C2600" t="s">
        <v>368</v>
      </c>
      <c r="D2600">
        <v>2</v>
      </c>
      <c r="E2600" t="s">
        <v>197</v>
      </c>
      <c r="F2600" t="s">
        <v>373</v>
      </c>
      <c r="G2600">
        <f>(O2600/(N2600+O2600+P2600))*100</f>
        <v>23.684210526315788</v>
      </c>
      <c r="H2600">
        <f>(P2600/(O2600+P2600+N2600))*100</f>
        <v>0</v>
      </c>
      <c r="I2600">
        <v>23.68</v>
      </c>
      <c r="J2600">
        <f>(N2600/(P2600+O2600+N2600))*100</f>
        <v>76.31578947368422</v>
      </c>
      <c r="K2600">
        <v>0.8</v>
      </c>
      <c r="L2600">
        <v>0.3</v>
      </c>
      <c r="M2600">
        <v>0.7</v>
      </c>
      <c r="N2600">
        <v>348</v>
      </c>
      <c r="O2600">
        <v>108</v>
      </c>
      <c r="P2600">
        <v>0</v>
      </c>
      <c r="Q2600">
        <v>23.68</v>
      </c>
      <c r="R2600" t="s">
        <v>367</v>
      </c>
      <c r="S2600">
        <v>0.93</v>
      </c>
      <c r="T2600">
        <v>0.98</v>
      </c>
    </row>
    <row r="2601" spans="1:21" ht="15" customHeight="1" x14ac:dyDescent="0.25">
      <c r="A2601" t="s">
        <v>19</v>
      </c>
      <c r="B2601" t="s">
        <v>20</v>
      </c>
      <c r="C2601" t="s">
        <v>306</v>
      </c>
      <c r="D2601">
        <v>3</v>
      </c>
      <c r="E2601" t="s">
        <v>198</v>
      </c>
      <c r="F2601" t="s">
        <v>373</v>
      </c>
      <c r="G2601">
        <v>65</v>
      </c>
      <c r="H2601">
        <v>35</v>
      </c>
      <c r="I2601">
        <f>G2601+H2601</f>
        <v>100</v>
      </c>
      <c r="J2601">
        <f>100-G2601-H2601</f>
        <v>0</v>
      </c>
      <c r="K2601" t="s">
        <v>19</v>
      </c>
      <c r="L2601" t="s">
        <v>19</v>
      </c>
      <c r="M2601" t="s">
        <v>19</v>
      </c>
      <c r="N2601" t="s">
        <v>19</v>
      </c>
      <c r="O2601" t="s">
        <v>19</v>
      </c>
      <c r="P2601" t="s">
        <v>19</v>
      </c>
      <c r="Q2601">
        <f>I2601</f>
        <v>100</v>
      </c>
      <c r="R2601" t="s">
        <v>19</v>
      </c>
      <c r="S2601" t="s">
        <v>19</v>
      </c>
      <c r="T2601" t="s">
        <v>19</v>
      </c>
    </row>
    <row r="2602" spans="1:21" ht="15" customHeight="1" x14ac:dyDescent="0.25">
      <c r="A2602" t="s">
        <v>19</v>
      </c>
      <c r="B2602" t="s">
        <v>20</v>
      </c>
      <c r="C2602" t="s">
        <v>308</v>
      </c>
      <c r="D2602">
        <v>3</v>
      </c>
      <c r="E2602" t="s">
        <v>198</v>
      </c>
      <c r="F2602" t="s">
        <v>373</v>
      </c>
      <c r="G2602">
        <v>90</v>
      </c>
      <c r="H2602">
        <v>5</v>
      </c>
      <c r="I2602">
        <f>G2602+H2602</f>
        <v>95</v>
      </c>
      <c r="J2602">
        <f>100-G2602-H2602</f>
        <v>5</v>
      </c>
      <c r="K2602" t="s">
        <v>19</v>
      </c>
      <c r="L2602" t="s">
        <v>19</v>
      </c>
      <c r="M2602" t="s">
        <v>19</v>
      </c>
      <c r="N2602" t="s">
        <v>19</v>
      </c>
      <c r="O2602" t="s">
        <v>19</v>
      </c>
      <c r="P2602" t="s">
        <v>19</v>
      </c>
      <c r="Q2602">
        <f>I2602</f>
        <v>95</v>
      </c>
      <c r="R2602" t="s">
        <v>19</v>
      </c>
      <c r="S2602" t="s">
        <v>19</v>
      </c>
      <c r="T2602" t="s">
        <v>19</v>
      </c>
    </row>
    <row r="2603" spans="1:21" ht="15" customHeight="1" x14ac:dyDescent="0.25">
      <c r="A2603" t="s">
        <v>19</v>
      </c>
      <c r="B2603" t="s">
        <v>20</v>
      </c>
      <c r="C2603" t="s">
        <v>22</v>
      </c>
      <c r="D2603">
        <v>3</v>
      </c>
      <c r="E2603" t="s">
        <v>198</v>
      </c>
      <c r="F2603" t="s">
        <v>373</v>
      </c>
      <c r="G2603">
        <v>100</v>
      </c>
      <c r="H2603">
        <v>0</v>
      </c>
      <c r="I2603">
        <f>G2603+H2603</f>
        <v>100</v>
      </c>
      <c r="J2603">
        <f>100-G2603-H2603</f>
        <v>0</v>
      </c>
      <c r="K2603" t="s">
        <v>19</v>
      </c>
      <c r="L2603" t="s">
        <v>19</v>
      </c>
      <c r="M2603" t="s">
        <v>19</v>
      </c>
      <c r="N2603" t="s">
        <v>19</v>
      </c>
      <c r="O2603" t="s">
        <v>19</v>
      </c>
      <c r="P2603" t="s">
        <v>19</v>
      </c>
      <c r="Q2603">
        <f>I2603</f>
        <v>100</v>
      </c>
      <c r="R2603" t="s">
        <v>19</v>
      </c>
      <c r="S2603" t="s">
        <v>19</v>
      </c>
      <c r="T2603" t="s">
        <v>19</v>
      </c>
    </row>
    <row r="2604" spans="1:21" ht="15" customHeight="1" x14ac:dyDescent="0.25">
      <c r="A2604" t="s">
        <v>19</v>
      </c>
      <c r="B2604" t="s">
        <v>20</v>
      </c>
      <c r="C2604" t="s">
        <v>305</v>
      </c>
      <c r="D2604">
        <v>3</v>
      </c>
      <c r="E2604" t="s">
        <v>198</v>
      </c>
      <c r="F2604" t="s">
        <v>373</v>
      </c>
      <c r="G2604">
        <v>74</v>
      </c>
      <c r="H2604">
        <v>1</v>
      </c>
      <c r="I2604">
        <f>G2604+H2604</f>
        <v>75</v>
      </c>
      <c r="J2604">
        <f>100-G2604-H2604</f>
        <v>25</v>
      </c>
      <c r="K2604" t="s">
        <v>19</v>
      </c>
      <c r="L2604" t="s">
        <v>19</v>
      </c>
      <c r="M2604" t="s">
        <v>19</v>
      </c>
      <c r="N2604" t="s">
        <v>19</v>
      </c>
      <c r="O2604" t="s">
        <v>19</v>
      </c>
      <c r="P2604" t="s">
        <v>19</v>
      </c>
      <c r="Q2604">
        <f>I2604</f>
        <v>75</v>
      </c>
      <c r="R2604" t="s">
        <v>19</v>
      </c>
      <c r="S2604" t="s">
        <v>19</v>
      </c>
      <c r="T2604" t="s">
        <v>19</v>
      </c>
    </row>
    <row r="2605" spans="1:21" ht="15" customHeight="1" x14ac:dyDescent="0.25">
      <c r="A2605" t="s">
        <v>19</v>
      </c>
      <c r="B2605" t="s">
        <v>20</v>
      </c>
      <c r="C2605" t="s">
        <v>307</v>
      </c>
      <c r="D2605">
        <v>3</v>
      </c>
      <c r="E2605" t="s">
        <v>198</v>
      </c>
      <c r="F2605" t="s">
        <v>373</v>
      </c>
      <c r="G2605">
        <v>80</v>
      </c>
      <c r="H2605">
        <v>5</v>
      </c>
      <c r="I2605">
        <f>G2605+H2605</f>
        <v>85</v>
      </c>
      <c r="J2605">
        <f>100-G2605-H2605</f>
        <v>15</v>
      </c>
      <c r="K2605" t="s">
        <v>19</v>
      </c>
      <c r="L2605" t="s">
        <v>19</v>
      </c>
      <c r="M2605" t="s">
        <v>19</v>
      </c>
      <c r="N2605" t="s">
        <v>19</v>
      </c>
      <c r="O2605" t="s">
        <v>19</v>
      </c>
      <c r="P2605" t="s">
        <v>19</v>
      </c>
      <c r="Q2605">
        <f>I2605</f>
        <v>85</v>
      </c>
      <c r="R2605" t="s">
        <v>19</v>
      </c>
      <c r="S2605" t="s">
        <v>19</v>
      </c>
      <c r="T2605" t="s">
        <v>19</v>
      </c>
    </row>
    <row r="2606" spans="1:21" ht="15" customHeight="1" x14ac:dyDescent="0.25">
      <c r="A2606" s="2">
        <v>45253.804861111108</v>
      </c>
      <c r="B2606" t="s">
        <v>309</v>
      </c>
      <c r="C2606" t="s">
        <v>213</v>
      </c>
      <c r="D2606">
        <v>3</v>
      </c>
      <c r="E2606" t="s">
        <v>198</v>
      </c>
      <c r="F2606" t="s">
        <v>373</v>
      </c>
      <c r="G2606">
        <v>98.203592810000004</v>
      </c>
      <c r="H2606">
        <v>0.29940119799999998</v>
      </c>
      <c r="I2606">
        <v>98.502994009999995</v>
      </c>
      <c r="J2606">
        <v>1.497005988</v>
      </c>
      <c r="K2606">
        <v>0.8</v>
      </c>
      <c r="L2606">
        <v>0.2</v>
      </c>
      <c r="M2606">
        <v>0.7</v>
      </c>
      <c r="N2606">
        <v>10</v>
      </c>
      <c r="O2606">
        <v>656</v>
      </c>
      <c r="P2606">
        <v>2</v>
      </c>
      <c r="Q2606">
        <v>98.5</v>
      </c>
      <c r="R2606" t="s">
        <v>238</v>
      </c>
      <c r="S2606">
        <v>3.14</v>
      </c>
      <c r="T2606">
        <v>3.55</v>
      </c>
    </row>
    <row r="2607" spans="1:21" ht="15" customHeight="1" x14ac:dyDescent="0.25">
      <c r="A2607" s="2">
        <v>45253.974999999999</v>
      </c>
      <c r="B2607" t="s">
        <v>309</v>
      </c>
      <c r="C2607" t="s">
        <v>215</v>
      </c>
      <c r="D2607">
        <v>2</v>
      </c>
      <c r="E2607" t="s">
        <v>198</v>
      </c>
      <c r="F2607" t="s">
        <v>373</v>
      </c>
      <c r="G2607">
        <v>42.633928570000002</v>
      </c>
      <c r="H2607">
        <v>0</v>
      </c>
      <c r="I2607">
        <v>42.633928570000002</v>
      </c>
      <c r="J2607">
        <v>57.366071429999998</v>
      </c>
      <c r="K2607">
        <v>0.8</v>
      </c>
      <c r="L2607">
        <v>0.2</v>
      </c>
      <c r="M2607">
        <v>0.7</v>
      </c>
      <c r="N2607">
        <v>257</v>
      </c>
      <c r="O2607">
        <v>191</v>
      </c>
      <c r="P2607">
        <v>0</v>
      </c>
      <c r="Q2607">
        <v>42.63</v>
      </c>
      <c r="R2607" t="s">
        <v>218</v>
      </c>
      <c r="S2607">
        <v>1.1100000000000001</v>
      </c>
      <c r="T2607">
        <v>1.21</v>
      </c>
    </row>
    <row r="2608" spans="1:21" ht="15" customHeight="1" x14ac:dyDescent="0.25">
      <c r="A2608" s="2">
        <v>45254.152083333334</v>
      </c>
      <c r="B2608" t="s">
        <v>309</v>
      </c>
      <c r="C2608" t="s">
        <v>217</v>
      </c>
      <c r="D2608">
        <v>2</v>
      </c>
      <c r="E2608" t="s">
        <v>198</v>
      </c>
      <c r="F2608" t="s">
        <v>373</v>
      </c>
      <c r="G2608">
        <v>84.444444439999998</v>
      </c>
      <c r="H2608">
        <v>0</v>
      </c>
      <c r="I2608">
        <v>84.444444439999998</v>
      </c>
      <c r="J2608">
        <v>15.55555556</v>
      </c>
      <c r="K2608">
        <v>0.8</v>
      </c>
      <c r="L2608">
        <v>0.2</v>
      </c>
      <c r="M2608">
        <v>0.7</v>
      </c>
      <c r="N2608">
        <v>91</v>
      </c>
      <c r="O2608">
        <v>494</v>
      </c>
      <c r="P2608">
        <v>0</v>
      </c>
      <c r="Q2608">
        <v>84.44</v>
      </c>
      <c r="R2608" t="s">
        <v>273</v>
      </c>
      <c r="S2608">
        <v>2.15</v>
      </c>
      <c r="T2608">
        <v>2.3199999999999998</v>
      </c>
    </row>
    <row r="2609" spans="1:21" ht="15" customHeight="1" x14ac:dyDescent="0.25">
      <c r="A2609" s="2">
        <v>45316.487500000003</v>
      </c>
      <c r="B2609" t="s">
        <v>309</v>
      </c>
      <c r="C2609" t="s">
        <v>219</v>
      </c>
      <c r="D2609">
        <v>3</v>
      </c>
      <c r="E2609" t="s">
        <v>198</v>
      </c>
      <c r="F2609" t="s">
        <v>373</v>
      </c>
      <c r="G2609">
        <v>94.604316549999993</v>
      </c>
      <c r="H2609">
        <v>2.1582733809999999</v>
      </c>
      <c r="I2609">
        <v>96.762589930000004</v>
      </c>
      <c r="J2609">
        <v>3.2374100719999999</v>
      </c>
      <c r="K2609">
        <v>0.8</v>
      </c>
      <c r="L2609">
        <v>0.2</v>
      </c>
      <c r="M2609">
        <v>0.7</v>
      </c>
      <c r="N2609">
        <v>18</v>
      </c>
      <c r="O2609">
        <v>526</v>
      </c>
      <c r="P2609">
        <v>12</v>
      </c>
      <c r="Q2609">
        <v>96.76</v>
      </c>
      <c r="R2609" t="s">
        <v>226</v>
      </c>
      <c r="S2609">
        <v>3.18</v>
      </c>
      <c r="T2609">
        <v>4.7</v>
      </c>
    </row>
    <row r="2610" spans="1:21" ht="15" customHeight="1" x14ac:dyDescent="0.25">
      <c r="A2610" s="2">
        <v>45321.015277777777</v>
      </c>
      <c r="B2610" t="s">
        <v>309</v>
      </c>
      <c r="C2610" t="s">
        <v>221</v>
      </c>
      <c r="D2610">
        <v>2</v>
      </c>
      <c r="E2610" t="s">
        <v>198</v>
      </c>
      <c r="F2610" t="s">
        <v>373</v>
      </c>
      <c r="G2610">
        <v>98.093841639999994</v>
      </c>
      <c r="H2610">
        <v>0</v>
      </c>
      <c r="I2610">
        <v>98.093841639999994</v>
      </c>
      <c r="J2610">
        <v>1.9061583580000001</v>
      </c>
      <c r="K2610">
        <v>0.8</v>
      </c>
      <c r="L2610">
        <v>0.3</v>
      </c>
      <c r="M2610">
        <v>0.7</v>
      </c>
      <c r="N2610">
        <v>13</v>
      </c>
      <c r="O2610">
        <v>669</v>
      </c>
      <c r="P2610">
        <v>0</v>
      </c>
      <c r="Q2610">
        <v>98.09</v>
      </c>
      <c r="R2610" t="s">
        <v>244</v>
      </c>
      <c r="S2610">
        <v>2.71</v>
      </c>
      <c r="T2610">
        <v>2.92</v>
      </c>
    </row>
    <row r="2611" spans="1:21" ht="15" customHeight="1" x14ac:dyDescent="0.25">
      <c r="A2611" t="s">
        <v>19</v>
      </c>
      <c r="B2611" t="s">
        <v>20</v>
      </c>
      <c r="C2611" t="s">
        <v>320</v>
      </c>
      <c r="D2611">
        <v>3</v>
      </c>
      <c r="E2611" t="s">
        <v>198</v>
      </c>
      <c r="F2611" t="s">
        <v>373</v>
      </c>
      <c r="G2611">
        <v>85</v>
      </c>
      <c r="H2611">
        <v>0</v>
      </c>
      <c r="I2611">
        <f>100-J2611</f>
        <v>85</v>
      </c>
      <c r="J2611">
        <f>100-G2611-H2611</f>
        <v>15</v>
      </c>
      <c r="K2611" t="s">
        <v>19</v>
      </c>
      <c r="L2611" t="s">
        <v>19</v>
      </c>
      <c r="M2611" t="s">
        <v>19</v>
      </c>
      <c r="N2611" t="s">
        <v>19</v>
      </c>
      <c r="O2611" t="s">
        <v>19</v>
      </c>
      <c r="P2611" t="s">
        <v>19</v>
      </c>
      <c r="Q2611">
        <f>I2611</f>
        <v>85</v>
      </c>
      <c r="R2611" t="s">
        <v>19</v>
      </c>
      <c r="S2611" t="s">
        <v>19</v>
      </c>
      <c r="T2611" t="s">
        <v>19</v>
      </c>
    </row>
    <row r="2612" spans="1:21" ht="15" customHeight="1" x14ac:dyDescent="0.25">
      <c r="A2612" s="2">
        <v>45323.656701388885</v>
      </c>
      <c r="B2612" t="s">
        <v>309</v>
      </c>
      <c r="C2612" t="s">
        <v>322</v>
      </c>
      <c r="D2612">
        <v>3</v>
      </c>
      <c r="E2612" t="s">
        <v>198</v>
      </c>
      <c r="F2612" t="s">
        <v>373</v>
      </c>
      <c r="G2612">
        <f>(O2612/(N2612+O2612+P2612))*100</f>
        <v>97.260273972602747</v>
      </c>
      <c r="H2612">
        <f>(P2612/(O2612+P2612+N2612))*100</f>
        <v>0.60882800608828003</v>
      </c>
      <c r="I2612">
        <f>((O2612+P2612)/(P2612+O2612+N2612))*100</f>
        <v>97.86910197869102</v>
      </c>
      <c r="J2612">
        <f>(N2612/(P2612+O2612+N2612))*100</f>
        <v>2.1308980213089801</v>
      </c>
      <c r="K2612">
        <v>0.8</v>
      </c>
      <c r="L2612">
        <v>0.3</v>
      </c>
      <c r="M2612">
        <v>0.7</v>
      </c>
      <c r="N2612">
        <v>14</v>
      </c>
      <c r="O2612">
        <v>639</v>
      </c>
      <c r="P2612">
        <v>4</v>
      </c>
      <c r="Q2612">
        <v>97.87</v>
      </c>
      <c r="R2612" t="s">
        <v>234</v>
      </c>
      <c r="S2612">
        <v>2.94</v>
      </c>
      <c r="T2612">
        <v>3.3</v>
      </c>
      <c r="U2612">
        <v>43</v>
      </c>
    </row>
    <row r="2613" spans="1:21" ht="15" customHeight="1" x14ac:dyDescent="0.25">
      <c r="A2613" s="2">
        <v>45323.663206018522</v>
      </c>
      <c r="B2613" t="s">
        <v>309</v>
      </c>
      <c r="C2613" t="s">
        <v>322</v>
      </c>
      <c r="D2613">
        <v>3</v>
      </c>
      <c r="E2613" t="s">
        <v>198</v>
      </c>
      <c r="F2613" t="s">
        <v>373</v>
      </c>
      <c r="G2613">
        <f>(O2613/(N2613+O2613+P2613))*100</f>
        <v>97.305389221556879</v>
      </c>
      <c r="H2613">
        <f>(P2613/(O2613+P2613+N2613))*100</f>
        <v>1.0479041916167664</v>
      </c>
      <c r="I2613">
        <f>((O2613+P2613)/(P2613+O2613+N2613))*100</f>
        <v>98.353293413173645</v>
      </c>
      <c r="J2613">
        <f>(N2613/(P2613+O2613+N2613))*100</f>
        <v>1.6467065868263475</v>
      </c>
      <c r="K2613">
        <v>0.7</v>
      </c>
      <c r="L2613">
        <v>0.3</v>
      </c>
      <c r="M2613">
        <v>0.7</v>
      </c>
      <c r="N2613">
        <v>11</v>
      </c>
      <c r="O2613">
        <v>650</v>
      </c>
      <c r="P2613">
        <v>7</v>
      </c>
      <c r="Q2613">
        <v>98.35</v>
      </c>
      <c r="R2613" t="s">
        <v>245</v>
      </c>
      <c r="S2613">
        <v>2.94</v>
      </c>
      <c r="T2613">
        <v>3.3</v>
      </c>
      <c r="U2613">
        <v>32</v>
      </c>
    </row>
    <row r="2614" spans="1:21" ht="15" customHeight="1" x14ac:dyDescent="0.25">
      <c r="A2614" s="2">
        <v>45325.215474537035</v>
      </c>
      <c r="B2614" t="s">
        <v>309</v>
      </c>
      <c r="C2614" t="s">
        <v>368</v>
      </c>
      <c r="D2614">
        <v>2</v>
      </c>
      <c r="E2614" t="s">
        <v>198</v>
      </c>
      <c r="F2614" t="s">
        <v>373</v>
      </c>
      <c r="G2614">
        <f>(O2614/(N2614+O2614+P2614))*100</f>
        <v>99.264705882352942</v>
      </c>
      <c r="H2614">
        <f>(P2614/(O2614+P2614+N2614))*100</f>
        <v>0</v>
      </c>
      <c r="I2614">
        <v>99.26</v>
      </c>
      <c r="J2614">
        <f>(N2614/(P2614+O2614+N2614))*100</f>
        <v>0.73529411764705876</v>
      </c>
      <c r="K2614">
        <v>0.8</v>
      </c>
      <c r="L2614">
        <v>0.3</v>
      </c>
      <c r="M2614">
        <v>0.7</v>
      </c>
      <c r="N2614">
        <v>5</v>
      </c>
      <c r="O2614">
        <v>675</v>
      </c>
      <c r="P2614">
        <v>0</v>
      </c>
      <c r="Q2614">
        <v>99.26</v>
      </c>
      <c r="R2614" t="s">
        <v>355</v>
      </c>
      <c r="S2614">
        <v>2.68</v>
      </c>
      <c r="T2614">
        <v>2.93</v>
      </c>
    </row>
    <row r="2615" spans="1:21" ht="15" customHeight="1" x14ac:dyDescent="0.25">
      <c r="A2615" t="s">
        <v>19</v>
      </c>
      <c r="B2615" t="s">
        <v>20</v>
      </c>
      <c r="C2615" t="s">
        <v>308</v>
      </c>
      <c r="D2615">
        <v>3</v>
      </c>
      <c r="E2615" t="s">
        <v>199</v>
      </c>
      <c r="F2615" t="s">
        <v>388</v>
      </c>
      <c r="G2615">
        <v>12</v>
      </c>
      <c r="H2615">
        <v>3</v>
      </c>
      <c r="I2615">
        <f>G2615+H2615</f>
        <v>15</v>
      </c>
      <c r="J2615">
        <f>100-G2615-H2615</f>
        <v>85</v>
      </c>
      <c r="K2615" t="s">
        <v>19</v>
      </c>
      <c r="L2615" t="s">
        <v>19</v>
      </c>
      <c r="M2615" t="s">
        <v>19</v>
      </c>
      <c r="N2615" t="s">
        <v>19</v>
      </c>
      <c r="O2615" t="s">
        <v>19</v>
      </c>
      <c r="P2615" t="s">
        <v>19</v>
      </c>
      <c r="Q2615">
        <f>I2615</f>
        <v>15</v>
      </c>
      <c r="R2615" t="s">
        <v>19</v>
      </c>
      <c r="S2615" t="s">
        <v>19</v>
      </c>
      <c r="T2615" t="s">
        <v>19</v>
      </c>
    </row>
    <row r="2616" spans="1:21" ht="15" customHeight="1" x14ac:dyDescent="0.25">
      <c r="A2616" t="s">
        <v>19</v>
      </c>
      <c r="B2616" t="s">
        <v>20</v>
      </c>
      <c r="C2616" t="s">
        <v>22</v>
      </c>
      <c r="D2616">
        <v>3</v>
      </c>
      <c r="E2616" t="s">
        <v>199</v>
      </c>
      <c r="F2616" t="s">
        <v>388</v>
      </c>
      <c r="G2616">
        <v>4</v>
      </c>
      <c r="H2616">
        <v>1</v>
      </c>
      <c r="I2616">
        <f>G2616+H2616</f>
        <v>5</v>
      </c>
      <c r="J2616">
        <f>100-G2616-H2616</f>
        <v>95</v>
      </c>
      <c r="K2616" t="s">
        <v>19</v>
      </c>
      <c r="L2616" t="s">
        <v>19</v>
      </c>
      <c r="M2616" t="s">
        <v>19</v>
      </c>
      <c r="N2616" t="s">
        <v>19</v>
      </c>
      <c r="O2616" t="s">
        <v>19</v>
      </c>
      <c r="P2616" t="s">
        <v>19</v>
      </c>
      <c r="Q2616">
        <f>I2616</f>
        <v>5</v>
      </c>
      <c r="R2616" t="s">
        <v>19</v>
      </c>
      <c r="S2616" t="s">
        <v>19</v>
      </c>
      <c r="T2616" t="s">
        <v>19</v>
      </c>
    </row>
    <row r="2617" spans="1:21" ht="15" customHeight="1" x14ac:dyDescent="0.25">
      <c r="A2617" t="s">
        <v>19</v>
      </c>
      <c r="B2617" t="s">
        <v>20</v>
      </c>
      <c r="C2617" t="s">
        <v>305</v>
      </c>
      <c r="D2617">
        <v>3</v>
      </c>
      <c r="E2617" t="s">
        <v>199</v>
      </c>
      <c r="F2617" t="s">
        <v>388</v>
      </c>
      <c r="G2617">
        <v>8</v>
      </c>
      <c r="H2617">
        <v>0</v>
      </c>
      <c r="I2617">
        <f>G2617+H2617</f>
        <v>8</v>
      </c>
      <c r="J2617">
        <f>100-G2617-H2617</f>
        <v>92</v>
      </c>
      <c r="K2617" t="s">
        <v>19</v>
      </c>
      <c r="L2617" t="s">
        <v>19</v>
      </c>
      <c r="M2617" t="s">
        <v>19</v>
      </c>
      <c r="N2617" t="s">
        <v>19</v>
      </c>
      <c r="O2617" t="s">
        <v>19</v>
      </c>
      <c r="P2617" t="s">
        <v>19</v>
      </c>
      <c r="Q2617">
        <f>I2617</f>
        <v>8</v>
      </c>
      <c r="R2617" t="s">
        <v>19</v>
      </c>
      <c r="S2617" t="s">
        <v>19</v>
      </c>
      <c r="T2617" t="s">
        <v>19</v>
      </c>
    </row>
    <row r="2618" spans="1:21" ht="15" customHeight="1" x14ac:dyDescent="0.25">
      <c r="A2618" t="s">
        <v>19</v>
      </c>
      <c r="B2618" t="s">
        <v>20</v>
      </c>
      <c r="C2618" t="s">
        <v>307</v>
      </c>
      <c r="D2618">
        <v>3</v>
      </c>
      <c r="E2618" t="s">
        <v>199</v>
      </c>
      <c r="F2618" t="s">
        <v>388</v>
      </c>
      <c r="G2618">
        <v>2</v>
      </c>
      <c r="H2618">
        <v>1</v>
      </c>
      <c r="I2618">
        <f>G2618+H2618</f>
        <v>3</v>
      </c>
      <c r="J2618">
        <f>100-G2618-H2618</f>
        <v>97</v>
      </c>
      <c r="K2618" t="s">
        <v>19</v>
      </c>
      <c r="L2618" t="s">
        <v>19</v>
      </c>
      <c r="M2618" t="s">
        <v>19</v>
      </c>
      <c r="N2618" t="s">
        <v>19</v>
      </c>
      <c r="O2618" t="s">
        <v>19</v>
      </c>
      <c r="P2618" t="s">
        <v>19</v>
      </c>
      <c r="Q2618">
        <f>I2618</f>
        <v>3</v>
      </c>
      <c r="R2618" t="s">
        <v>19</v>
      </c>
      <c r="S2618" t="s">
        <v>19</v>
      </c>
      <c r="T2618" t="s">
        <v>19</v>
      </c>
    </row>
    <row r="2619" spans="1:21" ht="15" customHeight="1" x14ac:dyDescent="0.25">
      <c r="A2619" s="2">
        <v>45253.647916666669</v>
      </c>
      <c r="B2619" t="s">
        <v>309</v>
      </c>
      <c r="C2619" t="s">
        <v>213</v>
      </c>
      <c r="D2619">
        <v>3</v>
      </c>
      <c r="E2619" t="s">
        <v>199</v>
      </c>
      <c r="F2619" t="s">
        <v>388</v>
      </c>
      <c r="G2619">
        <v>2.8662420380000002</v>
      </c>
      <c r="H2619">
        <v>1.592356688</v>
      </c>
      <c r="I2619">
        <v>4.458598726</v>
      </c>
      <c r="J2619">
        <v>95.541401269999994</v>
      </c>
      <c r="K2619">
        <v>0.8</v>
      </c>
      <c r="L2619">
        <v>0.2</v>
      </c>
      <c r="M2619">
        <v>0.7</v>
      </c>
      <c r="N2619">
        <v>600</v>
      </c>
      <c r="O2619">
        <v>18</v>
      </c>
      <c r="P2619">
        <v>10</v>
      </c>
      <c r="Q2619">
        <v>4.46</v>
      </c>
      <c r="R2619" t="s">
        <v>253</v>
      </c>
      <c r="S2619">
        <v>2.71</v>
      </c>
      <c r="T2619">
        <v>3.23</v>
      </c>
    </row>
    <row r="2620" spans="1:21" ht="15" customHeight="1" x14ac:dyDescent="0.25">
      <c r="A2620" s="2">
        <v>45253.89166666667</v>
      </c>
      <c r="B2620" t="s">
        <v>309</v>
      </c>
      <c r="C2620" t="s">
        <v>215</v>
      </c>
      <c r="D2620">
        <v>2</v>
      </c>
      <c r="E2620" t="s">
        <v>199</v>
      </c>
      <c r="F2620" t="s">
        <v>388</v>
      </c>
      <c r="G2620">
        <v>10.14705882</v>
      </c>
      <c r="H2620">
        <v>0</v>
      </c>
      <c r="I2620">
        <v>10.14705882</v>
      </c>
      <c r="J2620">
        <v>89.852941180000002</v>
      </c>
      <c r="K2620">
        <v>0.8</v>
      </c>
      <c r="L2620">
        <v>0.2</v>
      </c>
      <c r="M2620">
        <v>0.7</v>
      </c>
      <c r="N2620">
        <v>611</v>
      </c>
      <c r="O2620">
        <v>69</v>
      </c>
      <c r="P2620">
        <v>0</v>
      </c>
      <c r="Q2620">
        <v>10.15</v>
      </c>
      <c r="R2620" t="s">
        <v>216</v>
      </c>
      <c r="S2620">
        <v>0.25</v>
      </c>
      <c r="T2620">
        <v>0.27</v>
      </c>
    </row>
    <row r="2621" spans="1:21" ht="15" customHeight="1" x14ac:dyDescent="0.25">
      <c r="A2621" s="2">
        <v>45254.0625</v>
      </c>
      <c r="B2621" t="s">
        <v>309</v>
      </c>
      <c r="C2621" t="s">
        <v>217</v>
      </c>
      <c r="D2621">
        <v>2</v>
      </c>
      <c r="E2621" t="s">
        <v>199</v>
      </c>
      <c r="F2621" t="s">
        <v>388</v>
      </c>
      <c r="G2621">
        <v>16.720779220000001</v>
      </c>
      <c r="H2621">
        <v>0</v>
      </c>
      <c r="I2621">
        <v>16.720779220000001</v>
      </c>
      <c r="J2621">
        <v>83.279220780000003</v>
      </c>
      <c r="K2621">
        <v>0.8</v>
      </c>
      <c r="L2621">
        <v>0.2</v>
      </c>
      <c r="M2621">
        <v>0.7</v>
      </c>
      <c r="N2621">
        <v>513</v>
      </c>
      <c r="O2621">
        <v>103</v>
      </c>
      <c r="P2621">
        <v>0</v>
      </c>
      <c r="Q2621">
        <v>16.72</v>
      </c>
      <c r="R2621" t="s">
        <v>220</v>
      </c>
      <c r="S2621">
        <v>0.48</v>
      </c>
      <c r="T2621">
        <v>0.52</v>
      </c>
    </row>
    <row r="2622" spans="1:21" ht="15" customHeight="1" x14ac:dyDescent="0.25">
      <c r="A2622" s="2">
        <v>45316.571527777778</v>
      </c>
      <c r="B2622" t="s">
        <v>309</v>
      </c>
      <c r="C2622" t="s">
        <v>219</v>
      </c>
      <c r="D2622">
        <v>3</v>
      </c>
      <c r="E2622" t="s">
        <v>199</v>
      </c>
      <c r="F2622" t="s">
        <v>388</v>
      </c>
      <c r="G2622">
        <v>1.3986013989999999</v>
      </c>
      <c r="H2622">
        <v>3.496503497</v>
      </c>
      <c r="I2622">
        <v>4.8951048950000002</v>
      </c>
      <c r="J2622">
        <v>95.104895099999993</v>
      </c>
      <c r="K2622">
        <v>0.8</v>
      </c>
      <c r="L2622">
        <v>0.2</v>
      </c>
      <c r="M2622">
        <v>0.7</v>
      </c>
      <c r="N2622">
        <v>544</v>
      </c>
      <c r="O2622">
        <v>8</v>
      </c>
      <c r="P2622">
        <v>20</v>
      </c>
      <c r="Q2622">
        <v>4.9000000000000004</v>
      </c>
      <c r="R2622" t="s">
        <v>225</v>
      </c>
      <c r="S2622">
        <v>3.05</v>
      </c>
      <c r="T2622">
        <v>4.4800000000000004</v>
      </c>
    </row>
    <row r="2623" spans="1:21" ht="15" customHeight="1" x14ac:dyDescent="0.25">
      <c r="A2623" s="2">
        <v>45320.918055555558</v>
      </c>
      <c r="B2623" t="s">
        <v>309</v>
      </c>
      <c r="C2623" t="s">
        <v>221</v>
      </c>
      <c r="D2623">
        <v>2</v>
      </c>
      <c r="E2623" t="s">
        <v>199</v>
      </c>
      <c r="F2623" t="s">
        <v>388</v>
      </c>
      <c r="G2623">
        <v>11.599297010000001</v>
      </c>
      <c r="H2623">
        <v>0</v>
      </c>
      <c r="I2623">
        <v>11.599297010000001</v>
      </c>
      <c r="J2623">
        <v>88.400702989999999</v>
      </c>
      <c r="K2623">
        <v>0.8</v>
      </c>
      <c r="L2623">
        <v>0.3</v>
      </c>
      <c r="M2623">
        <v>0.7</v>
      </c>
      <c r="N2623">
        <v>503</v>
      </c>
      <c r="O2623">
        <v>66</v>
      </c>
      <c r="P2623">
        <v>0</v>
      </c>
      <c r="Q2623">
        <v>11.6</v>
      </c>
      <c r="R2623" t="s">
        <v>229</v>
      </c>
      <c r="S2623">
        <v>0.41</v>
      </c>
      <c r="T2623">
        <v>0.46</v>
      </c>
    </row>
    <row r="2624" spans="1:21" ht="15" customHeight="1" x14ac:dyDescent="0.25">
      <c r="A2624" t="s">
        <v>19</v>
      </c>
      <c r="B2624" t="s">
        <v>20</v>
      </c>
      <c r="C2624" t="s">
        <v>306</v>
      </c>
      <c r="D2624">
        <v>3</v>
      </c>
      <c r="E2624" t="s">
        <v>199</v>
      </c>
      <c r="F2624" t="s">
        <v>388</v>
      </c>
      <c r="G2624">
        <v>15</v>
      </c>
      <c r="H2624">
        <v>2</v>
      </c>
      <c r="I2624">
        <f>G2624+H2624</f>
        <v>17</v>
      </c>
      <c r="J2624">
        <f>100-G2624-H2624</f>
        <v>83</v>
      </c>
      <c r="K2624" t="s">
        <v>19</v>
      </c>
      <c r="L2624" t="s">
        <v>19</v>
      </c>
      <c r="M2624" t="s">
        <v>19</v>
      </c>
      <c r="N2624" t="s">
        <v>19</v>
      </c>
      <c r="O2624" t="s">
        <v>19</v>
      </c>
      <c r="P2624" t="s">
        <v>19</v>
      </c>
      <c r="Q2624">
        <f>I2624</f>
        <v>17</v>
      </c>
      <c r="R2624" t="s">
        <v>19</v>
      </c>
      <c r="S2624" t="s">
        <v>19</v>
      </c>
      <c r="T2624" t="s">
        <v>19</v>
      </c>
    </row>
    <row r="2625" spans="1:21" ht="15" customHeight="1" x14ac:dyDescent="0.25">
      <c r="A2625" t="s">
        <v>19</v>
      </c>
      <c r="B2625" t="s">
        <v>20</v>
      </c>
      <c r="C2625" t="s">
        <v>320</v>
      </c>
      <c r="D2625">
        <v>3</v>
      </c>
      <c r="E2625" t="s">
        <v>199</v>
      </c>
      <c r="F2625" t="s">
        <v>388</v>
      </c>
      <c r="G2625">
        <v>0</v>
      </c>
      <c r="H2625">
        <v>0</v>
      </c>
      <c r="I2625">
        <f>100-J2625</f>
        <v>0</v>
      </c>
      <c r="J2625">
        <f>100-G2625-H2625</f>
        <v>100</v>
      </c>
      <c r="K2625" t="s">
        <v>19</v>
      </c>
      <c r="L2625" t="s">
        <v>19</v>
      </c>
      <c r="M2625" t="s">
        <v>19</v>
      </c>
      <c r="N2625" t="s">
        <v>19</v>
      </c>
      <c r="O2625" t="s">
        <v>19</v>
      </c>
      <c r="P2625" t="s">
        <v>19</v>
      </c>
      <c r="Q2625">
        <f>I2625</f>
        <v>0</v>
      </c>
      <c r="R2625" t="s">
        <v>19</v>
      </c>
      <c r="S2625" t="s">
        <v>19</v>
      </c>
      <c r="T2625" t="s">
        <v>19</v>
      </c>
    </row>
    <row r="2626" spans="1:21" ht="15" customHeight="1" x14ac:dyDescent="0.25">
      <c r="A2626" s="2">
        <v>45323.661041666666</v>
      </c>
      <c r="B2626" t="s">
        <v>309</v>
      </c>
      <c r="C2626" t="s">
        <v>322</v>
      </c>
      <c r="D2626">
        <v>3</v>
      </c>
      <c r="E2626" t="s">
        <v>199</v>
      </c>
      <c r="F2626" t="s">
        <v>388</v>
      </c>
      <c r="G2626" t="e">
        <f>(O2626/(N2626+O2626+P2626))*100</f>
        <v>#VALUE!</v>
      </c>
      <c r="H2626" t="e">
        <f>(P2626/(O2626+P2626+N2626))*100</f>
        <v>#VALUE!</v>
      </c>
      <c r="I2626">
        <v>7.16</v>
      </c>
      <c r="J2626" t="e">
        <f>(N2626/(P2626+O2626+N2626))*100</f>
        <v>#VALUE!</v>
      </c>
      <c r="K2626">
        <v>0.8</v>
      </c>
      <c r="L2626">
        <v>0.3</v>
      </c>
      <c r="M2626">
        <v>0.7</v>
      </c>
      <c r="N2626">
        <v>519</v>
      </c>
      <c r="O2626" t="s">
        <v>266</v>
      </c>
      <c r="P2626" t="s">
        <v>266</v>
      </c>
      <c r="Q2626">
        <v>7.16</v>
      </c>
      <c r="R2626" t="s">
        <v>333</v>
      </c>
      <c r="S2626">
        <v>2.52</v>
      </c>
      <c r="T2626">
        <v>3.3</v>
      </c>
      <c r="U2626">
        <v>83</v>
      </c>
    </row>
    <row r="2627" spans="1:21" ht="15" customHeight="1" x14ac:dyDescent="0.25">
      <c r="A2627" s="2">
        <v>45323.656053240738</v>
      </c>
      <c r="B2627" t="s">
        <v>309</v>
      </c>
      <c r="C2627" t="s">
        <v>322</v>
      </c>
      <c r="D2627">
        <v>3</v>
      </c>
      <c r="E2627" t="s">
        <v>199</v>
      </c>
      <c r="F2627" t="s">
        <v>388</v>
      </c>
      <c r="G2627" t="e">
        <f>(O2627/(N2627+O2627+P2627))*100</f>
        <v>#VALUE!</v>
      </c>
      <c r="H2627" t="e">
        <f>(P2627/(O2627+P2627+N2627))*100</f>
        <v>#VALUE!</v>
      </c>
      <c r="I2627">
        <v>9.27</v>
      </c>
      <c r="J2627" t="e">
        <f>(N2627/(P2627+O2627+N2627))*100</f>
        <v>#VALUE!</v>
      </c>
      <c r="K2627">
        <v>0.7</v>
      </c>
      <c r="L2627">
        <v>0.3</v>
      </c>
      <c r="M2627">
        <v>0.7</v>
      </c>
      <c r="N2627">
        <v>519</v>
      </c>
      <c r="O2627" t="s">
        <v>266</v>
      </c>
      <c r="P2627" t="s">
        <v>266</v>
      </c>
      <c r="Q2627">
        <v>9.27</v>
      </c>
      <c r="R2627" t="s">
        <v>285</v>
      </c>
      <c r="S2627">
        <v>2.52</v>
      </c>
      <c r="T2627">
        <v>3.3</v>
      </c>
      <c r="U2627">
        <v>70</v>
      </c>
    </row>
    <row r="2628" spans="1:21" ht="15" customHeight="1" x14ac:dyDescent="0.25">
      <c r="A2628" s="2">
        <v>45325.071238425924</v>
      </c>
      <c r="B2628" t="s">
        <v>309</v>
      </c>
      <c r="C2628" t="s">
        <v>368</v>
      </c>
      <c r="D2628">
        <v>2</v>
      </c>
      <c r="E2628" t="s">
        <v>199</v>
      </c>
      <c r="F2628" t="s">
        <v>388</v>
      </c>
      <c r="G2628">
        <f>(O2628/(N2628+O2628+P2628))*100</f>
        <v>10.873440285204991</v>
      </c>
      <c r="H2628">
        <f>(P2628/(O2628+P2628+N2628))*100</f>
        <v>0</v>
      </c>
      <c r="I2628">
        <v>10.87</v>
      </c>
      <c r="J2628">
        <f>(N2628/(P2628+O2628+N2628))*100</f>
        <v>89.126559714795007</v>
      </c>
      <c r="K2628">
        <v>0.8</v>
      </c>
      <c r="L2628">
        <v>0.3</v>
      </c>
      <c r="M2628">
        <v>0.7</v>
      </c>
      <c r="N2628">
        <v>500</v>
      </c>
      <c r="O2628">
        <v>61</v>
      </c>
      <c r="P2628">
        <v>0</v>
      </c>
      <c r="Q2628">
        <v>10.87</v>
      </c>
      <c r="R2628" t="s">
        <v>276</v>
      </c>
      <c r="S2628">
        <v>0.39</v>
      </c>
      <c r="T2628">
        <v>0.44</v>
      </c>
    </row>
    <row r="2629" spans="1:21" ht="15" customHeight="1" x14ac:dyDescent="0.25">
      <c r="A2629" t="s">
        <v>19</v>
      </c>
      <c r="B2629" t="s">
        <v>20</v>
      </c>
      <c r="C2629" t="s">
        <v>306</v>
      </c>
      <c r="D2629">
        <v>3</v>
      </c>
      <c r="E2629" t="s">
        <v>200</v>
      </c>
      <c r="F2629" t="s">
        <v>373</v>
      </c>
      <c r="G2629">
        <v>19</v>
      </c>
      <c r="H2629">
        <v>1</v>
      </c>
      <c r="I2629">
        <f>G2629+H2629</f>
        <v>20</v>
      </c>
      <c r="J2629">
        <f>100-G2629-H2629</f>
        <v>80</v>
      </c>
      <c r="K2629" t="s">
        <v>19</v>
      </c>
      <c r="L2629" t="s">
        <v>19</v>
      </c>
      <c r="M2629" t="s">
        <v>19</v>
      </c>
      <c r="N2629" t="s">
        <v>19</v>
      </c>
      <c r="O2629" t="s">
        <v>19</v>
      </c>
      <c r="P2629" t="s">
        <v>19</v>
      </c>
      <c r="Q2629">
        <f>I2629</f>
        <v>20</v>
      </c>
      <c r="R2629" t="s">
        <v>19</v>
      </c>
      <c r="S2629" t="s">
        <v>19</v>
      </c>
      <c r="T2629" t="s">
        <v>19</v>
      </c>
    </row>
    <row r="2630" spans="1:21" ht="15" customHeight="1" x14ac:dyDescent="0.25">
      <c r="A2630" t="s">
        <v>19</v>
      </c>
      <c r="B2630" t="s">
        <v>20</v>
      </c>
      <c r="C2630" t="s">
        <v>308</v>
      </c>
      <c r="D2630">
        <v>3</v>
      </c>
      <c r="E2630" t="s">
        <v>200</v>
      </c>
      <c r="F2630" t="s">
        <v>373</v>
      </c>
      <c r="G2630">
        <v>9</v>
      </c>
      <c r="H2630">
        <v>1</v>
      </c>
      <c r="I2630">
        <f>G2630+H2630</f>
        <v>10</v>
      </c>
      <c r="J2630">
        <f>100-G2630-H2630</f>
        <v>90</v>
      </c>
      <c r="K2630" t="s">
        <v>19</v>
      </c>
      <c r="L2630" t="s">
        <v>19</v>
      </c>
      <c r="M2630" t="s">
        <v>19</v>
      </c>
      <c r="N2630" t="s">
        <v>19</v>
      </c>
      <c r="O2630" t="s">
        <v>19</v>
      </c>
      <c r="P2630" t="s">
        <v>19</v>
      </c>
      <c r="Q2630">
        <f>I2630</f>
        <v>10</v>
      </c>
      <c r="R2630" t="s">
        <v>19</v>
      </c>
      <c r="S2630" t="s">
        <v>19</v>
      </c>
      <c r="T2630" t="s">
        <v>19</v>
      </c>
    </row>
    <row r="2631" spans="1:21" ht="15" customHeight="1" x14ac:dyDescent="0.25">
      <c r="A2631" t="s">
        <v>19</v>
      </c>
      <c r="B2631" t="s">
        <v>20</v>
      </c>
      <c r="C2631" t="s">
        <v>22</v>
      </c>
      <c r="D2631">
        <v>3</v>
      </c>
      <c r="E2631" t="s">
        <v>200</v>
      </c>
      <c r="F2631" t="s">
        <v>373</v>
      </c>
      <c r="G2631">
        <v>20</v>
      </c>
      <c r="H2631">
        <v>0</v>
      </c>
      <c r="I2631">
        <f>G2631+H2631</f>
        <v>20</v>
      </c>
      <c r="J2631">
        <f>100-G2631-H2631</f>
        <v>80</v>
      </c>
      <c r="K2631" t="s">
        <v>19</v>
      </c>
      <c r="L2631" t="s">
        <v>19</v>
      </c>
      <c r="M2631" t="s">
        <v>19</v>
      </c>
      <c r="N2631" t="s">
        <v>19</v>
      </c>
      <c r="O2631" t="s">
        <v>19</v>
      </c>
      <c r="P2631" t="s">
        <v>19</v>
      </c>
      <c r="Q2631">
        <f>I2631</f>
        <v>20</v>
      </c>
      <c r="R2631" t="s">
        <v>19</v>
      </c>
      <c r="S2631" t="s">
        <v>19</v>
      </c>
      <c r="T2631" t="s">
        <v>19</v>
      </c>
    </row>
    <row r="2632" spans="1:21" ht="15" customHeight="1" x14ac:dyDescent="0.25">
      <c r="A2632" t="s">
        <v>19</v>
      </c>
      <c r="B2632" t="s">
        <v>20</v>
      </c>
      <c r="C2632" t="s">
        <v>305</v>
      </c>
      <c r="D2632">
        <v>3</v>
      </c>
      <c r="E2632" t="s">
        <v>200</v>
      </c>
      <c r="F2632" t="s">
        <v>373</v>
      </c>
      <c r="G2632">
        <v>8</v>
      </c>
      <c r="H2632">
        <v>0</v>
      </c>
      <c r="I2632">
        <f>G2632+H2632</f>
        <v>8</v>
      </c>
      <c r="J2632">
        <f>100-G2632-H2632</f>
        <v>92</v>
      </c>
      <c r="K2632" t="s">
        <v>19</v>
      </c>
      <c r="L2632" t="s">
        <v>19</v>
      </c>
      <c r="M2632" t="s">
        <v>19</v>
      </c>
      <c r="N2632" t="s">
        <v>19</v>
      </c>
      <c r="O2632" t="s">
        <v>19</v>
      </c>
      <c r="P2632" t="s">
        <v>19</v>
      </c>
      <c r="Q2632">
        <f>I2632</f>
        <v>8</v>
      </c>
      <c r="R2632" t="s">
        <v>19</v>
      </c>
      <c r="S2632" t="s">
        <v>19</v>
      </c>
      <c r="T2632" t="s">
        <v>19</v>
      </c>
    </row>
    <row r="2633" spans="1:21" ht="15" customHeight="1" x14ac:dyDescent="0.25">
      <c r="A2633" t="s">
        <v>19</v>
      </c>
      <c r="B2633" t="s">
        <v>20</v>
      </c>
      <c r="C2633" t="s">
        <v>307</v>
      </c>
      <c r="D2633">
        <v>3</v>
      </c>
      <c r="E2633" t="s">
        <v>200</v>
      </c>
      <c r="F2633" t="s">
        <v>373</v>
      </c>
      <c r="G2633">
        <v>5</v>
      </c>
      <c r="H2633">
        <v>0</v>
      </c>
      <c r="I2633">
        <f>G2633+H2633</f>
        <v>5</v>
      </c>
      <c r="J2633">
        <f>100-G2633-H2633</f>
        <v>95</v>
      </c>
      <c r="K2633" t="s">
        <v>19</v>
      </c>
      <c r="L2633" t="s">
        <v>19</v>
      </c>
      <c r="M2633" t="s">
        <v>19</v>
      </c>
      <c r="N2633" t="s">
        <v>19</v>
      </c>
      <c r="O2633" t="s">
        <v>19</v>
      </c>
      <c r="P2633" t="s">
        <v>19</v>
      </c>
      <c r="Q2633">
        <f>I2633</f>
        <v>5</v>
      </c>
      <c r="R2633" t="s">
        <v>19</v>
      </c>
      <c r="S2633" t="s">
        <v>19</v>
      </c>
      <c r="T2633" t="s">
        <v>19</v>
      </c>
    </row>
    <row r="2634" spans="1:21" ht="15" customHeight="1" x14ac:dyDescent="0.25">
      <c r="A2634" s="2">
        <v>45253.806250000001</v>
      </c>
      <c r="B2634" t="s">
        <v>309</v>
      </c>
      <c r="C2634" t="s">
        <v>213</v>
      </c>
      <c r="D2634">
        <v>3</v>
      </c>
      <c r="E2634" t="s">
        <v>200</v>
      </c>
      <c r="F2634" t="s">
        <v>373</v>
      </c>
      <c r="G2634">
        <v>12.4042879</v>
      </c>
      <c r="H2634">
        <v>0</v>
      </c>
      <c r="I2634">
        <v>12.4042879</v>
      </c>
      <c r="J2634">
        <v>87.5957121</v>
      </c>
      <c r="K2634">
        <v>0.8</v>
      </c>
      <c r="L2634">
        <v>0.2</v>
      </c>
      <c r="M2634">
        <v>0.7</v>
      </c>
      <c r="N2634">
        <v>572</v>
      </c>
      <c r="O2634">
        <v>81</v>
      </c>
      <c r="P2634">
        <v>0</v>
      </c>
      <c r="Q2634">
        <v>12.4</v>
      </c>
      <c r="R2634" t="s">
        <v>238</v>
      </c>
      <c r="S2634">
        <v>3.01</v>
      </c>
      <c r="T2634">
        <v>3.23</v>
      </c>
    </row>
    <row r="2635" spans="1:21" ht="15" customHeight="1" x14ac:dyDescent="0.25">
      <c r="A2635" s="2">
        <v>45253.975694444445</v>
      </c>
      <c r="B2635" t="s">
        <v>309</v>
      </c>
      <c r="C2635" t="s">
        <v>215</v>
      </c>
      <c r="D2635">
        <v>2</v>
      </c>
      <c r="E2635" t="s">
        <v>200</v>
      </c>
      <c r="F2635" t="s">
        <v>373</v>
      </c>
      <c r="G2635">
        <v>7.3529411759999999</v>
      </c>
      <c r="H2635">
        <v>0</v>
      </c>
      <c r="I2635">
        <v>7.3529411759999999</v>
      </c>
      <c r="J2635">
        <v>92.647058819999998</v>
      </c>
      <c r="K2635">
        <v>0.8</v>
      </c>
      <c r="L2635">
        <v>0.2</v>
      </c>
      <c r="M2635">
        <v>0.7</v>
      </c>
      <c r="N2635">
        <v>630</v>
      </c>
      <c r="O2635">
        <v>50</v>
      </c>
      <c r="P2635">
        <v>0</v>
      </c>
      <c r="Q2635">
        <v>7.35</v>
      </c>
      <c r="R2635" t="s">
        <v>243</v>
      </c>
      <c r="S2635">
        <v>0.21</v>
      </c>
      <c r="T2635">
        <v>0.23</v>
      </c>
    </row>
    <row r="2636" spans="1:21" ht="15" customHeight="1" x14ac:dyDescent="0.25">
      <c r="A2636" s="2">
        <v>45254.15347222222</v>
      </c>
      <c r="B2636" t="s">
        <v>309</v>
      </c>
      <c r="C2636" t="s">
        <v>217</v>
      </c>
      <c r="D2636">
        <v>2</v>
      </c>
      <c r="E2636" t="s">
        <v>200</v>
      </c>
      <c r="F2636" t="s">
        <v>373</v>
      </c>
      <c r="G2636">
        <v>11.36690647</v>
      </c>
      <c r="H2636">
        <v>0</v>
      </c>
      <c r="I2636">
        <v>11.36690647</v>
      </c>
      <c r="J2636">
        <v>88.633093529999996</v>
      </c>
      <c r="K2636">
        <v>0.8</v>
      </c>
      <c r="L2636">
        <v>0.2</v>
      </c>
      <c r="M2636">
        <v>0.7</v>
      </c>
      <c r="N2636">
        <v>616</v>
      </c>
      <c r="O2636">
        <v>79</v>
      </c>
      <c r="P2636">
        <v>0</v>
      </c>
      <c r="Q2636">
        <v>11.37</v>
      </c>
      <c r="R2636" t="s">
        <v>226</v>
      </c>
      <c r="S2636">
        <v>0.31</v>
      </c>
      <c r="T2636">
        <v>0.33</v>
      </c>
    </row>
    <row r="2637" spans="1:21" ht="15" customHeight="1" x14ac:dyDescent="0.25">
      <c r="A2637" s="2">
        <v>45316.488194444442</v>
      </c>
      <c r="B2637" t="s">
        <v>309</v>
      </c>
      <c r="C2637" t="s">
        <v>219</v>
      </c>
      <c r="D2637">
        <v>3</v>
      </c>
      <c r="E2637" t="s">
        <v>200</v>
      </c>
      <c r="F2637" t="s">
        <v>373</v>
      </c>
      <c r="G2637">
        <v>14.392059550000001</v>
      </c>
      <c r="H2637">
        <v>0.49627791599999999</v>
      </c>
      <c r="I2637">
        <v>14.88833747</v>
      </c>
      <c r="J2637">
        <v>85.111662530000004</v>
      </c>
      <c r="K2637">
        <v>0.8</v>
      </c>
      <c r="L2637">
        <v>0.2</v>
      </c>
      <c r="M2637">
        <v>0.7</v>
      </c>
      <c r="N2637">
        <v>343</v>
      </c>
      <c r="O2637">
        <v>58</v>
      </c>
      <c r="P2637">
        <v>2</v>
      </c>
      <c r="Q2637">
        <v>14.89</v>
      </c>
      <c r="R2637" t="s">
        <v>218</v>
      </c>
      <c r="S2637">
        <v>2.94</v>
      </c>
      <c r="T2637">
        <v>3.5</v>
      </c>
    </row>
    <row r="2638" spans="1:21" ht="15" customHeight="1" x14ac:dyDescent="0.25">
      <c r="A2638" s="2">
        <v>45321.01666666667</v>
      </c>
      <c r="B2638" t="s">
        <v>309</v>
      </c>
      <c r="C2638" t="s">
        <v>221</v>
      </c>
      <c r="D2638">
        <v>2</v>
      </c>
      <c r="E2638" t="s">
        <v>200</v>
      </c>
      <c r="F2638" t="s">
        <v>373</v>
      </c>
      <c r="G2638">
        <v>12.6984127</v>
      </c>
      <c r="H2638">
        <v>0</v>
      </c>
      <c r="I2638">
        <v>12.6984127</v>
      </c>
      <c r="J2638">
        <v>87.301587299999994</v>
      </c>
      <c r="K2638">
        <v>0.8</v>
      </c>
      <c r="L2638">
        <v>0.3</v>
      </c>
      <c r="M2638">
        <v>0.7</v>
      </c>
      <c r="N2638">
        <v>605</v>
      </c>
      <c r="O2638">
        <v>88</v>
      </c>
      <c r="P2638">
        <v>0</v>
      </c>
      <c r="Q2638">
        <v>12.7</v>
      </c>
      <c r="R2638" t="s">
        <v>229</v>
      </c>
      <c r="S2638">
        <v>0.34</v>
      </c>
      <c r="T2638">
        <v>0.36</v>
      </c>
    </row>
    <row r="2639" spans="1:21" ht="15" customHeight="1" x14ac:dyDescent="0.25">
      <c r="A2639" t="s">
        <v>19</v>
      </c>
      <c r="B2639" t="s">
        <v>20</v>
      </c>
      <c r="C2639" t="s">
        <v>320</v>
      </c>
      <c r="D2639">
        <v>3</v>
      </c>
      <c r="E2639" t="s">
        <v>200</v>
      </c>
      <c r="F2639" t="s">
        <v>373</v>
      </c>
      <c r="G2639">
        <v>15</v>
      </c>
      <c r="H2639">
        <v>0</v>
      </c>
      <c r="I2639">
        <f>100-J2639</f>
        <v>15</v>
      </c>
      <c r="J2639">
        <f>100-G2639-H2639</f>
        <v>85</v>
      </c>
      <c r="K2639" t="s">
        <v>19</v>
      </c>
      <c r="L2639" t="s">
        <v>19</v>
      </c>
      <c r="M2639" t="s">
        <v>19</v>
      </c>
      <c r="N2639" t="s">
        <v>19</v>
      </c>
      <c r="O2639" t="s">
        <v>19</v>
      </c>
      <c r="P2639" t="s">
        <v>19</v>
      </c>
      <c r="Q2639">
        <f>I2639</f>
        <v>15</v>
      </c>
      <c r="R2639" t="s">
        <v>19</v>
      </c>
      <c r="S2639" t="s">
        <v>19</v>
      </c>
      <c r="T2639" t="s">
        <v>19</v>
      </c>
    </row>
    <row r="2640" spans="1:21" ht="15" customHeight="1" x14ac:dyDescent="0.25">
      <c r="A2640" s="2">
        <v>45323.65828703704</v>
      </c>
      <c r="B2640" t="s">
        <v>309</v>
      </c>
      <c r="C2640" t="s">
        <v>322</v>
      </c>
      <c r="D2640">
        <v>3</v>
      </c>
      <c r="E2640" t="s">
        <v>200</v>
      </c>
      <c r="F2640" t="s">
        <v>373</v>
      </c>
      <c r="G2640">
        <f>(O2640/(N2640+O2640+P2640))*100</f>
        <v>12.352941176470589</v>
      </c>
      <c r="H2640">
        <f>(P2640/(O2640+P2640+N2640))*100</f>
        <v>0</v>
      </c>
      <c r="I2640">
        <f>((O2640+P2640)/(P2640+O2640+N2640))*100</f>
        <v>12.352941176470589</v>
      </c>
      <c r="J2640">
        <f>(N2640/(P2640+O2640+N2640))*100</f>
        <v>87.647058823529406</v>
      </c>
      <c r="K2640">
        <v>0.8</v>
      </c>
      <c r="L2640">
        <v>0.3</v>
      </c>
      <c r="M2640">
        <v>0.7</v>
      </c>
      <c r="N2640">
        <v>596</v>
      </c>
      <c r="O2640">
        <v>84</v>
      </c>
      <c r="P2640">
        <v>0</v>
      </c>
      <c r="Q2640">
        <v>12.35</v>
      </c>
      <c r="R2640" t="s">
        <v>339</v>
      </c>
      <c r="S2640">
        <v>3.09</v>
      </c>
      <c r="T2640">
        <v>3.3</v>
      </c>
      <c r="U2640">
        <v>27</v>
      </c>
    </row>
    <row r="2641" spans="1:21" ht="15" customHeight="1" x14ac:dyDescent="0.25">
      <c r="A2641" s="2">
        <v>45323.664780092593</v>
      </c>
      <c r="B2641" t="s">
        <v>309</v>
      </c>
      <c r="C2641" t="s">
        <v>322</v>
      </c>
      <c r="D2641">
        <v>3</v>
      </c>
      <c r="E2641" t="s">
        <v>200</v>
      </c>
      <c r="F2641" t="s">
        <v>373</v>
      </c>
      <c r="G2641">
        <f>(O2641/(N2641+O2641+P2641))*100</f>
        <v>12.865497076023392</v>
      </c>
      <c r="H2641">
        <f>(P2641/(O2641+P2641+N2641))*100</f>
        <v>0.14619883040935672</v>
      </c>
      <c r="I2641">
        <f>((O2641+P2641)/(P2641+O2641+N2641))*100</f>
        <v>13.011695906432749</v>
      </c>
      <c r="J2641">
        <f>(N2641/(P2641+O2641+N2641))*100</f>
        <v>86.988304093567251</v>
      </c>
      <c r="K2641">
        <v>0.7</v>
      </c>
      <c r="L2641">
        <v>0.3</v>
      </c>
      <c r="M2641">
        <v>0.7</v>
      </c>
      <c r="N2641">
        <v>595</v>
      </c>
      <c r="O2641">
        <v>88</v>
      </c>
      <c r="P2641">
        <v>1</v>
      </c>
      <c r="Q2641">
        <v>13.01</v>
      </c>
      <c r="R2641" t="s">
        <v>288</v>
      </c>
      <c r="S2641">
        <v>3.09</v>
      </c>
      <c r="T2641">
        <v>3.3</v>
      </c>
      <c r="U2641">
        <v>23</v>
      </c>
    </row>
    <row r="2642" spans="1:21" ht="15" customHeight="1" x14ac:dyDescent="0.25">
      <c r="A2642" s="2">
        <v>45325.217256944445</v>
      </c>
      <c r="B2642" t="s">
        <v>309</v>
      </c>
      <c r="C2642" t="s">
        <v>368</v>
      </c>
      <c r="D2642">
        <v>2</v>
      </c>
      <c r="E2642" t="s">
        <v>200</v>
      </c>
      <c r="F2642" t="s">
        <v>373</v>
      </c>
      <c r="G2642">
        <f>(O2642/(N2642+O2642+P2642))*100</f>
        <v>12.298682284040996</v>
      </c>
      <c r="H2642">
        <f>(P2642/(O2642+P2642+N2642))*100</f>
        <v>0</v>
      </c>
      <c r="I2642">
        <v>12.3</v>
      </c>
      <c r="J2642">
        <f>(N2642/(P2642+O2642+N2642))*100</f>
        <v>87.701317715959007</v>
      </c>
      <c r="K2642">
        <v>0.8</v>
      </c>
      <c r="L2642">
        <v>0.3</v>
      </c>
      <c r="M2642">
        <v>0.7</v>
      </c>
      <c r="N2642">
        <v>599</v>
      </c>
      <c r="O2642">
        <v>84</v>
      </c>
      <c r="P2642">
        <v>0</v>
      </c>
      <c r="Q2642">
        <v>12.3</v>
      </c>
      <c r="R2642" t="s">
        <v>268</v>
      </c>
      <c r="S2642">
        <v>0.35</v>
      </c>
      <c r="T2642">
        <v>0.36</v>
      </c>
    </row>
    <row r="2643" spans="1:21" ht="15" customHeight="1" x14ac:dyDescent="0.25">
      <c r="A2643" t="s">
        <v>19</v>
      </c>
      <c r="B2643" t="s">
        <v>20</v>
      </c>
      <c r="C2643" t="s">
        <v>308</v>
      </c>
      <c r="D2643">
        <v>3</v>
      </c>
      <c r="E2643" t="s">
        <v>201</v>
      </c>
      <c r="F2643" t="s">
        <v>388</v>
      </c>
      <c r="G2643">
        <v>70</v>
      </c>
      <c r="H2643">
        <v>4</v>
      </c>
      <c r="I2643">
        <f>G2643+H2643</f>
        <v>74</v>
      </c>
      <c r="J2643">
        <f>100-G2643-H2643</f>
        <v>26</v>
      </c>
      <c r="K2643" t="s">
        <v>19</v>
      </c>
      <c r="L2643" t="s">
        <v>19</v>
      </c>
      <c r="M2643" t="s">
        <v>19</v>
      </c>
      <c r="N2643" t="s">
        <v>19</v>
      </c>
      <c r="O2643" t="s">
        <v>19</v>
      </c>
      <c r="P2643" t="s">
        <v>19</v>
      </c>
      <c r="Q2643">
        <f>I2643</f>
        <v>74</v>
      </c>
      <c r="R2643" t="s">
        <v>19</v>
      </c>
      <c r="S2643" t="s">
        <v>19</v>
      </c>
      <c r="T2643" t="s">
        <v>19</v>
      </c>
    </row>
    <row r="2644" spans="1:21" ht="15" customHeight="1" x14ac:dyDescent="0.25">
      <c r="A2644" t="s">
        <v>19</v>
      </c>
      <c r="B2644" t="s">
        <v>20</v>
      </c>
      <c r="C2644" t="s">
        <v>22</v>
      </c>
      <c r="D2644">
        <v>3</v>
      </c>
      <c r="E2644" t="s">
        <v>201</v>
      </c>
      <c r="F2644" t="s">
        <v>388</v>
      </c>
      <c r="G2644">
        <v>60</v>
      </c>
      <c r="H2644">
        <v>0</v>
      </c>
      <c r="I2644">
        <f>G2644+H2644</f>
        <v>60</v>
      </c>
      <c r="J2644">
        <f>100-G2644-H2644</f>
        <v>40</v>
      </c>
      <c r="K2644" t="s">
        <v>19</v>
      </c>
      <c r="L2644" t="s">
        <v>19</v>
      </c>
      <c r="M2644" t="s">
        <v>19</v>
      </c>
      <c r="N2644" t="s">
        <v>19</v>
      </c>
      <c r="O2644" t="s">
        <v>19</v>
      </c>
      <c r="P2644" t="s">
        <v>19</v>
      </c>
      <c r="Q2644">
        <f>I2644</f>
        <v>60</v>
      </c>
      <c r="R2644" t="s">
        <v>19</v>
      </c>
      <c r="S2644" t="s">
        <v>19</v>
      </c>
      <c r="T2644" t="s">
        <v>19</v>
      </c>
    </row>
    <row r="2645" spans="1:21" ht="15" customHeight="1" x14ac:dyDescent="0.25">
      <c r="A2645" t="s">
        <v>19</v>
      </c>
      <c r="B2645" t="s">
        <v>20</v>
      </c>
      <c r="C2645" t="s">
        <v>305</v>
      </c>
      <c r="D2645">
        <v>3</v>
      </c>
      <c r="E2645" t="s">
        <v>201</v>
      </c>
      <c r="F2645" t="s">
        <v>388</v>
      </c>
      <c r="G2645">
        <v>55</v>
      </c>
      <c r="H2645">
        <v>10</v>
      </c>
      <c r="I2645">
        <f>G2645+H2645</f>
        <v>65</v>
      </c>
      <c r="J2645">
        <f>100-G2645-H2645</f>
        <v>35</v>
      </c>
      <c r="K2645" t="s">
        <v>19</v>
      </c>
      <c r="L2645" t="s">
        <v>19</v>
      </c>
      <c r="M2645" t="s">
        <v>19</v>
      </c>
      <c r="N2645" t="s">
        <v>19</v>
      </c>
      <c r="O2645" t="s">
        <v>19</v>
      </c>
      <c r="P2645" t="s">
        <v>19</v>
      </c>
      <c r="Q2645">
        <f>I2645</f>
        <v>65</v>
      </c>
      <c r="R2645" t="s">
        <v>19</v>
      </c>
      <c r="S2645" t="s">
        <v>19</v>
      </c>
      <c r="T2645" t="s">
        <v>19</v>
      </c>
    </row>
    <row r="2646" spans="1:21" ht="15" customHeight="1" x14ac:dyDescent="0.25">
      <c r="A2646" t="s">
        <v>19</v>
      </c>
      <c r="B2646" t="s">
        <v>20</v>
      </c>
      <c r="C2646" t="s">
        <v>307</v>
      </c>
      <c r="D2646">
        <v>3</v>
      </c>
      <c r="E2646" t="s">
        <v>201</v>
      </c>
      <c r="F2646" t="s">
        <v>388</v>
      </c>
      <c r="G2646">
        <v>24</v>
      </c>
      <c r="H2646">
        <v>1</v>
      </c>
      <c r="I2646">
        <f>G2646+H2646</f>
        <v>25</v>
      </c>
      <c r="J2646">
        <f>100-G2646-H2646</f>
        <v>75</v>
      </c>
      <c r="K2646" t="s">
        <v>19</v>
      </c>
      <c r="L2646" t="s">
        <v>19</v>
      </c>
      <c r="M2646" t="s">
        <v>19</v>
      </c>
      <c r="N2646" t="s">
        <v>19</v>
      </c>
      <c r="O2646" t="s">
        <v>19</v>
      </c>
      <c r="P2646" t="s">
        <v>19</v>
      </c>
      <c r="Q2646">
        <f>I2646</f>
        <v>25</v>
      </c>
      <c r="R2646" t="s">
        <v>19</v>
      </c>
      <c r="S2646" t="s">
        <v>19</v>
      </c>
      <c r="T2646" t="s">
        <v>19</v>
      </c>
    </row>
    <row r="2647" spans="1:21" ht="15" customHeight="1" x14ac:dyDescent="0.25">
      <c r="A2647" s="2">
        <v>45253.649305555555</v>
      </c>
      <c r="B2647" t="s">
        <v>309</v>
      </c>
      <c r="C2647" t="s">
        <v>213</v>
      </c>
      <c r="D2647">
        <v>3</v>
      </c>
      <c r="E2647" t="s">
        <v>201</v>
      </c>
      <c r="F2647" t="s">
        <v>388</v>
      </c>
      <c r="G2647">
        <v>78.132118449999993</v>
      </c>
      <c r="H2647">
        <v>7.28929385</v>
      </c>
      <c r="I2647">
        <v>85.4214123</v>
      </c>
      <c r="J2647">
        <v>14.5785877</v>
      </c>
      <c r="K2647">
        <v>0.8</v>
      </c>
      <c r="L2647">
        <v>0.2</v>
      </c>
      <c r="M2647">
        <v>0.7</v>
      </c>
      <c r="N2647">
        <v>64</v>
      </c>
      <c r="O2647">
        <v>343</v>
      </c>
      <c r="P2647">
        <v>32</v>
      </c>
      <c r="Q2647">
        <v>85.42</v>
      </c>
      <c r="R2647" t="s">
        <v>287</v>
      </c>
      <c r="S2647">
        <v>3.1</v>
      </c>
      <c r="T2647">
        <v>3.81</v>
      </c>
    </row>
    <row r="2648" spans="1:21" ht="15" customHeight="1" x14ac:dyDescent="0.25">
      <c r="A2648" s="2">
        <v>45253.892361111109</v>
      </c>
      <c r="B2648" t="s">
        <v>309</v>
      </c>
      <c r="C2648" t="s">
        <v>215</v>
      </c>
      <c r="D2648">
        <v>2</v>
      </c>
      <c r="E2648" t="s">
        <v>201</v>
      </c>
      <c r="F2648" t="s">
        <v>388</v>
      </c>
      <c r="G2648">
        <v>67.213114750000003</v>
      </c>
      <c r="H2648">
        <v>0</v>
      </c>
      <c r="I2648">
        <v>67.213114750000003</v>
      </c>
      <c r="J2648">
        <v>32.786885249999997</v>
      </c>
      <c r="K2648">
        <v>0.8</v>
      </c>
      <c r="L2648">
        <v>0.2</v>
      </c>
      <c r="M2648">
        <v>0.7</v>
      </c>
      <c r="N2648">
        <v>220</v>
      </c>
      <c r="O2648">
        <v>451</v>
      </c>
      <c r="P2648">
        <v>0</v>
      </c>
      <c r="Q2648">
        <v>67.209999999999994</v>
      </c>
      <c r="R2648" t="s">
        <v>232</v>
      </c>
      <c r="S2648">
        <v>1.52</v>
      </c>
      <c r="T2648">
        <v>1.66</v>
      </c>
    </row>
    <row r="2649" spans="1:21" ht="15" customHeight="1" x14ac:dyDescent="0.25">
      <c r="A2649" s="2">
        <v>45254.063888888886</v>
      </c>
      <c r="B2649" t="s">
        <v>309</v>
      </c>
      <c r="C2649" t="s">
        <v>217</v>
      </c>
      <c r="D2649">
        <v>2</v>
      </c>
      <c r="E2649" t="s">
        <v>201</v>
      </c>
      <c r="F2649" t="s">
        <v>388</v>
      </c>
      <c r="G2649">
        <v>70.839469809999997</v>
      </c>
      <c r="H2649">
        <v>0</v>
      </c>
      <c r="I2649">
        <v>70.839469809999997</v>
      </c>
      <c r="J2649">
        <v>29.160530189999999</v>
      </c>
      <c r="K2649">
        <v>0.8</v>
      </c>
      <c r="L2649">
        <v>0.2</v>
      </c>
      <c r="M2649">
        <v>0.7</v>
      </c>
      <c r="N2649">
        <v>198</v>
      </c>
      <c r="O2649">
        <v>481</v>
      </c>
      <c r="P2649">
        <v>0</v>
      </c>
      <c r="Q2649">
        <v>70.84</v>
      </c>
      <c r="R2649" t="s">
        <v>281</v>
      </c>
      <c r="S2649">
        <v>1.73</v>
      </c>
      <c r="T2649">
        <v>1.84</v>
      </c>
    </row>
    <row r="2650" spans="1:21" ht="15" customHeight="1" x14ac:dyDescent="0.25">
      <c r="A2650" s="2">
        <v>45316.572222222225</v>
      </c>
      <c r="B2650" t="s">
        <v>309</v>
      </c>
      <c r="C2650" t="s">
        <v>219</v>
      </c>
      <c r="D2650">
        <v>3</v>
      </c>
      <c r="E2650" t="s">
        <v>201</v>
      </c>
      <c r="F2650" t="s">
        <v>388</v>
      </c>
      <c r="G2650">
        <v>82.716049380000001</v>
      </c>
      <c r="H2650">
        <v>4.3209876539999996</v>
      </c>
      <c r="I2650">
        <v>87.037037040000001</v>
      </c>
      <c r="J2650">
        <v>12.96296296</v>
      </c>
      <c r="K2650">
        <v>0.8</v>
      </c>
      <c r="L2650">
        <v>0.2</v>
      </c>
      <c r="M2650">
        <v>0.7</v>
      </c>
      <c r="N2650">
        <v>42</v>
      </c>
      <c r="O2650">
        <v>268</v>
      </c>
      <c r="P2650">
        <v>14</v>
      </c>
      <c r="Q2650">
        <v>87.04</v>
      </c>
      <c r="R2650" t="s">
        <v>229</v>
      </c>
      <c r="S2650">
        <v>3.28</v>
      </c>
      <c r="T2650">
        <v>4.5999999999999996</v>
      </c>
    </row>
    <row r="2651" spans="1:21" ht="15" customHeight="1" x14ac:dyDescent="0.25">
      <c r="A2651" s="2">
        <v>45320.918749999997</v>
      </c>
      <c r="B2651" t="s">
        <v>309</v>
      </c>
      <c r="C2651" t="s">
        <v>221</v>
      </c>
      <c r="D2651">
        <v>2</v>
      </c>
      <c r="E2651" t="s">
        <v>201</v>
      </c>
      <c r="F2651" t="s">
        <v>388</v>
      </c>
      <c r="G2651">
        <v>75.273865409999999</v>
      </c>
      <c r="H2651">
        <v>0</v>
      </c>
      <c r="I2651">
        <v>75.273865409999999</v>
      </c>
      <c r="J2651">
        <v>24.726134590000001</v>
      </c>
      <c r="K2651">
        <v>0.8</v>
      </c>
      <c r="L2651">
        <v>0.3</v>
      </c>
      <c r="M2651">
        <v>0.7</v>
      </c>
      <c r="N2651">
        <v>158</v>
      </c>
      <c r="O2651">
        <v>481</v>
      </c>
      <c r="P2651">
        <v>0</v>
      </c>
      <c r="Q2651">
        <v>75.27</v>
      </c>
      <c r="R2651" t="s">
        <v>233</v>
      </c>
      <c r="S2651">
        <v>1.87</v>
      </c>
      <c r="T2651">
        <v>2.02</v>
      </c>
    </row>
    <row r="2652" spans="1:21" ht="15" customHeight="1" x14ac:dyDescent="0.25">
      <c r="A2652" t="s">
        <v>19</v>
      </c>
      <c r="B2652" t="s">
        <v>20</v>
      </c>
      <c r="C2652" t="s">
        <v>306</v>
      </c>
      <c r="D2652">
        <v>3</v>
      </c>
      <c r="E2652" t="s">
        <v>201</v>
      </c>
      <c r="F2652" t="s">
        <v>388</v>
      </c>
      <c r="G2652">
        <v>68</v>
      </c>
      <c r="H2652">
        <v>20</v>
      </c>
      <c r="I2652">
        <f>G2652+H2652</f>
        <v>88</v>
      </c>
      <c r="J2652">
        <f>100-G2652-H2652</f>
        <v>12</v>
      </c>
      <c r="K2652" t="s">
        <v>19</v>
      </c>
      <c r="L2652" t="s">
        <v>19</v>
      </c>
      <c r="M2652" t="s">
        <v>19</v>
      </c>
      <c r="N2652" t="s">
        <v>19</v>
      </c>
      <c r="O2652" t="s">
        <v>19</v>
      </c>
      <c r="P2652" t="s">
        <v>19</v>
      </c>
      <c r="Q2652">
        <f>I2652</f>
        <v>88</v>
      </c>
      <c r="R2652" t="s">
        <v>19</v>
      </c>
      <c r="S2652" t="s">
        <v>19</v>
      </c>
      <c r="T2652" t="s">
        <v>19</v>
      </c>
    </row>
    <row r="2653" spans="1:21" ht="15" customHeight="1" x14ac:dyDescent="0.25">
      <c r="A2653" t="s">
        <v>19</v>
      </c>
      <c r="B2653" t="s">
        <v>20</v>
      </c>
      <c r="C2653" t="s">
        <v>320</v>
      </c>
      <c r="D2653">
        <v>3</v>
      </c>
      <c r="E2653" t="s">
        <v>201</v>
      </c>
      <c r="F2653" t="s">
        <v>388</v>
      </c>
      <c r="G2653">
        <v>0</v>
      </c>
      <c r="H2653">
        <v>0</v>
      </c>
      <c r="I2653">
        <f>100-J2653</f>
        <v>0</v>
      </c>
      <c r="J2653">
        <f>100-G2653-H2653</f>
        <v>100</v>
      </c>
      <c r="K2653" t="s">
        <v>19</v>
      </c>
      <c r="L2653" t="s">
        <v>19</v>
      </c>
      <c r="M2653" t="s">
        <v>19</v>
      </c>
      <c r="N2653" t="s">
        <v>19</v>
      </c>
      <c r="O2653" t="s">
        <v>19</v>
      </c>
      <c r="P2653" t="s">
        <v>19</v>
      </c>
      <c r="Q2653">
        <f>I2653</f>
        <v>0</v>
      </c>
      <c r="R2653" t="s">
        <v>19</v>
      </c>
      <c r="S2653" t="s">
        <v>19</v>
      </c>
      <c r="T2653" t="s">
        <v>19</v>
      </c>
    </row>
    <row r="2654" spans="1:21" ht="15" customHeight="1" x14ac:dyDescent="0.25">
      <c r="A2654" s="2">
        <v>45323.662766203706</v>
      </c>
      <c r="B2654" t="s">
        <v>309</v>
      </c>
      <c r="C2654" t="s">
        <v>322</v>
      </c>
      <c r="D2654">
        <v>3</v>
      </c>
      <c r="E2654" t="s">
        <v>201</v>
      </c>
      <c r="F2654" t="s">
        <v>388</v>
      </c>
      <c r="G2654">
        <f>(O2654/(N2654+O2654+P2654))*100</f>
        <v>85.393258426966284</v>
      </c>
      <c r="H2654">
        <f>(P2654/(O2654+P2654+N2654))*100</f>
        <v>1.6051364365971106</v>
      </c>
      <c r="I2654">
        <v>87</v>
      </c>
      <c r="J2654">
        <f>(N2654/(P2654+O2654+N2654))*100</f>
        <v>13.001605136436597</v>
      </c>
      <c r="K2654">
        <v>0.8</v>
      </c>
      <c r="L2654">
        <v>0.3</v>
      </c>
      <c r="M2654">
        <v>0.7</v>
      </c>
      <c r="N2654">
        <v>81</v>
      </c>
      <c r="O2654">
        <v>532</v>
      </c>
      <c r="P2654">
        <v>10</v>
      </c>
      <c r="Q2654">
        <v>87</v>
      </c>
      <c r="R2654" t="s">
        <v>345</v>
      </c>
      <c r="S2654">
        <v>2.88</v>
      </c>
      <c r="T2654">
        <v>3.84</v>
      </c>
      <c r="U2654">
        <v>108</v>
      </c>
    </row>
    <row r="2655" spans="1:21" ht="15" customHeight="1" x14ac:dyDescent="0.25">
      <c r="A2655" s="2">
        <v>45323.657395833332</v>
      </c>
      <c r="B2655" t="s">
        <v>309</v>
      </c>
      <c r="C2655" t="s">
        <v>322</v>
      </c>
      <c r="D2655">
        <v>3</v>
      </c>
      <c r="E2655" t="s">
        <v>201</v>
      </c>
      <c r="F2655" t="s">
        <v>388</v>
      </c>
      <c r="G2655">
        <f>(O2655/(N2655+O2655+P2655))*100</f>
        <v>85.978428351309717</v>
      </c>
      <c r="H2655">
        <f>(P2655/(O2655+P2655+N2655))*100</f>
        <v>2.4653312788906012</v>
      </c>
      <c r="I2655">
        <v>88.44</v>
      </c>
      <c r="J2655">
        <f>(N2655/(P2655+O2655+N2655))*100</f>
        <v>11.556240369799692</v>
      </c>
      <c r="K2655">
        <v>0.7</v>
      </c>
      <c r="L2655">
        <v>0.3</v>
      </c>
      <c r="M2655">
        <v>0.7</v>
      </c>
      <c r="N2655">
        <v>75</v>
      </c>
      <c r="O2655">
        <v>558</v>
      </c>
      <c r="P2655">
        <v>16</v>
      </c>
      <c r="Q2655">
        <v>88.44</v>
      </c>
      <c r="R2655" t="s">
        <v>345</v>
      </c>
      <c r="S2655">
        <v>2.88</v>
      </c>
      <c r="T2655">
        <v>3.84</v>
      </c>
      <c r="U2655">
        <v>82</v>
      </c>
    </row>
    <row r="2656" spans="1:21" ht="15" customHeight="1" x14ac:dyDescent="0.25">
      <c r="A2656" s="2">
        <v>45325.072534722225</v>
      </c>
      <c r="B2656" t="s">
        <v>309</v>
      </c>
      <c r="C2656" t="s">
        <v>368</v>
      </c>
      <c r="D2656">
        <v>2</v>
      </c>
      <c r="E2656" t="s">
        <v>201</v>
      </c>
      <c r="F2656" t="s">
        <v>388</v>
      </c>
      <c r="G2656">
        <f>(O2656/(N2656+O2656+P2656))*100</f>
        <v>75.753012048192772</v>
      </c>
      <c r="H2656">
        <f>(P2656/(O2656+P2656+N2656))*100</f>
        <v>0</v>
      </c>
      <c r="I2656">
        <v>75.75</v>
      </c>
      <c r="J2656">
        <f>(N2656/(P2656+O2656+N2656))*100</f>
        <v>24.246987951807228</v>
      </c>
      <c r="K2656">
        <v>0.8</v>
      </c>
      <c r="L2656">
        <v>0.3</v>
      </c>
      <c r="M2656">
        <v>0.7</v>
      </c>
      <c r="N2656">
        <v>161</v>
      </c>
      <c r="O2656">
        <v>503</v>
      </c>
      <c r="P2656">
        <v>0</v>
      </c>
      <c r="Q2656">
        <v>75.75</v>
      </c>
      <c r="R2656" t="s">
        <v>287</v>
      </c>
      <c r="S2656">
        <v>1.79</v>
      </c>
      <c r="T2656">
        <v>1.91</v>
      </c>
    </row>
    <row r="2657" spans="1:21" ht="15" customHeight="1" x14ac:dyDescent="0.25">
      <c r="A2657" t="s">
        <v>19</v>
      </c>
      <c r="B2657" t="s">
        <v>20</v>
      </c>
      <c r="C2657" t="s">
        <v>306</v>
      </c>
      <c r="D2657">
        <v>3</v>
      </c>
      <c r="E2657" t="s">
        <v>202</v>
      </c>
      <c r="F2657" t="s">
        <v>373</v>
      </c>
      <c r="G2657">
        <v>80</v>
      </c>
      <c r="H2657">
        <v>10</v>
      </c>
      <c r="I2657">
        <f>G2657+H2657</f>
        <v>90</v>
      </c>
      <c r="J2657">
        <f>100-G2657-H2657</f>
        <v>10</v>
      </c>
      <c r="K2657" t="s">
        <v>19</v>
      </c>
      <c r="L2657" t="s">
        <v>19</v>
      </c>
      <c r="M2657" t="s">
        <v>19</v>
      </c>
      <c r="N2657" t="s">
        <v>19</v>
      </c>
      <c r="O2657" t="s">
        <v>19</v>
      </c>
      <c r="P2657" t="s">
        <v>19</v>
      </c>
      <c r="Q2657">
        <f>I2657</f>
        <v>90</v>
      </c>
      <c r="R2657" t="s">
        <v>19</v>
      </c>
      <c r="S2657" t="s">
        <v>19</v>
      </c>
      <c r="T2657" t="s">
        <v>19</v>
      </c>
    </row>
    <row r="2658" spans="1:21" ht="15" customHeight="1" x14ac:dyDescent="0.25">
      <c r="A2658" t="s">
        <v>19</v>
      </c>
      <c r="B2658" t="s">
        <v>20</v>
      </c>
      <c r="C2658" t="s">
        <v>308</v>
      </c>
      <c r="D2658">
        <v>3</v>
      </c>
      <c r="E2658" t="s">
        <v>202</v>
      </c>
      <c r="F2658" t="s">
        <v>373</v>
      </c>
      <c r="G2658">
        <v>85</v>
      </c>
      <c r="H2658">
        <v>5</v>
      </c>
      <c r="I2658">
        <f>G2658+H2658</f>
        <v>90</v>
      </c>
      <c r="J2658">
        <f>100-G2658-H2658</f>
        <v>10</v>
      </c>
      <c r="K2658" t="s">
        <v>19</v>
      </c>
      <c r="L2658" t="s">
        <v>19</v>
      </c>
      <c r="M2658" t="s">
        <v>19</v>
      </c>
      <c r="N2658" t="s">
        <v>19</v>
      </c>
      <c r="O2658" t="s">
        <v>19</v>
      </c>
      <c r="P2658" t="s">
        <v>19</v>
      </c>
      <c r="Q2658">
        <f>I2658</f>
        <v>90</v>
      </c>
      <c r="R2658" t="s">
        <v>19</v>
      </c>
      <c r="S2658" t="s">
        <v>19</v>
      </c>
      <c r="T2658" t="s">
        <v>19</v>
      </c>
    </row>
    <row r="2659" spans="1:21" ht="15" customHeight="1" x14ac:dyDescent="0.25">
      <c r="A2659" t="s">
        <v>19</v>
      </c>
      <c r="B2659" t="s">
        <v>20</v>
      </c>
      <c r="C2659" t="s">
        <v>22</v>
      </c>
      <c r="D2659">
        <v>3</v>
      </c>
      <c r="E2659" t="s">
        <v>202</v>
      </c>
      <c r="F2659" t="s">
        <v>373</v>
      </c>
      <c r="G2659">
        <v>80</v>
      </c>
      <c r="H2659">
        <v>1</v>
      </c>
      <c r="I2659">
        <f>G2659+H2659</f>
        <v>81</v>
      </c>
      <c r="J2659">
        <f>100-G2659-H2659</f>
        <v>19</v>
      </c>
      <c r="K2659" t="s">
        <v>19</v>
      </c>
      <c r="L2659" t="s">
        <v>19</v>
      </c>
      <c r="M2659" t="s">
        <v>19</v>
      </c>
      <c r="N2659" t="s">
        <v>19</v>
      </c>
      <c r="O2659" t="s">
        <v>19</v>
      </c>
      <c r="P2659" t="s">
        <v>19</v>
      </c>
      <c r="Q2659">
        <f>I2659</f>
        <v>81</v>
      </c>
      <c r="R2659" t="s">
        <v>19</v>
      </c>
      <c r="S2659" t="s">
        <v>19</v>
      </c>
      <c r="T2659" t="s">
        <v>19</v>
      </c>
    </row>
    <row r="2660" spans="1:21" ht="15" customHeight="1" x14ac:dyDescent="0.25">
      <c r="A2660" t="s">
        <v>19</v>
      </c>
      <c r="B2660" t="s">
        <v>20</v>
      </c>
      <c r="C2660" t="s">
        <v>305</v>
      </c>
      <c r="D2660">
        <v>3</v>
      </c>
      <c r="E2660" t="s">
        <v>202</v>
      </c>
      <c r="F2660" t="s">
        <v>373</v>
      </c>
      <c r="G2660">
        <v>48</v>
      </c>
      <c r="H2660">
        <v>2</v>
      </c>
      <c r="I2660">
        <f>G2660+H2660</f>
        <v>50</v>
      </c>
      <c r="J2660">
        <f>100-G2660-H2660</f>
        <v>50</v>
      </c>
      <c r="K2660" t="s">
        <v>19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  <c r="Q2660">
        <f>I2660</f>
        <v>50</v>
      </c>
      <c r="R2660" t="s">
        <v>19</v>
      </c>
      <c r="S2660" t="s">
        <v>19</v>
      </c>
      <c r="T2660" t="s">
        <v>19</v>
      </c>
    </row>
    <row r="2661" spans="1:21" ht="15" customHeight="1" x14ac:dyDescent="0.25">
      <c r="A2661" t="s">
        <v>19</v>
      </c>
      <c r="B2661" t="s">
        <v>20</v>
      </c>
      <c r="C2661" t="s">
        <v>307</v>
      </c>
      <c r="D2661">
        <v>3</v>
      </c>
      <c r="E2661" t="s">
        <v>202</v>
      </c>
      <c r="F2661" t="s">
        <v>373</v>
      </c>
      <c r="G2661">
        <v>67</v>
      </c>
      <c r="H2661">
        <v>3</v>
      </c>
      <c r="I2661">
        <f>G2661+H2661</f>
        <v>70</v>
      </c>
      <c r="J2661">
        <f>100-G2661-H2661</f>
        <v>30</v>
      </c>
      <c r="K2661" t="s">
        <v>19</v>
      </c>
      <c r="L2661" t="s">
        <v>19</v>
      </c>
      <c r="M2661" t="s">
        <v>19</v>
      </c>
      <c r="N2661" t="s">
        <v>19</v>
      </c>
      <c r="O2661" t="s">
        <v>19</v>
      </c>
      <c r="P2661" t="s">
        <v>19</v>
      </c>
      <c r="Q2661">
        <f>I2661</f>
        <v>70</v>
      </c>
      <c r="R2661" t="s">
        <v>19</v>
      </c>
      <c r="S2661" t="s">
        <v>19</v>
      </c>
      <c r="T2661" t="s">
        <v>19</v>
      </c>
    </row>
    <row r="2662" spans="1:21" ht="15" customHeight="1" x14ac:dyDescent="0.25">
      <c r="A2662" s="2">
        <v>45253.807638888888</v>
      </c>
      <c r="B2662" t="s">
        <v>309</v>
      </c>
      <c r="C2662" t="s">
        <v>213</v>
      </c>
      <c r="D2662">
        <v>3</v>
      </c>
      <c r="E2662" t="s">
        <v>202</v>
      </c>
      <c r="F2662" t="s">
        <v>373</v>
      </c>
      <c r="G2662">
        <v>86.224489800000001</v>
      </c>
      <c r="H2662">
        <v>0.17006802700000001</v>
      </c>
      <c r="I2662">
        <v>86.394557820000003</v>
      </c>
      <c r="J2662">
        <v>13.605442180000001</v>
      </c>
      <c r="K2662">
        <v>0.8</v>
      </c>
      <c r="L2662">
        <v>0.2</v>
      </c>
      <c r="M2662">
        <v>0.7</v>
      </c>
      <c r="N2662">
        <v>80</v>
      </c>
      <c r="O2662">
        <v>507</v>
      </c>
      <c r="P2662">
        <v>1</v>
      </c>
      <c r="Q2662">
        <v>86.39</v>
      </c>
      <c r="R2662" t="s">
        <v>240</v>
      </c>
      <c r="S2662">
        <v>2.98</v>
      </c>
      <c r="T2662">
        <v>3.41</v>
      </c>
    </row>
    <row r="2663" spans="1:21" ht="15" customHeight="1" x14ac:dyDescent="0.25">
      <c r="A2663" s="2">
        <v>45253.976388888892</v>
      </c>
      <c r="B2663" t="s">
        <v>309</v>
      </c>
      <c r="C2663" t="s">
        <v>215</v>
      </c>
      <c r="D2663">
        <v>2</v>
      </c>
      <c r="E2663" t="s">
        <v>202</v>
      </c>
      <c r="F2663" t="s">
        <v>373</v>
      </c>
      <c r="G2663">
        <v>6.8259385669999997</v>
      </c>
      <c r="H2663">
        <v>0</v>
      </c>
      <c r="I2663">
        <v>6.8259385669999997</v>
      </c>
      <c r="J2663">
        <v>93.174061429999995</v>
      </c>
      <c r="K2663">
        <v>0.8</v>
      </c>
      <c r="L2663">
        <v>0.2</v>
      </c>
      <c r="M2663">
        <v>0.7</v>
      </c>
      <c r="N2663">
        <v>546</v>
      </c>
      <c r="O2663">
        <v>40</v>
      </c>
      <c r="P2663">
        <v>0</v>
      </c>
      <c r="Q2663">
        <v>6.83</v>
      </c>
      <c r="R2663" t="s">
        <v>216</v>
      </c>
      <c r="S2663">
        <v>0.32</v>
      </c>
      <c r="T2663">
        <v>0.35</v>
      </c>
    </row>
    <row r="2664" spans="1:21" ht="15" customHeight="1" x14ac:dyDescent="0.25">
      <c r="A2664" s="2">
        <v>45254.154166666667</v>
      </c>
      <c r="B2664" t="s">
        <v>309</v>
      </c>
      <c r="C2664" t="s">
        <v>217</v>
      </c>
      <c r="D2664">
        <v>2</v>
      </c>
      <c r="E2664" t="s">
        <v>202</v>
      </c>
      <c r="F2664" t="s">
        <v>373</v>
      </c>
      <c r="G2664">
        <v>37.58865248</v>
      </c>
      <c r="H2664">
        <v>0</v>
      </c>
      <c r="I2664">
        <v>37.58865248</v>
      </c>
      <c r="J2664">
        <v>62.41134752</v>
      </c>
      <c r="K2664">
        <v>0.8</v>
      </c>
      <c r="L2664">
        <v>0.2</v>
      </c>
      <c r="M2664">
        <v>0.7</v>
      </c>
      <c r="N2664">
        <v>352</v>
      </c>
      <c r="O2664">
        <v>212</v>
      </c>
      <c r="P2664">
        <v>0</v>
      </c>
      <c r="Q2664">
        <v>37.590000000000003</v>
      </c>
      <c r="R2664" t="s">
        <v>254</v>
      </c>
      <c r="S2664">
        <v>1.0900000000000001</v>
      </c>
      <c r="T2664">
        <v>1.18</v>
      </c>
    </row>
    <row r="2665" spans="1:21" ht="15" customHeight="1" x14ac:dyDescent="0.25">
      <c r="A2665" s="2">
        <v>45316.488888888889</v>
      </c>
      <c r="B2665" t="s">
        <v>309</v>
      </c>
      <c r="C2665" t="s">
        <v>219</v>
      </c>
      <c r="D2665">
        <v>3</v>
      </c>
      <c r="E2665" t="s">
        <v>202</v>
      </c>
      <c r="F2665" t="s">
        <v>373</v>
      </c>
      <c r="G2665">
        <v>74.780701750000006</v>
      </c>
      <c r="H2665">
        <v>4.6052631579999996</v>
      </c>
      <c r="I2665">
        <v>79.385964909999998</v>
      </c>
      <c r="J2665">
        <v>20.614035090000002</v>
      </c>
      <c r="K2665">
        <v>0.8</v>
      </c>
      <c r="L2665">
        <v>0.2</v>
      </c>
      <c r="M2665">
        <v>0.7</v>
      </c>
      <c r="N2665">
        <v>94</v>
      </c>
      <c r="O2665">
        <v>341</v>
      </c>
      <c r="P2665">
        <v>21</v>
      </c>
      <c r="Q2665">
        <v>79.39</v>
      </c>
      <c r="R2665" t="s">
        <v>220</v>
      </c>
      <c r="S2665">
        <v>3.16</v>
      </c>
      <c r="T2665">
        <v>4.55</v>
      </c>
    </row>
    <row r="2666" spans="1:21" ht="15" customHeight="1" x14ac:dyDescent="0.25">
      <c r="A2666" s="2">
        <v>45321.017361111109</v>
      </c>
      <c r="B2666" t="s">
        <v>309</v>
      </c>
      <c r="C2666" t="s">
        <v>221</v>
      </c>
      <c r="D2666">
        <v>2</v>
      </c>
      <c r="E2666" t="s">
        <v>202</v>
      </c>
      <c r="F2666" t="s">
        <v>373</v>
      </c>
      <c r="G2666">
        <v>81.990521330000007</v>
      </c>
      <c r="H2666">
        <v>0</v>
      </c>
      <c r="I2666">
        <v>81.990521330000007</v>
      </c>
      <c r="J2666">
        <v>18.00947867</v>
      </c>
      <c r="K2666">
        <v>0.8</v>
      </c>
      <c r="L2666">
        <v>0.3</v>
      </c>
      <c r="M2666">
        <v>0.7</v>
      </c>
      <c r="N2666">
        <v>114</v>
      </c>
      <c r="O2666">
        <v>519</v>
      </c>
      <c r="P2666">
        <v>0</v>
      </c>
      <c r="Q2666">
        <v>81.99</v>
      </c>
      <c r="R2666" t="s">
        <v>293</v>
      </c>
      <c r="S2666">
        <v>2.2799999999999998</v>
      </c>
      <c r="T2666">
        <v>2.4300000000000002</v>
      </c>
    </row>
    <row r="2667" spans="1:21" ht="15" customHeight="1" x14ac:dyDescent="0.25">
      <c r="A2667" t="s">
        <v>19</v>
      </c>
      <c r="B2667" t="s">
        <v>20</v>
      </c>
      <c r="C2667" t="s">
        <v>320</v>
      </c>
      <c r="D2667">
        <v>3</v>
      </c>
      <c r="E2667" t="s">
        <v>202</v>
      </c>
      <c r="F2667" t="s">
        <v>373</v>
      </c>
      <c r="G2667">
        <v>40</v>
      </c>
      <c r="H2667">
        <v>5</v>
      </c>
      <c r="I2667">
        <f>100-J2667</f>
        <v>45</v>
      </c>
      <c r="J2667">
        <f>100-G2667-H2667</f>
        <v>55</v>
      </c>
      <c r="K2667" t="s">
        <v>19</v>
      </c>
      <c r="L2667" t="s">
        <v>19</v>
      </c>
      <c r="M2667" t="s">
        <v>19</v>
      </c>
      <c r="N2667" t="s">
        <v>19</v>
      </c>
      <c r="O2667" t="s">
        <v>19</v>
      </c>
      <c r="P2667" t="s">
        <v>19</v>
      </c>
      <c r="Q2667">
        <f>I2667</f>
        <v>45</v>
      </c>
      <c r="R2667" t="s">
        <v>19</v>
      </c>
      <c r="S2667" t="s">
        <v>19</v>
      </c>
      <c r="T2667" t="s">
        <v>19</v>
      </c>
    </row>
    <row r="2668" spans="1:21" ht="15" customHeight="1" x14ac:dyDescent="0.25">
      <c r="A2668" s="2">
        <v>45323.659930555557</v>
      </c>
      <c r="B2668" t="s">
        <v>309</v>
      </c>
      <c r="C2668" t="s">
        <v>322</v>
      </c>
      <c r="D2668">
        <v>3</v>
      </c>
      <c r="E2668" t="s">
        <v>202</v>
      </c>
      <c r="F2668" t="s">
        <v>373</v>
      </c>
      <c r="G2668">
        <f>(O2668/(N2668+O2668+P2668))*100</f>
        <v>80.967741935483872</v>
      </c>
      <c r="H2668">
        <f>(P2668/(O2668+P2668+N2668))*100</f>
        <v>1.129032258064516</v>
      </c>
      <c r="I2668">
        <f>((O2668+P2668)/(P2668+O2668+N2668))*100</f>
        <v>82.096774193548384</v>
      </c>
      <c r="J2668">
        <f>(N2668/(P2668+O2668+N2668))*100</f>
        <v>17.903225806451616</v>
      </c>
      <c r="K2668">
        <v>0.8</v>
      </c>
      <c r="L2668">
        <v>0.3</v>
      </c>
      <c r="M2668">
        <v>0.7</v>
      </c>
      <c r="N2668">
        <v>111</v>
      </c>
      <c r="O2668">
        <v>502</v>
      </c>
      <c r="P2668">
        <v>7</v>
      </c>
      <c r="Q2668">
        <v>82.1</v>
      </c>
      <c r="R2668" t="s">
        <v>332</v>
      </c>
      <c r="S2668">
        <v>2.83</v>
      </c>
      <c r="T2668">
        <v>3.15</v>
      </c>
      <c r="U2668">
        <v>98</v>
      </c>
    </row>
    <row r="2669" spans="1:21" ht="15" customHeight="1" x14ac:dyDescent="0.25">
      <c r="A2669" s="2">
        <v>45323.666377314818</v>
      </c>
      <c r="B2669" t="s">
        <v>309</v>
      </c>
      <c r="C2669" t="s">
        <v>322</v>
      </c>
      <c r="D2669">
        <v>3</v>
      </c>
      <c r="E2669" t="s">
        <v>202</v>
      </c>
      <c r="F2669" t="s">
        <v>373</v>
      </c>
      <c r="G2669">
        <f>(O2669/(N2669+O2669+P2669))*100</f>
        <v>82.12121212121211</v>
      </c>
      <c r="H2669">
        <f>(P2669/(O2669+P2669+N2669))*100</f>
        <v>1.3636363636363635</v>
      </c>
      <c r="I2669">
        <f>((O2669+P2669)/(P2669+O2669+N2669))*100</f>
        <v>83.484848484848484</v>
      </c>
      <c r="J2669">
        <f>(N2669/(P2669+O2669+N2669))*100</f>
        <v>16.515151515151516</v>
      </c>
      <c r="K2669">
        <v>0.7</v>
      </c>
      <c r="L2669">
        <v>0.3</v>
      </c>
      <c r="M2669">
        <v>0.7</v>
      </c>
      <c r="N2669">
        <v>109</v>
      </c>
      <c r="O2669">
        <v>542</v>
      </c>
      <c r="P2669">
        <v>9</v>
      </c>
      <c r="Q2669">
        <v>83.48</v>
      </c>
      <c r="R2669" t="s">
        <v>333</v>
      </c>
      <c r="S2669">
        <v>2.83</v>
      </c>
      <c r="T2669">
        <v>3.15</v>
      </c>
      <c r="U2669">
        <v>58</v>
      </c>
    </row>
    <row r="2670" spans="1:21" ht="15" customHeight="1" x14ac:dyDescent="0.25">
      <c r="A2670" s="2">
        <v>45325.218576388892</v>
      </c>
      <c r="B2670" t="s">
        <v>309</v>
      </c>
      <c r="C2670" t="s">
        <v>368</v>
      </c>
      <c r="D2670">
        <v>2</v>
      </c>
      <c r="E2670" t="s">
        <v>202</v>
      </c>
      <c r="F2670" t="s">
        <v>373</v>
      </c>
      <c r="G2670">
        <f>(O2670/(N2670+O2670+P2670))*100</f>
        <v>83.180428134556578</v>
      </c>
      <c r="H2670">
        <f>(P2670/(O2670+P2670+N2670))*100</f>
        <v>0</v>
      </c>
      <c r="I2670">
        <v>83.18</v>
      </c>
      <c r="J2670">
        <f>(N2670/(P2670+O2670+N2670))*100</f>
        <v>16.819571865443425</v>
      </c>
      <c r="K2670">
        <v>0.8</v>
      </c>
      <c r="L2670">
        <v>0.3</v>
      </c>
      <c r="M2670">
        <v>0.7</v>
      </c>
      <c r="N2670">
        <v>110</v>
      </c>
      <c r="O2670">
        <v>544</v>
      </c>
      <c r="P2670">
        <v>0</v>
      </c>
      <c r="Q2670">
        <v>83.18</v>
      </c>
      <c r="R2670" t="s">
        <v>332</v>
      </c>
      <c r="S2670">
        <v>2.17</v>
      </c>
      <c r="T2670">
        <v>2.3199999999999998</v>
      </c>
    </row>
    <row r="2671" spans="1:21" ht="15" customHeight="1" x14ac:dyDescent="0.25">
      <c r="A2671" t="s">
        <v>19</v>
      </c>
      <c r="B2671" t="s">
        <v>20</v>
      </c>
      <c r="C2671" t="s">
        <v>308</v>
      </c>
      <c r="D2671">
        <v>3</v>
      </c>
      <c r="E2671" t="s">
        <v>203</v>
      </c>
      <c r="F2671" t="s">
        <v>388</v>
      </c>
      <c r="G2671">
        <v>18</v>
      </c>
      <c r="H2671">
        <v>80</v>
      </c>
      <c r="I2671">
        <f>G2671+H2671</f>
        <v>98</v>
      </c>
      <c r="J2671">
        <f>100-G2671-H2671</f>
        <v>2</v>
      </c>
      <c r="K2671" t="s">
        <v>19</v>
      </c>
      <c r="L2671" t="s">
        <v>19</v>
      </c>
      <c r="M2671" t="s">
        <v>19</v>
      </c>
      <c r="N2671" t="s">
        <v>19</v>
      </c>
      <c r="O2671" t="s">
        <v>19</v>
      </c>
      <c r="P2671" t="s">
        <v>19</v>
      </c>
      <c r="Q2671">
        <f>I2671</f>
        <v>98</v>
      </c>
      <c r="R2671" t="s">
        <v>19</v>
      </c>
      <c r="S2671" t="s">
        <v>19</v>
      </c>
      <c r="T2671" t="s">
        <v>19</v>
      </c>
    </row>
    <row r="2672" spans="1:21" ht="15" customHeight="1" x14ac:dyDescent="0.25">
      <c r="A2672" t="s">
        <v>19</v>
      </c>
      <c r="B2672" t="s">
        <v>20</v>
      </c>
      <c r="C2672" t="s">
        <v>22</v>
      </c>
      <c r="D2672">
        <v>3</v>
      </c>
      <c r="E2672" t="s">
        <v>203</v>
      </c>
      <c r="F2672" t="s">
        <v>388</v>
      </c>
      <c r="G2672">
        <v>20</v>
      </c>
      <c r="H2672">
        <v>80</v>
      </c>
      <c r="I2672">
        <f>G2672+H2672</f>
        <v>100</v>
      </c>
      <c r="J2672">
        <f>100-G2672-H2672</f>
        <v>0</v>
      </c>
      <c r="K2672" t="s">
        <v>19</v>
      </c>
      <c r="L2672" t="s">
        <v>19</v>
      </c>
      <c r="M2672" t="s">
        <v>19</v>
      </c>
      <c r="N2672" t="s">
        <v>19</v>
      </c>
      <c r="O2672" t="s">
        <v>19</v>
      </c>
      <c r="P2672" t="s">
        <v>19</v>
      </c>
      <c r="Q2672">
        <f>I2672</f>
        <v>100</v>
      </c>
      <c r="R2672" t="s">
        <v>19</v>
      </c>
      <c r="S2672" t="s">
        <v>19</v>
      </c>
      <c r="T2672" t="s">
        <v>19</v>
      </c>
    </row>
    <row r="2673" spans="1:21" ht="15" customHeight="1" x14ac:dyDescent="0.25">
      <c r="A2673" t="s">
        <v>19</v>
      </c>
      <c r="B2673" t="s">
        <v>20</v>
      </c>
      <c r="C2673" t="s">
        <v>305</v>
      </c>
      <c r="D2673">
        <v>3</v>
      </c>
      <c r="E2673" t="s">
        <v>203</v>
      </c>
      <c r="F2673" t="s">
        <v>388</v>
      </c>
      <c r="G2673">
        <v>15</v>
      </c>
      <c r="H2673">
        <v>80</v>
      </c>
      <c r="I2673">
        <f>G2673+H2673</f>
        <v>95</v>
      </c>
      <c r="J2673">
        <f>100-G2673-H2673</f>
        <v>5</v>
      </c>
      <c r="K2673" t="s">
        <v>19</v>
      </c>
      <c r="L2673" t="s">
        <v>19</v>
      </c>
      <c r="M2673" t="s">
        <v>19</v>
      </c>
      <c r="N2673" t="s">
        <v>19</v>
      </c>
      <c r="O2673" t="s">
        <v>19</v>
      </c>
      <c r="P2673" t="s">
        <v>19</v>
      </c>
      <c r="Q2673">
        <f>I2673</f>
        <v>95</v>
      </c>
      <c r="R2673" t="s">
        <v>19</v>
      </c>
      <c r="S2673" t="s">
        <v>19</v>
      </c>
      <c r="T2673" t="s">
        <v>19</v>
      </c>
    </row>
    <row r="2674" spans="1:21" ht="15" customHeight="1" x14ac:dyDescent="0.25">
      <c r="A2674" t="s">
        <v>19</v>
      </c>
      <c r="B2674" t="s">
        <v>20</v>
      </c>
      <c r="C2674" t="s">
        <v>307</v>
      </c>
      <c r="D2674">
        <v>3</v>
      </c>
      <c r="E2674" t="s">
        <v>203</v>
      </c>
      <c r="F2674" t="s">
        <v>388</v>
      </c>
      <c r="G2674">
        <v>6</v>
      </c>
      <c r="H2674">
        <v>54</v>
      </c>
      <c r="I2674">
        <f>G2674+H2674</f>
        <v>60</v>
      </c>
      <c r="J2674">
        <f>100-G2674-H2674</f>
        <v>40</v>
      </c>
      <c r="K2674" t="s">
        <v>19</v>
      </c>
      <c r="L2674" t="s">
        <v>19</v>
      </c>
      <c r="M2674" t="s">
        <v>19</v>
      </c>
      <c r="N2674" t="s">
        <v>19</v>
      </c>
      <c r="O2674" t="s">
        <v>19</v>
      </c>
      <c r="P2674" t="s">
        <v>19</v>
      </c>
      <c r="Q2674">
        <f>I2674</f>
        <v>60</v>
      </c>
      <c r="R2674" t="s">
        <v>19</v>
      </c>
      <c r="S2674" t="s">
        <v>19</v>
      </c>
      <c r="T2674" t="s">
        <v>19</v>
      </c>
    </row>
    <row r="2675" spans="1:21" ht="15" customHeight="1" x14ac:dyDescent="0.25">
      <c r="A2675" s="2">
        <v>45253.651388888888</v>
      </c>
      <c r="B2675" t="s">
        <v>309</v>
      </c>
      <c r="C2675" t="s">
        <v>213</v>
      </c>
      <c r="D2675">
        <v>3</v>
      </c>
      <c r="E2675" t="s">
        <v>203</v>
      </c>
      <c r="F2675" t="s">
        <v>388</v>
      </c>
      <c r="G2675">
        <v>0.754147813</v>
      </c>
      <c r="H2675">
        <v>95.022624429999993</v>
      </c>
      <c r="I2675">
        <v>95.776772249999993</v>
      </c>
      <c r="J2675">
        <v>4.2232277529999998</v>
      </c>
      <c r="K2675">
        <v>0.8</v>
      </c>
      <c r="L2675">
        <v>0.2</v>
      </c>
      <c r="M2675">
        <v>0.7</v>
      </c>
      <c r="N2675">
        <v>28</v>
      </c>
      <c r="O2675">
        <v>5</v>
      </c>
      <c r="P2675">
        <v>630</v>
      </c>
      <c r="Q2675">
        <v>95.78</v>
      </c>
      <c r="R2675" t="s">
        <v>236</v>
      </c>
      <c r="S2675">
        <v>2.97</v>
      </c>
      <c r="T2675">
        <v>3.72</v>
      </c>
    </row>
    <row r="2676" spans="1:21" ht="15" customHeight="1" x14ac:dyDescent="0.25">
      <c r="A2676" s="2">
        <v>45253.893055555556</v>
      </c>
      <c r="B2676" t="s">
        <v>309</v>
      </c>
      <c r="C2676" t="s">
        <v>215</v>
      </c>
      <c r="D2676">
        <v>2</v>
      </c>
      <c r="E2676" t="s">
        <v>203</v>
      </c>
      <c r="F2676" t="s">
        <v>388</v>
      </c>
      <c r="G2676">
        <v>8.0620155039999997</v>
      </c>
      <c r="H2676">
        <v>0</v>
      </c>
      <c r="I2676">
        <v>8.0620155039999997</v>
      </c>
      <c r="J2676">
        <v>91.937984499999999</v>
      </c>
      <c r="K2676">
        <v>0.8</v>
      </c>
      <c r="L2676">
        <v>0.2</v>
      </c>
      <c r="M2676">
        <v>0.7</v>
      </c>
      <c r="N2676">
        <v>593</v>
      </c>
      <c r="O2676">
        <v>52</v>
      </c>
      <c r="P2676">
        <v>0</v>
      </c>
      <c r="Q2676">
        <v>8.06</v>
      </c>
      <c r="R2676" t="s">
        <v>224</v>
      </c>
      <c r="S2676">
        <v>0.31</v>
      </c>
      <c r="T2676">
        <v>0.34</v>
      </c>
    </row>
    <row r="2677" spans="1:21" ht="15" customHeight="1" x14ac:dyDescent="0.25">
      <c r="A2677" s="2">
        <v>45254.064583333333</v>
      </c>
      <c r="B2677" t="s">
        <v>309</v>
      </c>
      <c r="C2677" t="s">
        <v>217</v>
      </c>
      <c r="D2677">
        <v>2</v>
      </c>
      <c r="E2677" t="s">
        <v>203</v>
      </c>
      <c r="F2677" t="s">
        <v>388</v>
      </c>
      <c r="G2677">
        <v>17.274167989999999</v>
      </c>
      <c r="H2677">
        <v>0</v>
      </c>
      <c r="I2677">
        <v>17.274167989999999</v>
      </c>
      <c r="J2677">
        <v>82.725832010000005</v>
      </c>
      <c r="K2677">
        <v>0.8</v>
      </c>
      <c r="L2677">
        <v>0.2</v>
      </c>
      <c r="M2677">
        <v>0.7</v>
      </c>
      <c r="N2677">
        <v>522</v>
      </c>
      <c r="O2677">
        <v>109</v>
      </c>
      <c r="P2677">
        <v>0</v>
      </c>
      <c r="Q2677">
        <v>17.27</v>
      </c>
      <c r="R2677" t="s">
        <v>220</v>
      </c>
      <c r="S2677">
        <v>0.55000000000000004</v>
      </c>
      <c r="T2677">
        <v>0.6</v>
      </c>
    </row>
    <row r="2678" spans="1:21" ht="15" customHeight="1" x14ac:dyDescent="0.25">
      <c r="A2678" s="2">
        <v>45316.572916666664</v>
      </c>
      <c r="B2678" t="s">
        <v>309</v>
      </c>
      <c r="C2678" t="s">
        <v>219</v>
      </c>
      <c r="D2678">
        <v>3</v>
      </c>
      <c r="E2678" t="s">
        <v>203</v>
      </c>
      <c r="F2678" t="s">
        <v>388</v>
      </c>
      <c r="G2678">
        <v>1.7054263569999999</v>
      </c>
      <c r="H2678">
        <v>95.193798450000003</v>
      </c>
      <c r="I2678">
        <v>96.899224810000007</v>
      </c>
      <c r="J2678">
        <v>3.1007751940000001</v>
      </c>
      <c r="K2678">
        <v>0.8</v>
      </c>
      <c r="L2678">
        <v>0.2</v>
      </c>
      <c r="M2678">
        <v>0.7</v>
      </c>
      <c r="N2678">
        <v>20</v>
      </c>
      <c r="O2678">
        <v>11</v>
      </c>
      <c r="P2678">
        <v>614</v>
      </c>
      <c r="Q2678">
        <v>96.9</v>
      </c>
      <c r="R2678" t="s">
        <v>231</v>
      </c>
      <c r="S2678">
        <v>3.09</v>
      </c>
      <c r="T2678">
        <v>4.34</v>
      </c>
    </row>
    <row r="2679" spans="1:21" ht="15" customHeight="1" x14ac:dyDescent="0.25">
      <c r="A2679" s="2">
        <v>45320.920138888891</v>
      </c>
      <c r="B2679" t="s">
        <v>309</v>
      </c>
      <c r="C2679" t="s">
        <v>221</v>
      </c>
      <c r="D2679">
        <v>2</v>
      </c>
      <c r="E2679" t="s">
        <v>203</v>
      </c>
      <c r="F2679" t="s">
        <v>388</v>
      </c>
      <c r="G2679">
        <v>98.835516740000003</v>
      </c>
      <c r="H2679">
        <v>0</v>
      </c>
      <c r="I2679">
        <v>98.835516740000003</v>
      </c>
      <c r="J2679">
        <v>1.164483261</v>
      </c>
      <c r="K2679">
        <v>0.8</v>
      </c>
      <c r="L2679">
        <v>0.3</v>
      </c>
      <c r="M2679">
        <v>0.7</v>
      </c>
      <c r="N2679">
        <v>8</v>
      </c>
      <c r="O2679">
        <v>679</v>
      </c>
      <c r="P2679">
        <v>0</v>
      </c>
      <c r="Q2679">
        <v>98.84</v>
      </c>
      <c r="R2679" t="s">
        <v>252</v>
      </c>
      <c r="S2679">
        <v>2.61</v>
      </c>
      <c r="T2679">
        <v>2.79</v>
      </c>
    </row>
    <row r="2680" spans="1:21" ht="15" customHeight="1" x14ac:dyDescent="0.25">
      <c r="A2680" t="s">
        <v>19</v>
      </c>
      <c r="B2680" t="s">
        <v>20</v>
      </c>
      <c r="C2680" t="s">
        <v>306</v>
      </c>
      <c r="D2680">
        <v>3</v>
      </c>
      <c r="E2680" t="s">
        <v>203</v>
      </c>
      <c r="F2680" t="s">
        <v>388</v>
      </c>
      <c r="G2680">
        <v>8</v>
      </c>
      <c r="H2680">
        <v>92</v>
      </c>
      <c r="I2680">
        <f>G2680+H2680</f>
        <v>100</v>
      </c>
      <c r="J2680">
        <f>100-G2680-H2680</f>
        <v>0</v>
      </c>
      <c r="K2680" t="s">
        <v>19</v>
      </c>
      <c r="L2680" t="s">
        <v>19</v>
      </c>
      <c r="M2680" t="s">
        <v>19</v>
      </c>
      <c r="N2680" t="s">
        <v>19</v>
      </c>
      <c r="O2680" t="s">
        <v>19</v>
      </c>
      <c r="P2680" t="s">
        <v>19</v>
      </c>
      <c r="Q2680">
        <f>I2680</f>
        <v>100</v>
      </c>
      <c r="R2680" t="s">
        <v>19</v>
      </c>
      <c r="S2680" t="s">
        <v>19</v>
      </c>
      <c r="T2680" t="s">
        <v>19</v>
      </c>
    </row>
    <row r="2681" spans="1:21" ht="15" customHeight="1" x14ac:dyDescent="0.25">
      <c r="A2681" t="s">
        <v>19</v>
      </c>
      <c r="B2681" t="s">
        <v>20</v>
      </c>
      <c r="C2681" t="s">
        <v>320</v>
      </c>
      <c r="D2681">
        <v>3</v>
      </c>
      <c r="E2681" t="s">
        <v>203</v>
      </c>
      <c r="F2681" t="s">
        <v>388</v>
      </c>
      <c r="G2681">
        <v>20</v>
      </c>
      <c r="H2681">
        <v>80</v>
      </c>
      <c r="I2681">
        <f>100-J2681</f>
        <v>100</v>
      </c>
      <c r="J2681">
        <f>100-G2681-H2681</f>
        <v>0</v>
      </c>
      <c r="K2681" t="s">
        <v>19</v>
      </c>
      <c r="L2681" t="s">
        <v>19</v>
      </c>
      <c r="M2681" t="s">
        <v>19</v>
      </c>
      <c r="N2681" t="s">
        <v>19</v>
      </c>
      <c r="O2681" t="s">
        <v>19</v>
      </c>
      <c r="P2681" t="s">
        <v>19</v>
      </c>
      <c r="Q2681">
        <f>I2681</f>
        <v>100</v>
      </c>
      <c r="R2681" t="s">
        <v>19</v>
      </c>
      <c r="S2681" t="s">
        <v>19</v>
      </c>
      <c r="T2681" t="s">
        <v>19</v>
      </c>
    </row>
    <row r="2682" spans="1:21" ht="15" customHeight="1" x14ac:dyDescent="0.25">
      <c r="A2682" s="2">
        <v>45323.664398148147</v>
      </c>
      <c r="B2682" t="s">
        <v>309</v>
      </c>
      <c r="C2682" t="s">
        <v>322</v>
      </c>
      <c r="D2682">
        <v>3</v>
      </c>
      <c r="E2682" t="s">
        <v>203</v>
      </c>
      <c r="F2682" t="s">
        <v>388</v>
      </c>
      <c r="G2682">
        <f>(O2682/(N2682+O2682+P2682))*100</f>
        <v>3.6641221374045805</v>
      </c>
      <c r="H2682">
        <f>(P2682/(O2682+P2682+N2682))*100</f>
        <v>91.145038167938935</v>
      </c>
      <c r="I2682">
        <v>94.81</v>
      </c>
      <c r="J2682">
        <f>(N2682/(P2682+O2682+N2682))*100</f>
        <v>5.1908396946564883</v>
      </c>
      <c r="K2682">
        <v>0.8</v>
      </c>
      <c r="L2682">
        <v>0.3</v>
      </c>
      <c r="M2682">
        <v>0.7</v>
      </c>
      <c r="N2682">
        <v>34</v>
      </c>
      <c r="O2682">
        <v>24</v>
      </c>
      <c r="P2682">
        <v>597</v>
      </c>
      <c r="Q2682">
        <v>94.81</v>
      </c>
      <c r="R2682" t="s">
        <v>341</v>
      </c>
      <c r="S2682">
        <v>2.83</v>
      </c>
      <c r="T2682">
        <v>4.41</v>
      </c>
      <c r="U2682">
        <v>44</v>
      </c>
    </row>
    <row r="2683" spans="1:21" ht="15" customHeight="1" x14ac:dyDescent="0.25">
      <c r="A2683" s="2">
        <v>45323.65902777778</v>
      </c>
      <c r="B2683" t="s">
        <v>309</v>
      </c>
      <c r="C2683" t="s">
        <v>322</v>
      </c>
      <c r="D2683">
        <v>3</v>
      </c>
      <c r="E2683" t="s">
        <v>203</v>
      </c>
      <c r="F2683" t="s">
        <v>388</v>
      </c>
      <c r="G2683">
        <f>(O2683/(N2683+O2683+P2683))*100</f>
        <v>4.9698795180722888</v>
      </c>
      <c r="H2683">
        <f>(P2683/(O2683+P2683+N2683))*100</f>
        <v>91.716867469879517</v>
      </c>
      <c r="I2683">
        <v>96.69</v>
      </c>
      <c r="J2683">
        <f>(N2683/(P2683+O2683+N2683))*100</f>
        <v>3.3132530120481931</v>
      </c>
      <c r="K2683">
        <v>0.7</v>
      </c>
      <c r="L2683">
        <v>0.3</v>
      </c>
      <c r="M2683">
        <v>0.7</v>
      </c>
      <c r="N2683">
        <v>22</v>
      </c>
      <c r="O2683">
        <v>33</v>
      </c>
      <c r="P2683">
        <v>609</v>
      </c>
      <c r="Q2683">
        <v>96.69</v>
      </c>
      <c r="R2683" t="s">
        <v>288</v>
      </c>
      <c r="S2683">
        <v>2.83</v>
      </c>
      <c r="T2683">
        <v>4.41</v>
      </c>
      <c r="U2683">
        <v>35</v>
      </c>
    </row>
    <row r="2684" spans="1:21" ht="15" customHeight="1" x14ac:dyDescent="0.25">
      <c r="A2684" s="2">
        <v>45325.074120370373</v>
      </c>
      <c r="B2684" t="s">
        <v>309</v>
      </c>
      <c r="C2684" t="s">
        <v>368</v>
      </c>
      <c r="D2684">
        <v>2</v>
      </c>
      <c r="E2684" t="s">
        <v>203</v>
      </c>
      <c r="F2684" t="s">
        <v>388</v>
      </c>
      <c r="G2684">
        <f>(O2684/(N2684+O2684+P2684))*100</f>
        <v>99.129172714078379</v>
      </c>
      <c r="H2684">
        <f>(P2684/(O2684+P2684+N2684))*100</f>
        <v>0</v>
      </c>
      <c r="I2684">
        <v>99.13</v>
      </c>
      <c r="J2684">
        <f>(N2684/(P2684+O2684+N2684))*100</f>
        <v>0.8708272859216255</v>
      </c>
      <c r="K2684">
        <v>0.8</v>
      </c>
      <c r="L2684">
        <v>0.3</v>
      </c>
      <c r="M2684">
        <v>0.7</v>
      </c>
      <c r="N2684">
        <v>6</v>
      </c>
      <c r="O2684">
        <v>683</v>
      </c>
      <c r="P2684">
        <v>0</v>
      </c>
      <c r="Q2684">
        <v>99.13</v>
      </c>
      <c r="R2684" t="s">
        <v>340</v>
      </c>
      <c r="S2684">
        <v>2.42</v>
      </c>
      <c r="T2684">
        <v>2.65</v>
      </c>
    </row>
    <row r="2685" spans="1:21" ht="15" customHeight="1" x14ac:dyDescent="0.25">
      <c r="A2685" t="s">
        <v>19</v>
      </c>
      <c r="B2685" t="s">
        <v>20</v>
      </c>
      <c r="C2685" t="s">
        <v>306</v>
      </c>
      <c r="D2685">
        <v>3</v>
      </c>
      <c r="E2685" t="s">
        <v>204</v>
      </c>
      <c r="F2685" t="s">
        <v>373</v>
      </c>
      <c r="G2685">
        <v>0</v>
      </c>
      <c r="H2685">
        <v>0</v>
      </c>
      <c r="I2685">
        <f>G2685+H2685</f>
        <v>0</v>
      </c>
      <c r="J2685">
        <f>100-G2685-H2685</f>
        <v>100</v>
      </c>
      <c r="K2685" t="s">
        <v>19</v>
      </c>
      <c r="L2685" t="s">
        <v>19</v>
      </c>
      <c r="M2685" t="s">
        <v>19</v>
      </c>
      <c r="N2685" t="s">
        <v>19</v>
      </c>
      <c r="O2685" t="s">
        <v>19</v>
      </c>
      <c r="P2685" t="s">
        <v>19</v>
      </c>
      <c r="Q2685">
        <f>I2685</f>
        <v>0</v>
      </c>
      <c r="R2685" t="s">
        <v>19</v>
      </c>
      <c r="S2685" t="s">
        <v>19</v>
      </c>
      <c r="T2685" t="s">
        <v>19</v>
      </c>
    </row>
    <row r="2686" spans="1:21" ht="15" customHeight="1" x14ac:dyDescent="0.25">
      <c r="A2686" t="s">
        <v>19</v>
      </c>
      <c r="B2686" t="s">
        <v>20</v>
      </c>
      <c r="C2686" t="s">
        <v>308</v>
      </c>
      <c r="D2686">
        <v>3</v>
      </c>
      <c r="E2686" t="s">
        <v>204</v>
      </c>
      <c r="F2686" t="s">
        <v>373</v>
      </c>
      <c r="G2686">
        <v>0</v>
      </c>
      <c r="H2686">
        <v>0</v>
      </c>
      <c r="I2686">
        <f>G2686+H2686</f>
        <v>0</v>
      </c>
      <c r="J2686">
        <f>100-G2686-H2686</f>
        <v>100</v>
      </c>
      <c r="K2686" t="s">
        <v>19</v>
      </c>
      <c r="L2686" t="s">
        <v>19</v>
      </c>
      <c r="M2686" t="s">
        <v>19</v>
      </c>
      <c r="N2686" t="s">
        <v>19</v>
      </c>
      <c r="O2686" t="s">
        <v>19</v>
      </c>
      <c r="P2686" t="s">
        <v>19</v>
      </c>
      <c r="Q2686">
        <f>I2686</f>
        <v>0</v>
      </c>
      <c r="R2686" t="s">
        <v>19</v>
      </c>
      <c r="S2686" t="s">
        <v>19</v>
      </c>
      <c r="T2686" t="s">
        <v>19</v>
      </c>
    </row>
    <row r="2687" spans="1:21" ht="15" customHeight="1" x14ac:dyDescent="0.25">
      <c r="A2687" t="s">
        <v>19</v>
      </c>
      <c r="B2687" t="s">
        <v>20</v>
      </c>
      <c r="C2687" t="s">
        <v>22</v>
      </c>
      <c r="D2687">
        <v>3</v>
      </c>
      <c r="E2687" t="s">
        <v>204</v>
      </c>
      <c r="F2687" t="s">
        <v>373</v>
      </c>
      <c r="G2687">
        <v>0</v>
      </c>
      <c r="H2687">
        <v>0</v>
      </c>
      <c r="I2687">
        <f>G2687+H2687</f>
        <v>0</v>
      </c>
      <c r="J2687">
        <f>100-G2687-H2687</f>
        <v>100</v>
      </c>
      <c r="K2687" t="s">
        <v>19</v>
      </c>
      <c r="L2687" t="s">
        <v>19</v>
      </c>
      <c r="M2687" t="s">
        <v>19</v>
      </c>
      <c r="N2687" t="s">
        <v>19</v>
      </c>
      <c r="O2687" t="s">
        <v>19</v>
      </c>
      <c r="P2687" t="s">
        <v>19</v>
      </c>
      <c r="Q2687">
        <f>I2687</f>
        <v>0</v>
      </c>
      <c r="R2687" t="s">
        <v>19</v>
      </c>
      <c r="S2687" t="s">
        <v>19</v>
      </c>
      <c r="T2687" t="s">
        <v>19</v>
      </c>
    </row>
    <row r="2688" spans="1:21" ht="15" customHeight="1" x14ac:dyDescent="0.25">
      <c r="A2688" t="s">
        <v>19</v>
      </c>
      <c r="B2688" t="s">
        <v>20</v>
      </c>
      <c r="C2688" t="s">
        <v>305</v>
      </c>
      <c r="D2688">
        <v>3</v>
      </c>
      <c r="E2688" t="s">
        <v>204</v>
      </c>
      <c r="F2688" t="s">
        <v>373</v>
      </c>
      <c r="G2688">
        <v>0</v>
      </c>
      <c r="H2688">
        <v>0</v>
      </c>
      <c r="I2688">
        <f>G2688+H2688</f>
        <v>0</v>
      </c>
      <c r="J2688">
        <f>100-G2688-H2688</f>
        <v>100</v>
      </c>
      <c r="K2688" t="s">
        <v>19</v>
      </c>
      <c r="L2688" t="s">
        <v>19</v>
      </c>
      <c r="M2688" t="s">
        <v>19</v>
      </c>
      <c r="N2688" t="s">
        <v>19</v>
      </c>
      <c r="O2688" t="s">
        <v>19</v>
      </c>
      <c r="P2688" t="s">
        <v>19</v>
      </c>
      <c r="Q2688">
        <f>I2688</f>
        <v>0</v>
      </c>
      <c r="R2688" t="s">
        <v>19</v>
      </c>
      <c r="S2688" t="s">
        <v>19</v>
      </c>
      <c r="T2688" t="s">
        <v>19</v>
      </c>
    </row>
    <row r="2689" spans="1:21" ht="15" customHeight="1" x14ac:dyDescent="0.25">
      <c r="A2689" t="s">
        <v>19</v>
      </c>
      <c r="B2689" t="s">
        <v>20</v>
      </c>
      <c r="C2689" t="s">
        <v>307</v>
      </c>
      <c r="D2689">
        <v>3</v>
      </c>
      <c r="E2689" t="s">
        <v>204</v>
      </c>
      <c r="F2689" t="s">
        <v>373</v>
      </c>
      <c r="G2689">
        <v>0</v>
      </c>
      <c r="H2689">
        <v>0</v>
      </c>
      <c r="I2689">
        <f>G2689+H2689</f>
        <v>0</v>
      </c>
      <c r="J2689">
        <f>100-G2689-H2689</f>
        <v>100</v>
      </c>
      <c r="K2689" t="s">
        <v>19</v>
      </c>
      <c r="L2689" t="s">
        <v>19</v>
      </c>
      <c r="M2689" t="s">
        <v>19</v>
      </c>
      <c r="N2689" t="s">
        <v>19</v>
      </c>
      <c r="O2689" t="s">
        <v>19</v>
      </c>
      <c r="P2689" t="s">
        <v>19</v>
      </c>
      <c r="Q2689">
        <f>I2689</f>
        <v>0</v>
      </c>
      <c r="R2689" t="s">
        <v>19</v>
      </c>
      <c r="S2689" t="s">
        <v>19</v>
      </c>
      <c r="T2689" t="s">
        <v>19</v>
      </c>
    </row>
    <row r="2690" spans="1:21" ht="15" customHeight="1" x14ac:dyDescent="0.25">
      <c r="A2690" s="2">
        <v>45253.809027777781</v>
      </c>
      <c r="B2690" t="s">
        <v>309</v>
      </c>
      <c r="C2690" t="s">
        <v>213</v>
      </c>
      <c r="D2690">
        <v>3</v>
      </c>
      <c r="E2690" t="s">
        <v>204</v>
      </c>
      <c r="F2690" t="s">
        <v>373</v>
      </c>
      <c r="G2690">
        <v>1.1661807580000001</v>
      </c>
      <c r="H2690">
        <v>0.29154519000000001</v>
      </c>
      <c r="I2690">
        <v>1.457725948</v>
      </c>
      <c r="J2690">
        <v>98.542274050000003</v>
      </c>
      <c r="K2690">
        <v>0.8</v>
      </c>
      <c r="L2690">
        <v>0.2</v>
      </c>
      <c r="M2690">
        <v>0.7</v>
      </c>
      <c r="N2690">
        <v>338</v>
      </c>
      <c r="O2690">
        <v>4</v>
      </c>
      <c r="P2690">
        <v>1</v>
      </c>
      <c r="Q2690">
        <v>1.46</v>
      </c>
      <c r="R2690" t="s">
        <v>265</v>
      </c>
      <c r="S2690">
        <v>2.89</v>
      </c>
      <c r="T2690">
        <v>3.33</v>
      </c>
    </row>
    <row r="2691" spans="1:21" ht="15" customHeight="1" x14ac:dyDescent="0.25">
      <c r="A2691" s="2">
        <v>45253.977083333331</v>
      </c>
      <c r="B2691" t="s">
        <v>309</v>
      </c>
      <c r="C2691" t="s">
        <v>215</v>
      </c>
      <c r="D2691">
        <v>2</v>
      </c>
      <c r="E2691" t="s">
        <v>204</v>
      </c>
      <c r="F2691" t="s">
        <v>373</v>
      </c>
      <c r="G2691">
        <v>0.81833060599999996</v>
      </c>
      <c r="H2691">
        <v>0</v>
      </c>
      <c r="I2691">
        <v>0.81833060599999996</v>
      </c>
      <c r="J2691">
        <v>99.181669389999996</v>
      </c>
      <c r="K2691">
        <v>0.8</v>
      </c>
      <c r="L2691">
        <v>0.2</v>
      </c>
      <c r="M2691">
        <v>0.7</v>
      </c>
      <c r="N2691">
        <v>606</v>
      </c>
      <c r="O2691">
        <v>5</v>
      </c>
      <c r="P2691">
        <v>0</v>
      </c>
      <c r="Q2691">
        <v>0.82</v>
      </c>
      <c r="R2691" t="s">
        <v>290</v>
      </c>
      <c r="S2691">
        <v>0.03</v>
      </c>
      <c r="T2691">
        <v>0.03</v>
      </c>
    </row>
    <row r="2692" spans="1:21" ht="15" customHeight="1" x14ac:dyDescent="0.25">
      <c r="A2692" s="2">
        <v>45254.154861111114</v>
      </c>
      <c r="B2692" t="s">
        <v>309</v>
      </c>
      <c r="C2692" t="s">
        <v>217</v>
      </c>
      <c r="D2692">
        <v>2</v>
      </c>
      <c r="E2692" t="s">
        <v>204</v>
      </c>
      <c r="F2692" t="s">
        <v>373</v>
      </c>
      <c r="G2692">
        <v>1.8315018320000001</v>
      </c>
      <c r="H2692">
        <v>0</v>
      </c>
      <c r="I2692">
        <v>1.8315018320000001</v>
      </c>
      <c r="J2692">
        <v>98.168498170000007</v>
      </c>
      <c r="K2692">
        <v>0.8</v>
      </c>
      <c r="L2692">
        <v>0.2</v>
      </c>
      <c r="M2692">
        <v>0.7</v>
      </c>
      <c r="N2692">
        <v>536</v>
      </c>
      <c r="O2692">
        <v>10</v>
      </c>
      <c r="P2692">
        <v>0</v>
      </c>
      <c r="Q2692">
        <v>1.83</v>
      </c>
      <c r="R2692" t="s">
        <v>224</v>
      </c>
      <c r="S2692">
        <v>0.11</v>
      </c>
      <c r="T2692">
        <v>0.12</v>
      </c>
    </row>
    <row r="2693" spans="1:21" ht="15" customHeight="1" x14ac:dyDescent="0.25">
      <c r="A2693" s="2">
        <v>45316.490277777775</v>
      </c>
      <c r="B2693" t="s">
        <v>309</v>
      </c>
      <c r="C2693" t="s">
        <v>219</v>
      </c>
      <c r="D2693">
        <v>3</v>
      </c>
      <c r="E2693" t="s">
        <v>204</v>
      </c>
      <c r="F2693" t="s">
        <v>373</v>
      </c>
      <c r="G2693">
        <v>2.6548672569999998</v>
      </c>
      <c r="H2693">
        <v>0</v>
      </c>
      <c r="I2693">
        <v>2.6548672569999998</v>
      </c>
      <c r="J2693">
        <v>97.345132739999997</v>
      </c>
      <c r="K2693">
        <v>0.8</v>
      </c>
      <c r="L2693">
        <v>0.2</v>
      </c>
      <c r="M2693">
        <v>0.7</v>
      </c>
      <c r="N2693">
        <v>110</v>
      </c>
      <c r="O2693">
        <v>3</v>
      </c>
      <c r="P2693">
        <v>0</v>
      </c>
      <c r="Q2693">
        <v>2.65</v>
      </c>
      <c r="R2693" t="s">
        <v>290</v>
      </c>
      <c r="S2693">
        <v>3.17</v>
      </c>
      <c r="T2693">
        <v>4.18</v>
      </c>
    </row>
    <row r="2694" spans="1:21" ht="15" customHeight="1" x14ac:dyDescent="0.25">
      <c r="A2694" s="2">
        <v>45321.018750000003</v>
      </c>
      <c r="B2694" t="s">
        <v>309</v>
      </c>
      <c r="C2694" t="s">
        <v>221</v>
      </c>
      <c r="D2694">
        <v>2</v>
      </c>
      <c r="E2694" t="s">
        <v>204</v>
      </c>
      <c r="F2694" t="s">
        <v>373</v>
      </c>
      <c r="G2694">
        <v>2.6315789469999999</v>
      </c>
      <c r="H2694">
        <v>0</v>
      </c>
      <c r="I2694">
        <v>2.6315789469999999</v>
      </c>
      <c r="J2694">
        <v>97.368421049999995</v>
      </c>
      <c r="K2694">
        <v>0.8</v>
      </c>
      <c r="L2694">
        <v>0.3</v>
      </c>
      <c r="M2694">
        <v>0.7</v>
      </c>
      <c r="N2694">
        <v>481</v>
      </c>
      <c r="O2694">
        <v>13</v>
      </c>
      <c r="P2694">
        <v>0</v>
      </c>
      <c r="Q2694">
        <v>2.63</v>
      </c>
      <c r="R2694" t="s">
        <v>235</v>
      </c>
      <c r="S2694">
        <v>0.19</v>
      </c>
      <c r="T2694">
        <v>0.2</v>
      </c>
    </row>
    <row r="2695" spans="1:21" ht="15" customHeight="1" x14ac:dyDescent="0.25">
      <c r="A2695" t="s">
        <v>19</v>
      </c>
      <c r="B2695" t="s">
        <v>20</v>
      </c>
      <c r="C2695" t="s">
        <v>320</v>
      </c>
      <c r="D2695">
        <v>3</v>
      </c>
      <c r="E2695" t="s">
        <v>204</v>
      </c>
      <c r="F2695" t="s">
        <v>373</v>
      </c>
      <c r="G2695">
        <v>0</v>
      </c>
      <c r="H2695">
        <v>0</v>
      </c>
      <c r="I2695">
        <f>100-J2695</f>
        <v>0</v>
      </c>
      <c r="J2695">
        <f>100-G2695-H2695</f>
        <v>100</v>
      </c>
      <c r="K2695" t="s">
        <v>19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  <c r="Q2695">
        <f>I2695</f>
        <v>0</v>
      </c>
      <c r="R2695" t="s">
        <v>19</v>
      </c>
      <c r="S2695" t="s">
        <v>19</v>
      </c>
      <c r="T2695" t="s">
        <v>19</v>
      </c>
    </row>
    <row r="2696" spans="1:21" ht="15" customHeight="1" x14ac:dyDescent="0.25">
      <c r="A2696" s="2">
        <v>45323.661643518521</v>
      </c>
      <c r="B2696" t="s">
        <v>309</v>
      </c>
      <c r="C2696" t="s">
        <v>322</v>
      </c>
      <c r="D2696">
        <v>3</v>
      </c>
      <c r="E2696" t="s">
        <v>204</v>
      </c>
      <c r="F2696" t="s">
        <v>373</v>
      </c>
      <c r="G2696">
        <f>(O2696/(N2696+O2696+P2696))*100</f>
        <v>3.3898305084745761</v>
      </c>
      <c r="H2696">
        <f>(P2696/(O2696+P2696+N2696))*100</f>
        <v>0</v>
      </c>
      <c r="I2696">
        <f>((O2696+P2696)/(P2696+O2696+N2696))*100</f>
        <v>3.3898305084745761</v>
      </c>
      <c r="J2696">
        <f>(N2696/(P2696+O2696+N2696))*100</f>
        <v>96.610169491525426</v>
      </c>
      <c r="K2696">
        <v>0.8</v>
      </c>
      <c r="L2696">
        <v>0.3</v>
      </c>
      <c r="M2696">
        <v>0.7</v>
      </c>
      <c r="N2696">
        <v>456</v>
      </c>
      <c r="O2696">
        <v>16</v>
      </c>
      <c r="P2696">
        <v>0</v>
      </c>
      <c r="Q2696">
        <v>3.39</v>
      </c>
      <c r="R2696" t="s">
        <v>248</v>
      </c>
      <c r="S2696">
        <v>2.5499999999999998</v>
      </c>
      <c r="T2696">
        <v>3.2</v>
      </c>
      <c r="U2696">
        <v>96</v>
      </c>
    </row>
    <row r="2697" spans="1:21" ht="15" customHeight="1" x14ac:dyDescent="0.25">
      <c r="A2697" s="2">
        <v>45323.66810185185</v>
      </c>
      <c r="B2697" t="s">
        <v>309</v>
      </c>
      <c r="C2697" t="s">
        <v>322</v>
      </c>
      <c r="D2697">
        <v>3</v>
      </c>
      <c r="E2697" t="s">
        <v>204</v>
      </c>
      <c r="F2697" t="s">
        <v>373</v>
      </c>
      <c r="G2697">
        <f>(O2697/(N2697+O2697+P2697))*100</f>
        <v>5.1975051975051976</v>
      </c>
      <c r="H2697">
        <f>(P2697/(O2697+P2697+N2697))*100</f>
        <v>0</v>
      </c>
      <c r="I2697">
        <f>((O2697+P2697)/(P2697+O2697+N2697))*100</f>
        <v>5.1975051975051976</v>
      </c>
      <c r="J2697">
        <f>(N2697/(P2697+O2697+N2697))*100</f>
        <v>94.802494802494806</v>
      </c>
      <c r="K2697">
        <v>0.7</v>
      </c>
      <c r="L2697">
        <v>0.3</v>
      </c>
      <c r="M2697">
        <v>0.7</v>
      </c>
      <c r="N2697">
        <v>456</v>
      </c>
      <c r="O2697">
        <v>25</v>
      </c>
      <c r="P2697">
        <v>0</v>
      </c>
      <c r="Q2697">
        <v>5.2</v>
      </c>
      <c r="R2697" t="s">
        <v>367</v>
      </c>
      <c r="S2697">
        <v>2.5499999999999998</v>
      </c>
      <c r="T2697">
        <v>3.2</v>
      </c>
      <c r="U2697">
        <v>87</v>
      </c>
    </row>
    <row r="2698" spans="1:21" ht="15" customHeight="1" x14ac:dyDescent="0.25">
      <c r="A2698" s="2">
        <v>45325.220289351855</v>
      </c>
      <c r="B2698" t="s">
        <v>309</v>
      </c>
      <c r="C2698" t="s">
        <v>368</v>
      </c>
      <c r="D2698">
        <v>2</v>
      </c>
      <c r="E2698" t="s">
        <v>204</v>
      </c>
      <c r="F2698" t="s">
        <v>373</v>
      </c>
      <c r="G2698">
        <f>(O2698/(N2698+O2698+P2698))*100</f>
        <v>0.18018018018018017</v>
      </c>
      <c r="H2698">
        <f>(P2698/(O2698+P2698+N2698))*100</f>
        <v>0</v>
      </c>
      <c r="I2698">
        <v>0.18</v>
      </c>
      <c r="J2698">
        <f>(N2698/(P2698+O2698+N2698))*100</f>
        <v>99.819819819819827</v>
      </c>
      <c r="K2698">
        <v>0.8</v>
      </c>
      <c r="L2698">
        <v>0.3</v>
      </c>
      <c r="M2698">
        <v>0.7</v>
      </c>
      <c r="N2698">
        <v>554</v>
      </c>
      <c r="O2698">
        <v>1</v>
      </c>
      <c r="P2698">
        <v>0</v>
      </c>
      <c r="Q2698">
        <v>0.18</v>
      </c>
      <c r="R2698" t="s">
        <v>259</v>
      </c>
      <c r="S2698">
        <v>0.02</v>
      </c>
      <c r="T2698">
        <v>0.02</v>
      </c>
    </row>
    <row r="2699" spans="1:21" ht="15" customHeight="1" x14ac:dyDescent="0.25">
      <c r="A2699" t="s">
        <v>19</v>
      </c>
      <c r="B2699" t="s">
        <v>20</v>
      </c>
      <c r="C2699" t="s">
        <v>308</v>
      </c>
      <c r="D2699">
        <v>3</v>
      </c>
      <c r="E2699" t="s">
        <v>205</v>
      </c>
      <c r="F2699" t="s">
        <v>388</v>
      </c>
      <c r="G2699">
        <v>15</v>
      </c>
      <c r="H2699">
        <v>25</v>
      </c>
      <c r="I2699">
        <f>G2699+H2699</f>
        <v>40</v>
      </c>
      <c r="J2699">
        <f>100-G2699-H2699</f>
        <v>60</v>
      </c>
      <c r="K2699" t="s">
        <v>19</v>
      </c>
      <c r="L2699" t="s">
        <v>19</v>
      </c>
      <c r="M2699" t="s">
        <v>19</v>
      </c>
      <c r="N2699" t="s">
        <v>19</v>
      </c>
      <c r="O2699" t="s">
        <v>19</v>
      </c>
      <c r="P2699" t="s">
        <v>19</v>
      </c>
      <c r="Q2699">
        <f>I2699</f>
        <v>40</v>
      </c>
      <c r="R2699" t="s">
        <v>19</v>
      </c>
      <c r="S2699" t="s">
        <v>19</v>
      </c>
      <c r="T2699" t="s">
        <v>19</v>
      </c>
    </row>
    <row r="2700" spans="1:21" ht="15" customHeight="1" x14ac:dyDescent="0.25">
      <c r="A2700" t="s">
        <v>19</v>
      </c>
      <c r="B2700" t="s">
        <v>20</v>
      </c>
      <c r="C2700" t="s">
        <v>22</v>
      </c>
      <c r="D2700">
        <v>3</v>
      </c>
      <c r="E2700" t="s">
        <v>205</v>
      </c>
      <c r="F2700" t="s">
        <v>388</v>
      </c>
      <c r="G2700">
        <v>35</v>
      </c>
      <c r="H2700">
        <v>15</v>
      </c>
      <c r="I2700">
        <f>G2700+H2700</f>
        <v>50</v>
      </c>
      <c r="J2700">
        <f>100-G2700-H2700</f>
        <v>50</v>
      </c>
      <c r="K2700" t="s">
        <v>19</v>
      </c>
      <c r="L2700" t="s">
        <v>19</v>
      </c>
      <c r="M2700" t="s">
        <v>19</v>
      </c>
      <c r="N2700" t="s">
        <v>19</v>
      </c>
      <c r="O2700" t="s">
        <v>19</v>
      </c>
      <c r="P2700" t="s">
        <v>19</v>
      </c>
      <c r="Q2700">
        <f>I2700</f>
        <v>50</v>
      </c>
      <c r="R2700" t="s">
        <v>19</v>
      </c>
      <c r="S2700" t="s">
        <v>19</v>
      </c>
      <c r="T2700" t="s">
        <v>19</v>
      </c>
    </row>
    <row r="2701" spans="1:21" ht="15" customHeight="1" x14ac:dyDescent="0.25">
      <c r="A2701" t="s">
        <v>19</v>
      </c>
      <c r="B2701" t="s">
        <v>20</v>
      </c>
      <c r="C2701" t="s">
        <v>305</v>
      </c>
      <c r="D2701">
        <v>3</v>
      </c>
      <c r="E2701" t="s">
        <v>205</v>
      </c>
      <c r="F2701" t="s">
        <v>388</v>
      </c>
      <c r="G2701">
        <v>35</v>
      </c>
      <c r="H2701">
        <v>35</v>
      </c>
      <c r="I2701">
        <f>G2701+H2701</f>
        <v>70</v>
      </c>
      <c r="J2701">
        <f>100-G2701-H2701</f>
        <v>30</v>
      </c>
      <c r="K2701" t="s">
        <v>19</v>
      </c>
      <c r="L2701" t="s">
        <v>19</v>
      </c>
      <c r="M2701" t="s">
        <v>19</v>
      </c>
      <c r="N2701" t="s">
        <v>19</v>
      </c>
      <c r="O2701" t="s">
        <v>19</v>
      </c>
      <c r="P2701" t="s">
        <v>19</v>
      </c>
      <c r="Q2701">
        <f>I2701</f>
        <v>70</v>
      </c>
      <c r="R2701" t="s">
        <v>19</v>
      </c>
      <c r="S2701" t="s">
        <v>19</v>
      </c>
      <c r="T2701" t="s">
        <v>19</v>
      </c>
    </row>
    <row r="2702" spans="1:21" ht="15" customHeight="1" x14ac:dyDescent="0.25">
      <c r="A2702" t="s">
        <v>19</v>
      </c>
      <c r="B2702" t="s">
        <v>20</v>
      </c>
      <c r="C2702" t="s">
        <v>307</v>
      </c>
      <c r="D2702">
        <v>3</v>
      </c>
      <c r="E2702" t="s">
        <v>205</v>
      </c>
      <c r="F2702" t="s">
        <v>388</v>
      </c>
      <c r="G2702">
        <v>10</v>
      </c>
      <c r="H2702">
        <v>10</v>
      </c>
      <c r="I2702">
        <f>G2702+H2702</f>
        <v>20</v>
      </c>
      <c r="J2702">
        <f>100-G2702-H2702</f>
        <v>80</v>
      </c>
      <c r="K2702" t="s">
        <v>19</v>
      </c>
      <c r="L2702" t="s">
        <v>19</v>
      </c>
      <c r="M2702" t="s">
        <v>19</v>
      </c>
      <c r="N2702" t="s">
        <v>19</v>
      </c>
      <c r="O2702" t="s">
        <v>19</v>
      </c>
      <c r="P2702" t="s">
        <v>19</v>
      </c>
      <c r="Q2702">
        <f>I2702</f>
        <v>20</v>
      </c>
      <c r="R2702" t="s">
        <v>19</v>
      </c>
      <c r="S2702" t="s">
        <v>19</v>
      </c>
      <c r="T2702" t="s">
        <v>19</v>
      </c>
    </row>
    <row r="2703" spans="1:21" ht="15" customHeight="1" x14ac:dyDescent="0.25">
      <c r="A2703" s="2">
        <v>45253.652777777781</v>
      </c>
      <c r="B2703" t="s">
        <v>309</v>
      </c>
      <c r="C2703" t="s">
        <v>213</v>
      </c>
      <c r="D2703">
        <v>3</v>
      </c>
      <c r="E2703" t="s">
        <v>205</v>
      </c>
      <c r="F2703" t="s">
        <v>388</v>
      </c>
      <c r="G2703">
        <v>36.008676790000003</v>
      </c>
      <c r="H2703">
        <v>29.934924079999998</v>
      </c>
      <c r="I2703">
        <v>65.943600869999997</v>
      </c>
      <c r="J2703">
        <v>34.056399130000003</v>
      </c>
      <c r="K2703">
        <v>0.8</v>
      </c>
      <c r="L2703">
        <v>0.2</v>
      </c>
      <c r="M2703">
        <v>0.7</v>
      </c>
      <c r="N2703">
        <v>157</v>
      </c>
      <c r="O2703">
        <v>166</v>
      </c>
      <c r="P2703">
        <v>138</v>
      </c>
      <c r="Q2703">
        <v>65.94</v>
      </c>
      <c r="R2703" t="s">
        <v>265</v>
      </c>
      <c r="S2703">
        <v>2.95</v>
      </c>
      <c r="T2703">
        <v>3.49</v>
      </c>
    </row>
    <row r="2704" spans="1:21" ht="15" customHeight="1" x14ac:dyDescent="0.25">
      <c r="A2704" s="2">
        <v>45253.893750000003</v>
      </c>
      <c r="B2704" t="s">
        <v>309</v>
      </c>
      <c r="C2704" t="s">
        <v>215</v>
      </c>
      <c r="D2704">
        <v>2</v>
      </c>
      <c r="E2704" t="s">
        <v>205</v>
      </c>
      <c r="F2704" t="s">
        <v>388</v>
      </c>
      <c r="G2704">
        <v>59</v>
      </c>
      <c r="H2704">
        <v>0</v>
      </c>
      <c r="I2704">
        <v>59</v>
      </c>
      <c r="J2704">
        <v>41</v>
      </c>
      <c r="K2704">
        <v>0.8</v>
      </c>
      <c r="L2704">
        <v>0.2</v>
      </c>
      <c r="M2704">
        <v>0.7</v>
      </c>
      <c r="N2704">
        <v>246</v>
      </c>
      <c r="O2704">
        <v>354</v>
      </c>
      <c r="P2704">
        <v>0</v>
      </c>
      <c r="Q2704">
        <v>59</v>
      </c>
      <c r="R2704" t="s">
        <v>220</v>
      </c>
      <c r="S2704">
        <v>1.33</v>
      </c>
      <c r="T2704">
        <v>1.43</v>
      </c>
    </row>
    <row r="2705" spans="1:21" ht="15" customHeight="1" x14ac:dyDescent="0.25">
      <c r="A2705" s="2">
        <v>45254.06527777778</v>
      </c>
      <c r="B2705" t="s">
        <v>309</v>
      </c>
      <c r="C2705" t="s">
        <v>217</v>
      </c>
      <c r="D2705">
        <v>2</v>
      </c>
      <c r="E2705" t="s">
        <v>205</v>
      </c>
      <c r="F2705" t="s">
        <v>388</v>
      </c>
      <c r="G2705">
        <v>65.72379368</v>
      </c>
      <c r="H2705">
        <v>0</v>
      </c>
      <c r="I2705">
        <v>65.72379368</v>
      </c>
      <c r="J2705">
        <v>34.27620632</v>
      </c>
      <c r="K2705">
        <v>0.8</v>
      </c>
      <c r="L2705">
        <v>0.2</v>
      </c>
      <c r="M2705">
        <v>0.7</v>
      </c>
      <c r="N2705">
        <v>206</v>
      </c>
      <c r="O2705">
        <v>395</v>
      </c>
      <c r="P2705">
        <v>0</v>
      </c>
      <c r="Q2705">
        <v>65.72</v>
      </c>
      <c r="R2705" t="s">
        <v>292</v>
      </c>
      <c r="S2705">
        <v>1.56</v>
      </c>
      <c r="T2705">
        <v>1.67</v>
      </c>
    </row>
    <row r="2706" spans="1:21" ht="15" customHeight="1" x14ac:dyDescent="0.25">
      <c r="A2706" s="2">
        <v>45316.574305555558</v>
      </c>
      <c r="B2706" t="s">
        <v>309</v>
      </c>
      <c r="C2706" t="s">
        <v>219</v>
      </c>
      <c r="D2706">
        <v>3</v>
      </c>
      <c r="E2706" t="s">
        <v>205</v>
      </c>
      <c r="F2706" t="s">
        <v>388</v>
      </c>
      <c r="G2706">
        <v>61.428571429999998</v>
      </c>
      <c r="H2706">
        <v>25.35714286</v>
      </c>
      <c r="I2706">
        <v>86.785714290000001</v>
      </c>
      <c r="J2706">
        <v>13.21428571</v>
      </c>
      <c r="K2706">
        <v>0.8</v>
      </c>
      <c r="L2706">
        <v>0.2</v>
      </c>
      <c r="M2706">
        <v>0.7</v>
      </c>
      <c r="N2706">
        <v>37</v>
      </c>
      <c r="O2706">
        <v>172</v>
      </c>
      <c r="P2706">
        <v>71</v>
      </c>
      <c r="Q2706">
        <v>86.79</v>
      </c>
      <c r="R2706" t="s">
        <v>257</v>
      </c>
      <c r="S2706">
        <v>3.25</v>
      </c>
      <c r="T2706">
        <v>4.58</v>
      </c>
    </row>
    <row r="2707" spans="1:21" ht="15" customHeight="1" x14ac:dyDescent="0.25">
      <c r="A2707" s="2">
        <v>45320.921527777777</v>
      </c>
      <c r="B2707" t="s">
        <v>309</v>
      </c>
      <c r="C2707" t="s">
        <v>221</v>
      </c>
      <c r="D2707">
        <v>2</v>
      </c>
      <c r="E2707" t="s">
        <v>205</v>
      </c>
      <c r="F2707" t="s">
        <v>388</v>
      </c>
      <c r="G2707">
        <v>72.027972030000001</v>
      </c>
      <c r="H2707">
        <v>0</v>
      </c>
      <c r="I2707">
        <v>72.027972030000001</v>
      </c>
      <c r="J2707">
        <v>27.972027969999999</v>
      </c>
      <c r="K2707">
        <v>0.8</v>
      </c>
      <c r="L2707">
        <v>0.3</v>
      </c>
      <c r="M2707">
        <v>0.7</v>
      </c>
      <c r="N2707">
        <v>160</v>
      </c>
      <c r="O2707">
        <v>412</v>
      </c>
      <c r="P2707">
        <v>0</v>
      </c>
      <c r="Q2707">
        <v>72.03</v>
      </c>
      <c r="R2707" t="s">
        <v>283</v>
      </c>
      <c r="S2707">
        <v>1.87</v>
      </c>
      <c r="T2707">
        <v>2.0299999999999998</v>
      </c>
    </row>
    <row r="2708" spans="1:21" ht="15" customHeight="1" x14ac:dyDescent="0.25">
      <c r="A2708" t="s">
        <v>19</v>
      </c>
      <c r="B2708" t="s">
        <v>20</v>
      </c>
      <c r="C2708" t="s">
        <v>306</v>
      </c>
      <c r="D2708">
        <v>3</v>
      </c>
      <c r="E2708" t="s">
        <v>205</v>
      </c>
      <c r="F2708" t="s">
        <v>388</v>
      </c>
      <c r="G2708">
        <v>60</v>
      </c>
      <c r="H2708">
        <v>25</v>
      </c>
      <c r="I2708">
        <f>G2708+H2708</f>
        <v>85</v>
      </c>
      <c r="J2708">
        <f>100-G2708-H2708</f>
        <v>15</v>
      </c>
      <c r="K2708" t="s">
        <v>19</v>
      </c>
      <c r="L2708" t="s">
        <v>19</v>
      </c>
      <c r="M2708" t="s">
        <v>19</v>
      </c>
      <c r="N2708" t="s">
        <v>19</v>
      </c>
      <c r="O2708" t="s">
        <v>19</v>
      </c>
      <c r="P2708" t="s">
        <v>19</v>
      </c>
      <c r="Q2708">
        <f>I2708</f>
        <v>85</v>
      </c>
      <c r="R2708" t="s">
        <v>19</v>
      </c>
      <c r="S2708" t="s">
        <v>19</v>
      </c>
      <c r="T2708" t="s">
        <v>19</v>
      </c>
    </row>
    <row r="2709" spans="1:21" ht="15" customHeight="1" x14ac:dyDescent="0.25">
      <c r="A2709" t="s">
        <v>19</v>
      </c>
      <c r="B2709" t="s">
        <v>20</v>
      </c>
      <c r="C2709" t="s">
        <v>320</v>
      </c>
      <c r="D2709">
        <v>3</v>
      </c>
      <c r="E2709" t="s">
        <v>205</v>
      </c>
      <c r="F2709" t="s">
        <v>388</v>
      </c>
      <c r="G2709">
        <v>40</v>
      </c>
      <c r="H2709">
        <v>30</v>
      </c>
      <c r="I2709">
        <f>100-J2709</f>
        <v>70</v>
      </c>
      <c r="J2709">
        <f>100-G2709-H2709</f>
        <v>30</v>
      </c>
      <c r="K2709" t="s">
        <v>19</v>
      </c>
      <c r="L2709" t="s">
        <v>19</v>
      </c>
      <c r="M2709" t="s">
        <v>19</v>
      </c>
      <c r="N2709" t="s">
        <v>19</v>
      </c>
      <c r="O2709" t="s">
        <v>19</v>
      </c>
      <c r="P2709" t="s">
        <v>19</v>
      </c>
      <c r="Q2709">
        <f>I2709</f>
        <v>70</v>
      </c>
      <c r="R2709" t="s">
        <v>19</v>
      </c>
      <c r="S2709" t="s">
        <v>19</v>
      </c>
      <c r="T2709" t="s">
        <v>19</v>
      </c>
    </row>
    <row r="2710" spans="1:21" ht="15" customHeight="1" x14ac:dyDescent="0.25">
      <c r="A2710" s="2">
        <v>45323.666076388887</v>
      </c>
      <c r="B2710" t="s">
        <v>309</v>
      </c>
      <c r="C2710" t="s">
        <v>322</v>
      </c>
      <c r="D2710">
        <v>3</v>
      </c>
      <c r="E2710" t="s">
        <v>205</v>
      </c>
      <c r="F2710" t="s">
        <v>388</v>
      </c>
      <c r="G2710">
        <f>(O2710/(N2710+O2710+P2710))*100</f>
        <v>54.898336414048053</v>
      </c>
      <c r="H2710">
        <f>(P2710/(O2710+P2710+N2710))*100</f>
        <v>19.223659889094268</v>
      </c>
      <c r="I2710">
        <v>74.12</v>
      </c>
      <c r="J2710">
        <f>(N2710/(P2710+O2710+N2710))*100</f>
        <v>25.878003696857672</v>
      </c>
      <c r="K2710">
        <v>0.8</v>
      </c>
      <c r="L2710">
        <v>0.3</v>
      </c>
      <c r="M2710">
        <v>0.7</v>
      </c>
      <c r="N2710">
        <v>140</v>
      </c>
      <c r="O2710">
        <v>297</v>
      </c>
      <c r="P2710">
        <v>104</v>
      </c>
      <c r="Q2710">
        <v>74.12</v>
      </c>
      <c r="R2710" t="s">
        <v>230</v>
      </c>
      <c r="S2710">
        <v>2.71</v>
      </c>
      <c r="T2710">
        <v>3.84</v>
      </c>
      <c r="U2710">
        <v>113</v>
      </c>
    </row>
    <row r="2711" spans="1:21" ht="15" customHeight="1" x14ac:dyDescent="0.25">
      <c r="A2711" s="2">
        <v>45323.660636574074</v>
      </c>
      <c r="B2711" t="s">
        <v>309</v>
      </c>
      <c r="C2711" t="s">
        <v>322</v>
      </c>
      <c r="D2711">
        <v>3</v>
      </c>
      <c r="E2711" t="s">
        <v>205</v>
      </c>
      <c r="F2711" t="s">
        <v>388</v>
      </c>
      <c r="G2711">
        <f>(O2711/(N2711+O2711+P2711))*100</f>
        <v>57.417102966841185</v>
      </c>
      <c r="H2711">
        <f>(P2711/(O2711+P2711+N2711))*100</f>
        <v>20.94240837696335</v>
      </c>
      <c r="I2711">
        <v>78.36</v>
      </c>
      <c r="J2711">
        <f>(N2711/(P2711+O2711+N2711))*100</f>
        <v>21.640488656195462</v>
      </c>
      <c r="K2711">
        <v>0.7</v>
      </c>
      <c r="L2711">
        <v>0.3</v>
      </c>
      <c r="M2711">
        <v>0.7</v>
      </c>
      <c r="N2711">
        <v>124</v>
      </c>
      <c r="O2711">
        <v>329</v>
      </c>
      <c r="P2711">
        <v>120</v>
      </c>
      <c r="Q2711">
        <v>78.36</v>
      </c>
      <c r="R2711" t="s">
        <v>288</v>
      </c>
      <c r="S2711">
        <v>2.71</v>
      </c>
      <c r="T2711">
        <v>3.84</v>
      </c>
      <c r="U2711">
        <v>81</v>
      </c>
    </row>
    <row r="2712" spans="1:21" ht="15" customHeight="1" x14ac:dyDescent="0.25">
      <c r="A2712" s="2">
        <v>45325.075868055559</v>
      </c>
      <c r="B2712" t="s">
        <v>309</v>
      </c>
      <c r="C2712" t="s">
        <v>368</v>
      </c>
      <c r="D2712">
        <v>2</v>
      </c>
      <c r="E2712" t="s">
        <v>205</v>
      </c>
      <c r="F2712" t="s">
        <v>388</v>
      </c>
      <c r="G2712">
        <f>(O2712/(N2712+O2712+P2712))*100</f>
        <v>72.804054054054063</v>
      </c>
      <c r="H2712">
        <f>(P2712/(O2712+P2712+N2712))*100</f>
        <v>0</v>
      </c>
      <c r="I2712">
        <v>72.8</v>
      </c>
      <c r="J2712">
        <f>(N2712/(P2712+O2712+N2712))*100</f>
        <v>27.195945945945947</v>
      </c>
      <c r="K2712">
        <v>0.8</v>
      </c>
      <c r="L2712">
        <v>0.3</v>
      </c>
      <c r="M2712">
        <v>0.7</v>
      </c>
      <c r="N2712">
        <v>161</v>
      </c>
      <c r="O2712">
        <v>431</v>
      </c>
      <c r="P2712">
        <v>0</v>
      </c>
      <c r="Q2712">
        <v>72.8</v>
      </c>
      <c r="R2712" t="s">
        <v>238</v>
      </c>
      <c r="S2712">
        <v>1.72</v>
      </c>
      <c r="T2712">
        <v>1.84</v>
      </c>
    </row>
    <row r="2713" spans="1:21" ht="15" customHeight="1" x14ac:dyDescent="0.25">
      <c r="A2713" t="s">
        <v>19</v>
      </c>
      <c r="B2713" t="s">
        <v>20</v>
      </c>
      <c r="C2713" t="s">
        <v>308</v>
      </c>
      <c r="D2713">
        <v>3</v>
      </c>
      <c r="E2713" t="s">
        <v>206</v>
      </c>
      <c r="F2713" t="s">
        <v>388</v>
      </c>
      <c r="G2713">
        <v>12</v>
      </c>
      <c r="H2713">
        <v>3</v>
      </c>
      <c r="I2713">
        <f>G2713+H2713</f>
        <v>15</v>
      </c>
      <c r="J2713">
        <f>100-G2713-H2713</f>
        <v>85</v>
      </c>
      <c r="K2713" t="s">
        <v>19</v>
      </c>
      <c r="L2713" t="s">
        <v>19</v>
      </c>
      <c r="M2713" t="s">
        <v>19</v>
      </c>
      <c r="N2713" t="s">
        <v>19</v>
      </c>
      <c r="O2713" t="s">
        <v>19</v>
      </c>
      <c r="P2713" t="s">
        <v>19</v>
      </c>
      <c r="Q2713">
        <f>I2713</f>
        <v>15</v>
      </c>
      <c r="R2713" t="s">
        <v>19</v>
      </c>
      <c r="S2713" t="s">
        <v>19</v>
      </c>
      <c r="T2713" t="s">
        <v>19</v>
      </c>
    </row>
    <row r="2714" spans="1:21" ht="15" customHeight="1" x14ac:dyDescent="0.25">
      <c r="A2714" t="s">
        <v>19</v>
      </c>
      <c r="B2714" t="s">
        <v>20</v>
      </c>
      <c r="C2714" t="s">
        <v>22</v>
      </c>
      <c r="D2714">
        <v>3</v>
      </c>
      <c r="E2714" t="s">
        <v>206</v>
      </c>
      <c r="F2714" t="s">
        <v>388</v>
      </c>
      <c r="G2714">
        <v>5</v>
      </c>
      <c r="H2714">
        <v>2</v>
      </c>
      <c r="I2714">
        <f>G2714+H2714</f>
        <v>7</v>
      </c>
      <c r="J2714">
        <f>100-G2714-H2714</f>
        <v>93</v>
      </c>
      <c r="K2714" t="s">
        <v>19</v>
      </c>
      <c r="L2714" t="s">
        <v>19</v>
      </c>
      <c r="M2714" t="s">
        <v>19</v>
      </c>
      <c r="N2714" t="s">
        <v>19</v>
      </c>
      <c r="O2714" t="s">
        <v>19</v>
      </c>
      <c r="P2714" t="s">
        <v>19</v>
      </c>
      <c r="Q2714">
        <f>I2714</f>
        <v>7</v>
      </c>
      <c r="R2714" t="s">
        <v>19</v>
      </c>
      <c r="S2714" t="s">
        <v>19</v>
      </c>
      <c r="T2714" t="s">
        <v>19</v>
      </c>
    </row>
    <row r="2715" spans="1:21" ht="15" customHeight="1" x14ac:dyDescent="0.25">
      <c r="A2715" t="s">
        <v>19</v>
      </c>
      <c r="B2715" t="s">
        <v>20</v>
      </c>
      <c r="C2715" t="s">
        <v>305</v>
      </c>
      <c r="D2715">
        <v>3</v>
      </c>
      <c r="E2715" t="s">
        <v>206</v>
      </c>
      <c r="F2715" t="s">
        <v>388</v>
      </c>
      <c r="G2715">
        <v>20</v>
      </c>
      <c r="H2715">
        <v>10</v>
      </c>
      <c r="I2715">
        <f>G2715+H2715</f>
        <v>30</v>
      </c>
      <c r="J2715">
        <f>100-G2715-H2715</f>
        <v>70</v>
      </c>
      <c r="K2715" t="s">
        <v>19</v>
      </c>
      <c r="L2715" t="s">
        <v>19</v>
      </c>
      <c r="M2715" t="s">
        <v>19</v>
      </c>
      <c r="N2715" t="s">
        <v>19</v>
      </c>
      <c r="O2715" t="s">
        <v>19</v>
      </c>
      <c r="P2715" t="s">
        <v>19</v>
      </c>
      <c r="Q2715">
        <f>I2715</f>
        <v>30</v>
      </c>
      <c r="R2715" t="s">
        <v>19</v>
      </c>
      <c r="S2715" t="s">
        <v>19</v>
      </c>
      <c r="T2715" t="s">
        <v>19</v>
      </c>
    </row>
    <row r="2716" spans="1:21" ht="15" customHeight="1" x14ac:dyDescent="0.25">
      <c r="A2716" t="s">
        <v>19</v>
      </c>
      <c r="B2716" t="s">
        <v>20</v>
      </c>
      <c r="C2716" t="s">
        <v>307</v>
      </c>
      <c r="D2716">
        <v>3</v>
      </c>
      <c r="E2716" t="s">
        <v>206</v>
      </c>
      <c r="F2716" t="s">
        <v>388</v>
      </c>
      <c r="G2716">
        <v>5</v>
      </c>
      <c r="H2716">
        <v>5</v>
      </c>
      <c r="I2716">
        <f>G2716+H2716</f>
        <v>10</v>
      </c>
      <c r="J2716">
        <f>100-G2716-H2716</f>
        <v>90</v>
      </c>
      <c r="K2716" t="s">
        <v>19</v>
      </c>
      <c r="L2716" t="s">
        <v>19</v>
      </c>
      <c r="M2716" t="s">
        <v>19</v>
      </c>
      <c r="N2716" t="s">
        <v>19</v>
      </c>
      <c r="O2716" t="s">
        <v>19</v>
      </c>
      <c r="P2716" t="s">
        <v>19</v>
      </c>
      <c r="Q2716">
        <f>I2716</f>
        <v>10</v>
      </c>
      <c r="R2716" t="s">
        <v>19</v>
      </c>
      <c r="S2716" t="s">
        <v>19</v>
      </c>
      <c r="T2716" t="s">
        <v>19</v>
      </c>
    </row>
    <row r="2717" spans="1:21" ht="15" customHeight="1" x14ac:dyDescent="0.25">
      <c r="A2717" s="2">
        <v>45253.654166666667</v>
      </c>
      <c r="B2717" t="s">
        <v>309</v>
      </c>
      <c r="C2717" t="s">
        <v>213</v>
      </c>
      <c r="D2717">
        <v>3</v>
      </c>
      <c r="E2717" t="s">
        <v>206</v>
      </c>
      <c r="F2717" t="s">
        <v>388</v>
      </c>
      <c r="G2717">
        <v>31.36094675</v>
      </c>
      <c r="H2717">
        <v>4.4378698219999997</v>
      </c>
      <c r="I2717">
        <v>35.79881657</v>
      </c>
      <c r="J2717">
        <v>64.20118343</v>
      </c>
      <c r="K2717">
        <v>0.8</v>
      </c>
      <c r="L2717">
        <v>0.2</v>
      </c>
      <c r="M2717">
        <v>0.7</v>
      </c>
      <c r="N2717">
        <v>217</v>
      </c>
      <c r="O2717">
        <v>106</v>
      </c>
      <c r="P2717">
        <v>15</v>
      </c>
      <c r="Q2717">
        <v>35.799999999999997</v>
      </c>
      <c r="R2717" t="s">
        <v>248</v>
      </c>
      <c r="S2717">
        <v>2.95</v>
      </c>
      <c r="T2717">
        <v>3.45</v>
      </c>
    </row>
    <row r="2718" spans="1:21" ht="15" customHeight="1" x14ac:dyDescent="0.25">
      <c r="A2718" s="2">
        <v>45253.894444444442</v>
      </c>
      <c r="B2718" t="s">
        <v>309</v>
      </c>
      <c r="C2718" t="s">
        <v>215</v>
      </c>
      <c r="D2718">
        <v>2</v>
      </c>
      <c r="E2718" t="s">
        <v>206</v>
      </c>
      <c r="F2718" t="s">
        <v>388</v>
      </c>
      <c r="G2718">
        <v>14.332247560000001</v>
      </c>
      <c r="H2718">
        <v>0</v>
      </c>
      <c r="I2718">
        <v>14.332247560000001</v>
      </c>
      <c r="J2718">
        <v>85.667752440000001</v>
      </c>
      <c r="K2718">
        <v>0.8</v>
      </c>
      <c r="L2718">
        <v>0.2</v>
      </c>
      <c r="M2718">
        <v>0.7</v>
      </c>
      <c r="N2718">
        <v>526</v>
      </c>
      <c r="O2718">
        <v>88</v>
      </c>
      <c r="P2718">
        <v>0</v>
      </c>
      <c r="Q2718">
        <v>14.33</v>
      </c>
      <c r="R2718" t="s">
        <v>216</v>
      </c>
      <c r="S2718">
        <v>0.38</v>
      </c>
      <c r="T2718">
        <v>0.41</v>
      </c>
    </row>
    <row r="2719" spans="1:21" ht="15" customHeight="1" x14ac:dyDescent="0.25">
      <c r="A2719" s="2">
        <v>45254.066666666666</v>
      </c>
      <c r="B2719" t="s">
        <v>309</v>
      </c>
      <c r="C2719" t="s">
        <v>217</v>
      </c>
      <c r="D2719">
        <v>2</v>
      </c>
      <c r="E2719" t="s">
        <v>206</v>
      </c>
      <c r="F2719" t="s">
        <v>388</v>
      </c>
      <c r="G2719">
        <v>18.543046360000002</v>
      </c>
      <c r="H2719">
        <v>0</v>
      </c>
      <c r="I2719">
        <v>18.543046360000002</v>
      </c>
      <c r="J2719">
        <v>81.456953639999995</v>
      </c>
      <c r="K2719">
        <v>0.8</v>
      </c>
      <c r="L2719">
        <v>0.2</v>
      </c>
      <c r="M2719">
        <v>0.7</v>
      </c>
      <c r="N2719">
        <v>492</v>
      </c>
      <c r="O2719">
        <v>112</v>
      </c>
      <c r="P2719">
        <v>0</v>
      </c>
      <c r="Q2719">
        <v>18.54</v>
      </c>
      <c r="R2719" t="s">
        <v>218</v>
      </c>
      <c r="S2719">
        <v>0.51</v>
      </c>
      <c r="T2719">
        <v>0.54</v>
      </c>
    </row>
    <row r="2720" spans="1:21" ht="15" customHeight="1" x14ac:dyDescent="0.25">
      <c r="A2720" s="2">
        <v>45316.574999999997</v>
      </c>
      <c r="B2720" t="s">
        <v>309</v>
      </c>
      <c r="C2720" t="s">
        <v>219</v>
      </c>
      <c r="D2720">
        <v>3</v>
      </c>
      <c r="E2720" t="s">
        <v>206</v>
      </c>
      <c r="F2720" t="s">
        <v>388</v>
      </c>
      <c r="G2720">
        <v>21.428571430000002</v>
      </c>
      <c r="H2720">
        <v>10.31746032</v>
      </c>
      <c r="I2720">
        <v>31.74603175</v>
      </c>
      <c r="J2720">
        <v>68.25396825</v>
      </c>
      <c r="K2720">
        <v>0.8</v>
      </c>
      <c r="L2720">
        <v>0.2</v>
      </c>
      <c r="M2720">
        <v>0.7</v>
      </c>
      <c r="N2720">
        <v>86</v>
      </c>
      <c r="O2720">
        <v>27</v>
      </c>
      <c r="P2720">
        <v>13</v>
      </c>
      <c r="Q2720">
        <v>31.75</v>
      </c>
      <c r="R2720" t="s">
        <v>243</v>
      </c>
      <c r="S2720">
        <v>3.15</v>
      </c>
      <c r="T2720">
        <v>4.29</v>
      </c>
    </row>
    <row r="2721" spans="1:21" ht="15" customHeight="1" x14ac:dyDescent="0.25">
      <c r="A2721" s="2">
        <v>45320.922222222223</v>
      </c>
      <c r="B2721" t="s">
        <v>309</v>
      </c>
      <c r="C2721" t="s">
        <v>221</v>
      </c>
      <c r="D2721">
        <v>2</v>
      </c>
      <c r="E2721" t="s">
        <v>206</v>
      </c>
      <c r="F2721" t="s">
        <v>388</v>
      </c>
      <c r="G2721">
        <v>21.501706479999999</v>
      </c>
      <c r="H2721">
        <v>0</v>
      </c>
      <c r="I2721">
        <v>21.501706479999999</v>
      </c>
      <c r="J2721">
        <v>78.498293520000004</v>
      </c>
      <c r="K2721">
        <v>0.8</v>
      </c>
      <c r="L2721">
        <v>0.3</v>
      </c>
      <c r="M2721">
        <v>0.7</v>
      </c>
      <c r="N2721">
        <v>460</v>
      </c>
      <c r="O2721">
        <v>126</v>
      </c>
      <c r="P2721">
        <v>0</v>
      </c>
      <c r="Q2721">
        <v>21.5</v>
      </c>
      <c r="R2721" t="s">
        <v>232</v>
      </c>
      <c r="S2721">
        <v>0.62</v>
      </c>
      <c r="T2721">
        <v>0.67</v>
      </c>
    </row>
    <row r="2722" spans="1:21" ht="15" customHeight="1" x14ac:dyDescent="0.25">
      <c r="A2722" t="s">
        <v>19</v>
      </c>
      <c r="B2722" t="s">
        <v>20</v>
      </c>
      <c r="C2722" t="s">
        <v>306</v>
      </c>
      <c r="D2722">
        <v>3</v>
      </c>
      <c r="E2722" t="s">
        <v>206</v>
      </c>
      <c r="F2722" t="s">
        <v>388</v>
      </c>
      <c r="G2722">
        <v>20</v>
      </c>
      <c r="H2722">
        <v>9</v>
      </c>
      <c r="I2722">
        <f>G2722+H2722</f>
        <v>29</v>
      </c>
      <c r="J2722">
        <f>100-G2722-H2722</f>
        <v>71</v>
      </c>
      <c r="K2722" t="s">
        <v>19</v>
      </c>
      <c r="L2722" t="s">
        <v>19</v>
      </c>
      <c r="M2722" t="s">
        <v>19</v>
      </c>
      <c r="N2722" t="s">
        <v>19</v>
      </c>
      <c r="O2722" t="s">
        <v>19</v>
      </c>
      <c r="P2722" t="s">
        <v>19</v>
      </c>
      <c r="Q2722">
        <f>I2722</f>
        <v>29</v>
      </c>
      <c r="R2722" t="s">
        <v>19</v>
      </c>
      <c r="S2722" t="s">
        <v>19</v>
      </c>
      <c r="T2722" t="s">
        <v>19</v>
      </c>
    </row>
    <row r="2723" spans="1:21" ht="15" customHeight="1" x14ac:dyDescent="0.25">
      <c r="A2723" t="s">
        <v>19</v>
      </c>
      <c r="B2723" t="s">
        <v>20</v>
      </c>
      <c r="C2723" t="s">
        <v>320</v>
      </c>
      <c r="D2723">
        <v>3</v>
      </c>
      <c r="E2723" t="s">
        <v>206</v>
      </c>
      <c r="F2723" t="s">
        <v>388</v>
      </c>
      <c r="G2723">
        <v>10</v>
      </c>
      <c r="H2723">
        <v>10</v>
      </c>
      <c r="I2723">
        <f>100-J2723</f>
        <v>20</v>
      </c>
      <c r="J2723">
        <f>100-G2723-H2723</f>
        <v>80</v>
      </c>
      <c r="K2723" t="s">
        <v>19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  <c r="Q2723">
        <f>I2723</f>
        <v>20</v>
      </c>
      <c r="R2723" t="s">
        <v>19</v>
      </c>
      <c r="S2723" t="s">
        <v>19</v>
      </c>
      <c r="T2723" t="s">
        <v>19</v>
      </c>
    </row>
    <row r="2724" spans="1:21" ht="15" customHeight="1" x14ac:dyDescent="0.25">
      <c r="A2724" s="2">
        <v>45323.667731481481</v>
      </c>
      <c r="B2724" t="s">
        <v>309</v>
      </c>
      <c r="C2724" t="s">
        <v>322</v>
      </c>
      <c r="D2724">
        <v>3</v>
      </c>
      <c r="E2724" t="s">
        <v>206</v>
      </c>
      <c r="F2724" t="s">
        <v>388</v>
      </c>
      <c r="G2724">
        <f>(O2724/(N2724+O2724+P2724))*100</f>
        <v>43.368421052631575</v>
      </c>
      <c r="H2724">
        <f>(P2724/(O2724+P2724+N2724))*100</f>
        <v>1.263157894736842</v>
      </c>
      <c r="I2724">
        <v>44.63</v>
      </c>
      <c r="J2724">
        <f>(N2724/(P2724+O2724+N2724))*100</f>
        <v>55.368421052631575</v>
      </c>
      <c r="K2724">
        <v>0.8</v>
      </c>
      <c r="L2724">
        <v>0.3</v>
      </c>
      <c r="M2724">
        <v>0.7</v>
      </c>
      <c r="N2724">
        <v>263</v>
      </c>
      <c r="O2724">
        <v>206</v>
      </c>
      <c r="P2724">
        <v>6</v>
      </c>
      <c r="Q2724">
        <v>44.63</v>
      </c>
      <c r="R2724" t="s">
        <v>240</v>
      </c>
      <c r="S2724">
        <v>2.87</v>
      </c>
      <c r="T2724">
        <v>4.1100000000000003</v>
      </c>
      <c r="U2724">
        <v>189</v>
      </c>
    </row>
    <row r="2725" spans="1:21" ht="15" customHeight="1" x14ac:dyDescent="0.25">
      <c r="A2725" s="2">
        <v>45323.662233796298</v>
      </c>
      <c r="B2725" t="s">
        <v>309</v>
      </c>
      <c r="C2725" t="s">
        <v>322</v>
      </c>
      <c r="D2725">
        <v>3</v>
      </c>
      <c r="E2725" t="s">
        <v>206</v>
      </c>
      <c r="F2725" t="s">
        <v>388</v>
      </c>
      <c r="G2725">
        <f>(O2725/(N2725+O2725+P2725))*100</f>
        <v>48.467432950191572</v>
      </c>
      <c r="H2725">
        <f>(P2725/(O2725+P2725+N2725))*100</f>
        <v>1.5325670498084289</v>
      </c>
      <c r="I2725">
        <v>50</v>
      </c>
      <c r="J2725">
        <f>(N2725/(P2725+O2725+N2725))*100</f>
        <v>50</v>
      </c>
      <c r="K2725">
        <v>0.7</v>
      </c>
      <c r="L2725">
        <v>0.3</v>
      </c>
      <c r="M2725">
        <v>0.7</v>
      </c>
      <c r="N2725">
        <v>261</v>
      </c>
      <c r="O2725">
        <v>253</v>
      </c>
      <c r="P2725">
        <v>8</v>
      </c>
      <c r="Q2725">
        <v>50</v>
      </c>
      <c r="R2725" t="s">
        <v>245</v>
      </c>
      <c r="S2725">
        <v>2.87</v>
      </c>
      <c r="T2725">
        <v>4.1100000000000003</v>
      </c>
      <c r="U2725">
        <v>142</v>
      </c>
    </row>
    <row r="2726" spans="1:21" ht="15" customHeight="1" x14ac:dyDescent="0.25">
      <c r="A2726" s="2">
        <v>45325.077349537038</v>
      </c>
      <c r="B2726" t="s">
        <v>309</v>
      </c>
      <c r="C2726" t="s">
        <v>368</v>
      </c>
      <c r="D2726">
        <v>2</v>
      </c>
      <c r="E2726" t="s">
        <v>206</v>
      </c>
      <c r="F2726" t="s">
        <v>388</v>
      </c>
      <c r="G2726">
        <f>(O2726/(N2726+O2726+P2726))*100</f>
        <v>24.410774410774412</v>
      </c>
      <c r="H2726">
        <f>(P2726/(O2726+P2726+N2726))*100</f>
        <v>0</v>
      </c>
      <c r="I2726">
        <v>24.41</v>
      </c>
      <c r="J2726">
        <f>(N2726/(P2726+O2726+N2726))*100</f>
        <v>75.589225589225578</v>
      </c>
      <c r="K2726">
        <v>0.8</v>
      </c>
      <c r="L2726">
        <v>0.3</v>
      </c>
      <c r="M2726">
        <v>0.7</v>
      </c>
      <c r="N2726">
        <v>449</v>
      </c>
      <c r="O2726">
        <v>145</v>
      </c>
      <c r="P2726">
        <v>0</v>
      </c>
      <c r="Q2726">
        <v>24.41</v>
      </c>
      <c r="R2726" t="s">
        <v>367</v>
      </c>
      <c r="S2726">
        <v>0.67</v>
      </c>
      <c r="T2726">
        <v>0.72</v>
      </c>
    </row>
    <row r="2727" spans="1:21" ht="15" customHeight="1" x14ac:dyDescent="0.25">
      <c r="A2727" t="s">
        <v>19</v>
      </c>
      <c r="B2727" t="s">
        <v>20</v>
      </c>
      <c r="C2727" t="s">
        <v>306</v>
      </c>
      <c r="D2727">
        <v>3</v>
      </c>
      <c r="E2727" t="s">
        <v>207</v>
      </c>
      <c r="F2727" t="s">
        <v>373</v>
      </c>
      <c r="G2727">
        <v>5</v>
      </c>
      <c r="H2727">
        <v>0</v>
      </c>
      <c r="I2727">
        <f>G2727+H2727</f>
        <v>5</v>
      </c>
      <c r="J2727">
        <f>100-G2727-H2727</f>
        <v>95</v>
      </c>
      <c r="K2727" t="s">
        <v>19</v>
      </c>
      <c r="L2727" t="s">
        <v>19</v>
      </c>
      <c r="M2727" t="s">
        <v>19</v>
      </c>
      <c r="N2727" t="s">
        <v>19</v>
      </c>
      <c r="O2727" t="s">
        <v>19</v>
      </c>
      <c r="P2727" t="s">
        <v>19</v>
      </c>
      <c r="Q2727">
        <f>I2727</f>
        <v>5</v>
      </c>
      <c r="R2727" t="s">
        <v>19</v>
      </c>
      <c r="S2727" t="s">
        <v>19</v>
      </c>
      <c r="T2727" t="s">
        <v>19</v>
      </c>
    </row>
    <row r="2728" spans="1:21" ht="15" customHeight="1" x14ac:dyDescent="0.25">
      <c r="A2728" t="s">
        <v>19</v>
      </c>
      <c r="B2728" t="s">
        <v>20</v>
      </c>
      <c r="C2728" t="s">
        <v>308</v>
      </c>
      <c r="D2728">
        <v>3</v>
      </c>
      <c r="E2728" t="s">
        <v>207</v>
      </c>
      <c r="F2728" t="s">
        <v>373</v>
      </c>
      <c r="G2728">
        <v>5</v>
      </c>
      <c r="H2728">
        <v>0</v>
      </c>
      <c r="I2728">
        <f>G2728+H2728</f>
        <v>5</v>
      </c>
      <c r="J2728">
        <f>100-G2728-H2728</f>
        <v>95</v>
      </c>
      <c r="K2728" t="s">
        <v>19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  <c r="Q2728">
        <f>I2728</f>
        <v>5</v>
      </c>
      <c r="R2728" t="s">
        <v>19</v>
      </c>
      <c r="S2728" t="s">
        <v>19</v>
      </c>
      <c r="T2728" t="s">
        <v>19</v>
      </c>
    </row>
    <row r="2729" spans="1:21" ht="15" customHeight="1" x14ac:dyDescent="0.25">
      <c r="A2729" t="s">
        <v>19</v>
      </c>
      <c r="B2729" t="s">
        <v>20</v>
      </c>
      <c r="C2729" t="s">
        <v>22</v>
      </c>
      <c r="D2729">
        <v>3</v>
      </c>
      <c r="E2729" t="s">
        <v>207</v>
      </c>
      <c r="F2729" t="s">
        <v>373</v>
      </c>
      <c r="G2729">
        <v>3</v>
      </c>
      <c r="H2729">
        <v>0</v>
      </c>
      <c r="I2729">
        <f>G2729+H2729</f>
        <v>3</v>
      </c>
      <c r="J2729">
        <f>100-G2729-H2729</f>
        <v>97</v>
      </c>
      <c r="K2729" t="s">
        <v>19</v>
      </c>
      <c r="L2729" t="s">
        <v>19</v>
      </c>
      <c r="M2729" t="s">
        <v>19</v>
      </c>
      <c r="N2729" t="s">
        <v>19</v>
      </c>
      <c r="O2729" t="s">
        <v>19</v>
      </c>
      <c r="P2729" t="s">
        <v>19</v>
      </c>
      <c r="Q2729">
        <f>I2729</f>
        <v>3</v>
      </c>
      <c r="R2729" t="s">
        <v>19</v>
      </c>
      <c r="S2729" t="s">
        <v>19</v>
      </c>
      <c r="T2729" t="s">
        <v>19</v>
      </c>
    </row>
    <row r="2730" spans="1:21" ht="15" customHeight="1" x14ac:dyDescent="0.25">
      <c r="A2730" t="s">
        <v>19</v>
      </c>
      <c r="B2730" t="s">
        <v>20</v>
      </c>
      <c r="C2730" t="s">
        <v>305</v>
      </c>
      <c r="D2730">
        <v>3</v>
      </c>
      <c r="E2730" t="s">
        <v>207</v>
      </c>
      <c r="F2730" t="s">
        <v>373</v>
      </c>
      <c r="G2730">
        <v>3</v>
      </c>
      <c r="H2730">
        <v>0</v>
      </c>
      <c r="I2730">
        <f>G2730+H2730</f>
        <v>3</v>
      </c>
      <c r="J2730">
        <f>100-G2730-H2730</f>
        <v>97</v>
      </c>
      <c r="K2730" t="s">
        <v>19</v>
      </c>
      <c r="L2730" t="s">
        <v>19</v>
      </c>
      <c r="M2730" t="s">
        <v>19</v>
      </c>
      <c r="N2730" t="s">
        <v>19</v>
      </c>
      <c r="O2730" t="s">
        <v>19</v>
      </c>
      <c r="P2730" t="s">
        <v>19</v>
      </c>
      <c r="Q2730">
        <f>I2730</f>
        <v>3</v>
      </c>
      <c r="R2730" t="s">
        <v>19</v>
      </c>
      <c r="S2730" t="s">
        <v>19</v>
      </c>
      <c r="T2730" t="s">
        <v>19</v>
      </c>
    </row>
    <row r="2731" spans="1:21" ht="15" customHeight="1" x14ac:dyDescent="0.25">
      <c r="A2731" t="s">
        <v>19</v>
      </c>
      <c r="B2731" t="s">
        <v>20</v>
      </c>
      <c r="C2731" t="s">
        <v>307</v>
      </c>
      <c r="D2731">
        <v>3</v>
      </c>
      <c r="E2731" t="s">
        <v>207</v>
      </c>
      <c r="F2731" t="s">
        <v>373</v>
      </c>
      <c r="G2731">
        <v>1</v>
      </c>
      <c r="H2731">
        <v>1</v>
      </c>
      <c r="I2731">
        <f>G2731+H2731</f>
        <v>2</v>
      </c>
      <c r="J2731">
        <f>100-G2731-H2731</f>
        <v>98</v>
      </c>
      <c r="K2731" t="s">
        <v>19</v>
      </c>
      <c r="L2731" t="s">
        <v>19</v>
      </c>
      <c r="M2731" t="s">
        <v>19</v>
      </c>
      <c r="N2731" t="s">
        <v>19</v>
      </c>
      <c r="O2731" t="s">
        <v>19</v>
      </c>
      <c r="P2731" t="s">
        <v>19</v>
      </c>
      <c r="Q2731">
        <f>I2731</f>
        <v>2</v>
      </c>
      <c r="R2731" t="s">
        <v>19</v>
      </c>
      <c r="S2731" t="s">
        <v>19</v>
      </c>
      <c r="T2731" t="s">
        <v>19</v>
      </c>
    </row>
    <row r="2732" spans="1:21" ht="15" customHeight="1" x14ac:dyDescent="0.25">
      <c r="A2732" s="2">
        <v>45253.810416666667</v>
      </c>
      <c r="B2732" t="s">
        <v>309</v>
      </c>
      <c r="C2732" t="s">
        <v>213</v>
      </c>
      <c r="D2732">
        <v>3</v>
      </c>
      <c r="E2732" t="s">
        <v>207</v>
      </c>
      <c r="F2732" t="s">
        <v>373</v>
      </c>
      <c r="G2732">
        <v>12.893982810000001</v>
      </c>
      <c r="H2732">
        <v>0</v>
      </c>
      <c r="I2732">
        <v>12.893982810000001</v>
      </c>
      <c r="J2732">
        <v>87.106017190000003</v>
      </c>
      <c r="K2732">
        <v>0.8</v>
      </c>
      <c r="L2732">
        <v>0.2</v>
      </c>
      <c r="M2732">
        <v>0.7</v>
      </c>
      <c r="N2732">
        <v>304</v>
      </c>
      <c r="O2732">
        <v>45</v>
      </c>
      <c r="P2732">
        <v>0</v>
      </c>
      <c r="Q2732">
        <v>12.89</v>
      </c>
      <c r="R2732" t="s">
        <v>223</v>
      </c>
      <c r="S2732">
        <v>3.01</v>
      </c>
      <c r="T2732">
        <v>3.27</v>
      </c>
    </row>
    <row r="2733" spans="1:21" ht="15" customHeight="1" x14ac:dyDescent="0.25">
      <c r="A2733" s="2">
        <v>45253.977777777778</v>
      </c>
      <c r="B2733" t="s">
        <v>309</v>
      </c>
      <c r="C2733" t="s">
        <v>215</v>
      </c>
      <c r="D2733">
        <v>2</v>
      </c>
      <c r="E2733" t="s">
        <v>207</v>
      </c>
      <c r="F2733" t="s">
        <v>373</v>
      </c>
      <c r="G2733">
        <v>2.715654952</v>
      </c>
      <c r="H2733">
        <v>0</v>
      </c>
      <c r="I2733">
        <v>2.715654952</v>
      </c>
      <c r="J2733">
        <v>97.284345049999999</v>
      </c>
      <c r="K2733">
        <v>0.8</v>
      </c>
      <c r="L2733">
        <v>0.2</v>
      </c>
      <c r="M2733">
        <v>0.7</v>
      </c>
      <c r="N2733">
        <v>609</v>
      </c>
      <c r="O2733">
        <v>17</v>
      </c>
      <c r="P2733">
        <v>0</v>
      </c>
      <c r="Q2733">
        <v>2.72</v>
      </c>
      <c r="R2733" t="s">
        <v>257</v>
      </c>
      <c r="S2733">
        <v>0.08</v>
      </c>
      <c r="T2733">
        <v>0.08</v>
      </c>
    </row>
    <row r="2734" spans="1:21" ht="15" customHeight="1" x14ac:dyDescent="0.25">
      <c r="A2734" s="2">
        <v>45254.15625</v>
      </c>
      <c r="B2734" t="s">
        <v>309</v>
      </c>
      <c r="C2734" t="s">
        <v>217</v>
      </c>
      <c r="D2734">
        <v>2</v>
      </c>
      <c r="E2734" t="s">
        <v>207</v>
      </c>
      <c r="F2734" t="s">
        <v>373</v>
      </c>
      <c r="G2734">
        <v>2.3400936040000002</v>
      </c>
      <c r="H2734">
        <v>0</v>
      </c>
      <c r="I2734">
        <v>2.3400936040000002</v>
      </c>
      <c r="J2734">
        <v>97.659906399999997</v>
      </c>
      <c r="K2734">
        <v>0.8</v>
      </c>
      <c r="L2734">
        <v>0.2</v>
      </c>
      <c r="M2734">
        <v>0.7</v>
      </c>
      <c r="N2734">
        <v>626</v>
      </c>
      <c r="O2734">
        <v>15</v>
      </c>
      <c r="P2734">
        <v>0</v>
      </c>
      <c r="Q2734">
        <v>2.34</v>
      </c>
      <c r="R2734" t="s">
        <v>227</v>
      </c>
      <c r="S2734">
        <v>0.09</v>
      </c>
      <c r="T2734">
        <v>0.09</v>
      </c>
    </row>
    <row r="2735" spans="1:21" ht="15" customHeight="1" x14ac:dyDescent="0.25">
      <c r="A2735" s="2">
        <v>45316.490972222222</v>
      </c>
      <c r="B2735" t="s">
        <v>309</v>
      </c>
      <c r="C2735" t="s">
        <v>219</v>
      </c>
      <c r="D2735">
        <v>3</v>
      </c>
      <c r="E2735" t="s">
        <v>207</v>
      </c>
      <c r="F2735" t="s">
        <v>373</v>
      </c>
      <c r="G2735">
        <v>15.862068969999999</v>
      </c>
      <c r="H2735">
        <v>0</v>
      </c>
      <c r="I2735">
        <v>15.862068969999999</v>
      </c>
      <c r="J2735">
        <v>84.137931030000004</v>
      </c>
      <c r="K2735">
        <v>0.8</v>
      </c>
      <c r="L2735">
        <v>0.2</v>
      </c>
      <c r="M2735">
        <v>0.7</v>
      </c>
      <c r="N2735">
        <v>122</v>
      </c>
      <c r="O2735">
        <v>23</v>
      </c>
      <c r="P2735">
        <v>0</v>
      </c>
      <c r="Q2735">
        <v>15.86</v>
      </c>
      <c r="R2735" t="s">
        <v>216</v>
      </c>
      <c r="S2735">
        <v>3.31</v>
      </c>
      <c r="T2735">
        <v>4.5999999999999996</v>
      </c>
    </row>
    <row r="2736" spans="1:21" ht="15" customHeight="1" x14ac:dyDescent="0.25">
      <c r="A2736" s="2">
        <v>45321.019444444442</v>
      </c>
      <c r="B2736" t="s">
        <v>309</v>
      </c>
      <c r="C2736" t="s">
        <v>221</v>
      </c>
      <c r="D2736">
        <v>2</v>
      </c>
      <c r="E2736" t="s">
        <v>207</v>
      </c>
      <c r="F2736" t="s">
        <v>373</v>
      </c>
      <c r="G2736">
        <v>8.3011583009999992</v>
      </c>
      <c r="H2736">
        <v>0</v>
      </c>
      <c r="I2736">
        <v>8.3011583009999992</v>
      </c>
      <c r="J2736">
        <v>91.698841700000003</v>
      </c>
      <c r="K2736">
        <v>0.8</v>
      </c>
      <c r="L2736">
        <v>0.3</v>
      </c>
      <c r="M2736">
        <v>0.7</v>
      </c>
      <c r="N2736">
        <v>475</v>
      </c>
      <c r="O2736">
        <v>43</v>
      </c>
      <c r="P2736">
        <v>0</v>
      </c>
      <c r="Q2736">
        <v>8.3000000000000007</v>
      </c>
      <c r="R2736" t="s">
        <v>232</v>
      </c>
      <c r="S2736">
        <v>0.37</v>
      </c>
      <c r="T2736">
        <v>0.38</v>
      </c>
    </row>
    <row r="2737" spans="1:21" ht="15" customHeight="1" x14ac:dyDescent="0.25">
      <c r="A2737" t="s">
        <v>19</v>
      </c>
      <c r="B2737" t="s">
        <v>20</v>
      </c>
      <c r="C2737" t="s">
        <v>320</v>
      </c>
      <c r="D2737">
        <v>3</v>
      </c>
      <c r="E2737" t="s">
        <v>207</v>
      </c>
      <c r="F2737" t="s">
        <v>373</v>
      </c>
      <c r="G2737">
        <v>0</v>
      </c>
      <c r="H2737">
        <v>0</v>
      </c>
      <c r="I2737">
        <f>100-J2737</f>
        <v>0</v>
      </c>
      <c r="J2737">
        <f>100-G2737-H2737</f>
        <v>100</v>
      </c>
      <c r="K2737" t="s">
        <v>19</v>
      </c>
      <c r="L2737" t="s">
        <v>19</v>
      </c>
      <c r="M2737" t="s">
        <v>19</v>
      </c>
      <c r="N2737" t="s">
        <v>19</v>
      </c>
      <c r="O2737" t="s">
        <v>19</v>
      </c>
      <c r="P2737" t="s">
        <v>19</v>
      </c>
      <c r="Q2737">
        <f>I2737</f>
        <v>0</v>
      </c>
      <c r="R2737" t="s">
        <v>19</v>
      </c>
      <c r="S2737" t="s">
        <v>19</v>
      </c>
      <c r="T2737" t="s">
        <v>19</v>
      </c>
    </row>
    <row r="2738" spans="1:21" ht="15" customHeight="1" x14ac:dyDescent="0.25">
      <c r="A2738" s="2">
        <v>45323.663101851853</v>
      </c>
      <c r="B2738" t="s">
        <v>309</v>
      </c>
      <c r="C2738" t="s">
        <v>322</v>
      </c>
      <c r="D2738">
        <v>3</v>
      </c>
      <c r="E2738" t="s">
        <v>207</v>
      </c>
      <c r="F2738" t="s">
        <v>373</v>
      </c>
      <c r="G2738">
        <f>(O2738/(N2738+O2738+P2738))*100</f>
        <v>4.0293040293040292</v>
      </c>
      <c r="H2738">
        <f>(P2738/(O2738+P2738+N2738))*100</f>
        <v>0</v>
      </c>
      <c r="I2738">
        <f>((O2738+P2738)/(P2738+O2738+N2738))*100</f>
        <v>4.0293040293040292</v>
      </c>
      <c r="J2738">
        <f>(N2738/(P2738+O2738+N2738))*100</f>
        <v>95.970695970695971</v>
      </c>
      <c r="K2738">
        <v>0.8</v>
      </c>
      <c r="L2738">
        <v>0.3</v>
      </c>
      <c r="M2738">
        <v>0.7</v>
      </c>
      <c r="N2738">
        <v>524</v>
      </c>
      <c r="O2738">
        <v>22</v>
      </c>
      <c r="P2738">
        <v>0</v>
      </c>
      <c r="Q2738">
        <v>4.03</v>
      </c>
      <c r="R2738" t="s">
        <v>265</v>
      </c>
      <c r="S2738">
        <v>2.85</v>
      </c>
      <c r="T2738">
        <v>3.06</v>
      </c>
      <c r="U2738">
        <v>90</v>
      </c>
    </row>
    <row r="2739" spans="1:21" ht="15" customHeight="1" x14ac:dyDescent="0.25">
      <c r="A2739" s="2">
        <v>45323.669432870367</v>
      </c>
      <c r="B2739" t="s">
        <v>309</v>
      </c>
      <c r="C2739" t="s">
        <v>322</v>
      </c>
      <c r="D2739">
        <v>3</v>
      </c>
      <c r="E2739" t="s">
        <v>207</v>
      </c>
      <c r="F2739" t="s">
        <v>373</v>
      </c>
      <c r="G2739">
        <f>(O2739/(N2739+O2739+P2739))*100</f>
        <v>4.7272727272727275</v>
      </c>
      <c r="H2739">
        <f>(P2739/(O2739+P2739+N2739))*100</f>
        <v>0</v>
      </c>
      <c r="I2739">
        <f>((O2739+P2739)/(P2739+O2739+N2739))*100</f>
        <v>4.7272727272727275</v>
      </c>
      <c r="J2739">
        <f>(N2739/(P2739+O2739+N2739))*100</f>
        <v>95.27272727272728</v>
      </c>
      <c r="K2739">
        <v>0.7</v>
      </c>
      <c r="L2739">
        <v>0.3</v>
      </c>
      <c r="M2739">
        <v>0.7</v>
      </c>
      <c r="N2739">
        <v>524</v>
      </c>
      <c r="O2739">
        <v>26</v>
      </c>
      <c r="P2739">
        <v>0</v>
      </c>
      <c r="Q2739">
        <v>4.7300000000000004</v>
      </c>
      <c r="R2739" t="s">
        <v>223</v>
      </c>
      <c r="S2739">
        <v>2.85</v>
      </c>
      <c r="T2739">
        <v>3.06</v>
      </c>
      <c r="U2739">
        <v>86</v>
      </c>
    </row>
    <row r="2740" spans="1:21" ht="15" customHeight="1" x14ac:dyDescent="0.25">
      <c r="A2740" s="2">
        <v>45325.221550925926</v>
      </c>
      <c r="B2740" t="s">
        <v>309</v>
      </c>
      <c r="C2740" t="s">
        <v>368</v>
      </c>
      <c r="D2740">
        <v>2</v>
      </c>
      <c r="E2740" t="s">
        <v>207</v>
      </c>
      <c r="F2740" t="s">
        <v>373</v>
      </c>
      <c r="G2740">
        <f>(O2740/(N2740+O2740+P2740))*100</f>
        <v>2.0634920634920633</v>
      </c>
      <c r="H2740">
        <f>(P2740/(O2740+P2740+N2740))*100</f>
        <v>0</v>
      </c>
      <c r="I2740">
        <v>2.06</v>
      </c>
      <c r="J2740">
        <f>(N2740/(P2740+O2740+N2740))*100</f>
        <v>97.936507936507937</v>
      </c>
      <c r="K2740">
        <v>0.8</v>
      </c>
      <c r="L2740">
        <v>0.3</v>
      </c>
      <c r="M2740">
        <v>0.7</v>
      </c>
      <c r="N2740">
        <v>617</v>
      </c>
      <c r="O2740">
        <v>13</v>
      </c>
      <c r="P2740">
        <v>0</v>
      </c>
      <c r="Q2740">
        <v>2.06</v>
      </c>
      <c r="R2740" t="s">
        <v>277</v>
      </c>
      <c r="S2740">
        <v>0.05</v>
      </c>
      <c r="T2740">
        <v>0.06</v>
      </c>
    </row>
    <row r="2741" spans="1:21" ht="15" customHeight="1" x14ac:dyDescent="0.25">
      <c r="A2741" t="s">
        <v>19</v>
      </c>
      <c r="B2741" t="s">
        <v>20</v>
      </c>
      <c r="C2741" t="s">
        <v>308</v>
      </c>
      <c r="D2741">
        <v>3</v>
      </c>
      <c r="E2741" t="s">
        <v>208</v>
      </c>
      <c r="F2741" t="s">
        <v>388</v>
      </c>
      <c r="G2741">
        <v>8</v>
      </c>
      <c r="H2741">
        <v>15</v>
      </c>
      <c r="I2741">
        <f>G2741+H2741</f>
        <v>23</v>
      </c>
      <c r="J2741">
        <f>100-G2741-H2741</f>
        <v>77</v>
      </c>
      <c r="K2741" t="s">
        <v>19</v>
      </c>
      <c r="L2741" t="s">
        <v>19</v>
      </c>
      <c r="M2741" t="s">
        <v>19</v>
      </c>
      <c r="N2741" t="s">
        <v>19</v>
      </c>
      <c r="O2741" t="s">
        <v>19</v>
      </c>
      <c r="P2741" t="s">
        <v>19</v>
      </c>
      <c r="Q2741">
        <f>I2741</f>
        <v>23</v>
      </c>
      <c r="R2741" t="s">
        <v>19</v>
      </c>
      <c r="S2741" t="s">
        <v>19</v>
      </c>
      <c r="T2741" t="s">
        <v>19</v>
      </c>
    </row>
    <row r="2742" spans="1:21" ht="15" customHeight="1" x14ac:dyDescent="0.25">
      <c r="A2742" t="s">
        <v>19</v>
      </c>
      <c r="B2742" t="s">
        <v>20</v>
      </c>
      <c r="C2742" t="s">
        <v>22</v>
      </c>
      <c r="D2742">
        <v>3</v>
      </c>
      <c r="E2742" t="s">
        <v>208</v>
      </c>
      <c r="F2742" t="s">
        <v>388</v>
      </c>
      <c r="G2742">
        <v>18</v>
      </c>
      <c r="H2742">
        <v>1</v>
      </c>
      <c r="I2742">
        <f>G2742+H2742</f>
        <v>19</v>
      </c>
      <c r="J2742">
        <f>100-G2742-H2742</f>
        <v>81</v>
      </c>
      <c r="K2742" t="s">
        <v>19</v>
      </c>
      <c r="L2742" t="s">
        <v>19</v>
      </c>
      <c r="M2742" t="s">
        <v>19</v>
      </c>
      <c r="N2742" t="s">
        <v>19</v>
      </c>
      <c r="O2742" t="s">
        <v>19</v>
      </c>
      <c r="P2742" t="s">
        <v>19</v>
      </c>
      <c r="Q2742">
        <f>I2742</f>
        <v>19</v>
      </c>
      <c r="R2742" t="s">
        <v>19</v>
      </c>
      <c r="S2742" t="s">
        <v>19</v>
      </c>
      <c r="T2742" t="s">
        <v>19</v>
      </c>
    </row>
    <row r="2743" spans="1:21" ht="15" customHeight="1" x14ac:dyDescent="0.25">
      <c r="A2743" t="s">
        <v>19</v>
      </c>
      <c r="B2743" t="s">
        <v>20</v>
      </c>
      <c r="C2743" t="s">
        <v>305</v>
      </c>
      <c r="D2743">
        <v>3</v>
      </c>
      <c r="E2743" t="s">
        <v>208</v>
      </c>
      <c r="F2743" t="s">
        <v>388</v>
      </c>
      <c r="G2743">
        <v>20</v>
      </c>
      <c r="H2743">
        <v>5</v>
      </c>
      <c r="I2743">
        <f>G2743+H2743</f>
        <v>25</v>
      </c>
      <c r="J2743">
        <f>100-G2743-H2743</f>
        <v>75</v>
      </c>
      <c r="K2743" t="s">
        <v>19</v>
      </c>
      <c r="L2743" t="s">
        <v>19</v>
      </c>
      <c r="M2743" t="s">
        <v>19</v>
      </c>
      <c r="N2743" t="s">
        <v>19</v>
      </c>
      <c r="O2743" t="s">
        <v>19</v>
      </c>
      <c r="P2743" t="s">
        <v>19</v>
      </c>
      <c r="Q2743">
        <f>I2743</f>
        <v>25</v>
      </c>
      <c r="R2743" t="s">
        <v>19</v>
      </c>
      <c r="S2743" t="s">
        <v>19</v>
      </c>
      <c r="T2743" t="s">
        <v>19</v>
      </c>
    </row>
    <row r="2744" spans="1:21" ht="15" customHeight="1" x14ac:dyDescent="0.25">
      <c r="A2744" t="s">
        <v>19</v>
      </c>
      <c r="B2744" t="s">
        <v>20</v>
      </c>
      <c r="C2744" t="s">
        <v>307</v>
      </c>
      <c r="D2744">
        <v>3</v>
      </c>
      <c r="E2744" t="s">
        <v>208</v>
      </c>
      <c r="F2744" t="s">
        <v>388</v>
      </c>
      <c r="G2744">
        <v>4</v>
      </c>
      <c r="H2744">
        <v>1</v>
      </c>
      <c r="I2744">
        <f>G2744+H2744</f>
        <v>5</v>
      </c>
      <c r="J2744">
        <f>100-G2744-H2744</f>
        <v>95</v>
      </c>
      <c r="K2744" t="s">
        <v>19</v>
      </c>
      <c r="L2744" t="s">
        <v>19</v>
      </c>
      <c r="M2744" t="s">
        <v>19</v>
      </c>
      <c r="N2744" t="s">
        <v>19</v>
      </c>
      <c r="O2744" t="s">
        <v>19</v>
      </c>
      <c r="P2744" t="s">
        <v>19</v>
      </c>
      <c r="Q2744">
        <f>I2744</f>
        <v>5</v>
      </c>
      <c r="R2744" t="s">
        <v>19</v>
      </c>
      <c r="S2744" t="s">
        <v>19</v>
      </c>
      <c r="T2744" t="s">
        <v>19</v>
      </c>
    </row>
    <row r="2745" spans="1:21" ht="15" customHeight="1" x14ac:dyDescent="0.25">
      <c r="A2745" s="2">
        <v>45253.655555555553</v>
      </c>
      <c r="B2745" t="s">
        <v>309</v>
      </c>
      <c r="C2745" t="s">
        <v>213</v>
      </c>
      <c r="D2745">
        <v>3</v>
      </c>
      <c r="E2745" t="s">
        <v>208</v>
      </c>
      <c r="F2745" t="s">
        <v>388</v>
      </c>
      <c r="G2745">
        <v>5.295315682</v>
      </c>
      <c r="H2745">
        <v>6.109979633</v>
      </c>
      <c r="I2745">
        <v>11.40529532</v>
      </c>
      <c r="J2745">
        <v>88.594704680000007</v>
      </c>
      <c r="K2745">
        <v>0.8</v>
      </c>
      <c r="L2745">
        <v>0.2</v>
      </c>
      <c r="M2745">
        <v>0.7</v>
      </c>
      <c r="N2745">
        <v>435</v>
      </c>
      <c r="O2745">
        <v>26</v>
      </c>
      <c r="P2745">
        <v>30</v>
      </c>
      <c r="Q2745">
        <v>11.41</v>
      </c>
      <c r="R2745" t="s">
        <v>248</v>
      </c>
      <c r="S2745">
        <v>2.5499999999999998</v>
      </c>
      <c r="T2745">
        <v>2.86</v>
      </c>
    </row>
    <row r="2746" spans="1:21" ht="15" customHeight="1" x14ac:dyDescent="0.25">
      <c r="A2746" s="2">
        <v>45253.895138888889</v>
      </c>
      <c r="B2746" t="s">
        <v>309</v>
      </c>
      <c r="C2746" t="s">
        <v>215</v>
      </c>
      <c r="D2746">
        <v>2</v>
      </c>
      <c r="E2746" t="s">
        <v>208</v>
      </c>
      <c r="F2746" t="s">
        <v>388</v>
      </c>
      <c r="G2746">
        <v>26.21848739</v>
      </c>
      <c r="H2746">
        <v>0</v>
      </c>
      <c r="I2746">
        <v>26.21848739</v>
      </c>
      <c r="J2746">
        <v>73.781512609999993</v>
      </c>
      <c r="K2746">
        <v>0.8</v>
      </c>
      <c r="L2746">
        <v>0.2</v>
      </c>
      <c r="M2746">
        <v>0.7</v>
      </c>
      <c r="N2746">
        <v>439</v>
      </c>
      <c r="O2746">
        <v>156</v>
      </c>
      <c r="P2746">
        <v>0</v>
      </c>
      <c r="Q2746">
        <v>26.22</v>
      </c>
      <c r="R2746" t="s">
        <v>231</v>
      </c>
      <c r="S2746">
        <v>0.63</v>
      </c>
      <c r="T2746">
        <v>0.69</v>
      </c>
    </row>
    <row r="2747" spans="1:21" ht="15" customHeight="1" x14ac:dyDescent="0.25">
      <c r="A2747" s="2">
        <v>45254.067361111112</v>
      </c>
      <c r="B2747" t="s">
        <v>309</v>
      </c>
      <c r="C2747" t="s">
        <v>217</v>
      </c>
      <c r="D2747">
        <v>2</v>
      </c>
      <c r="E2747" t="s">
        <v>208</v>
      </c>
      <c r="F2747" t="s">
        <v>388</v>
      </c>
      <c r="G2747">
        <v>33.333333330000002</v>
      </c>
      <c r="H2747">
        <v>0</v>
      </c>
      <c r="I2747">
        <v>33.333333330000002</v>
      </c>
      <c r="J2747">
        <v>66.666666669999998</v>
      </c>
      <c r="K2747">
        <v>0.8</v>
      </c>
      <c r="L2747">
        <v>0.2</v>
      </c>
      <c r="M2747">
        <v>0.7</v>
      </c>
      <c r="N2747">
        <v>396</v>
      </c>
      <c r="O2747">
        <v>198</v>
      </c>
      <c r="P2747">
        <v>0</v>
      </c>
      <c r="Q2747">
        <v>33.33</v>
      </c>
      <c r="R2747" t="s">
        <v>229</v>
      </c>
      <c r="S2747">
        <v>0.83</v>
      </c>
      <c r="T2747">
        <v>0.88</v>
      </c>
    </row>
    <row r="2748" spans="1:21" ht="15" customHeight="1" x14ac:dyDescent="0.25">
      <c r="A2748" s="2">
        <v>45316.575694444444</v>
      </c>
      <c r="B2748" t="s">
        <v>309</v>
      </c>
      <c r="C2748" t="s">
        <v>219</v>
      </c>
      <c r="D2748">
        <v>3</v>
      </c>
      <c r="E2748" t="s">
        <v>208</v>
      </c>
      <c r="F2748" t="s">
        <v>388</v>
      </c>
      <c r="G2748">
        <v>14</v>
      </c>
      <c r="H2748">
        <v>4</v>
      </c>
      <c r="I2748">
        <v>18</v>
      </c>
      <c r="J2748">
        <v>82</v>
      </c>
      <c r="K2748">
        <v>0.8</v>
      </c>
      <c r="L2748">
        <v>0.2</v>
      </c>
      <c r="M2748">
        <v>0.7</v>
      </c>
      <c r="N2748">
        <v>328</v>
      </c>
      <c r="O2748">
        <v>56</v>
      </c>
      <c r="P2748">
        <v>16</v>
      </c>
      <c r="Q2748">
        <v>18</v>
      </c>
      <c r="R2748" t="s">
        <v>216</v>
      </c>
      <c r="S2748">
        <v>3.12</v>
      </c>
      <c r="T2748">
        <v>4.33</v>
      </c>
    </row>
    <row r="2749" spans="1:21" ht="15" customHeight="1" x14ac:dyDescent="0.25">
      <c r="A2749" s="2">
        <v>45320.92291666667</v>
      </c>
      <c r="B2749" t="s">
        <v>309</v>
      </c>
      <c r="C2749" t="s">
        <v>221</v>
      </c>
      <c r="D2749">
        <v>2</v>
      </c>
      <c r="E2749" t="s">
        <v>208</v>
      </c>
      <c r="F2749" t="s">
        <v>388</v>
      </c>
      <c r="G2749">
        <v>27.889908259999999</v>
      </c>
      <c r="H2749">
        <v>0</v>
      </c>
      <c r="I2749">
        <v>27.889908259999999</v>
      </c>
      <c r="J2749">
        <v>72.110091740000001</v>
      </c>
      <c r="K2749">
        <v>0.8</v>
      </c>
      <c r="L2749">
        <v>0.3</v>
      </c>
      <c r="M2749">
        <v>0.7</v>
      </c>
      <c r="N2749">
        <v>393</v>
      </c>
      <c r="O2749">
        <v>152</v>
      </c>
      <c r="P2749">
        <v>0</v>
      </c>
      <c r="Q2749">
        <v>27.89</v>
      </c>
      <c r="R2749" t="s">
        <v>228</v>
      </c>
      <c r="S2749">
        <v>0.78</v>
      </c>
      <c r="T2749">
        <v>0.87</v>
      </c>
    </row>
    <row r="2750" spans="1:21" ht="15" customHeight="1" x14ac:dyDescent="0.25">
      <c r="A2750" t="s">
        <v>19</v>
      </c>
      <c r="B2750" t="s">
        <v>20</v>
      </c>
      <c r="C2750" t="s">
        <v>306</v>
      </c>
      <c r="D2750">
        <v>3</v>
      </c>
      <c r="E2750" t="s">
        <v>208</v>
      </c>
      <c r="F2750" t="s">
        <v>388</v>
      </c>
      <c r="G2750">
        <v>35</v>
      </c>
      <c r="H2750">
        <v>10</v>
      </c>
      <c r="I2750">
        <f>G2750+H2750</f>
        <v>45</v>
      </c>
      <c r="J2750">
        <f>100-G2750-H2750</f>
        <v>55</v>
      </c>
      <c r="K2750" t="s">
        <v>19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>
        <f>I2750</f>
        <v>45</v>
      </c>
      <c r="R2750" t="s">
        <v>19</v>
      </c>
      <c r="S2750" t="s">
        <v>19</v>
      </c>
      <c r="T2750" t="s">
        <v>19</v>
      </c>
    </row>
    <row r="2751" spans="1:21" ht="15" customHeight="1" x14ac:dyDescent="0.25">
      <c r="A2751" t="s">
        <v>19</v>
      </c>
      <c r="B2751" t="s">
        <v>20</v>
      </c>
      <c r="C2751" t="s">
        <v>320</v>
      </c>
      <c r="D2751">
        <v>3</v>
      </c>
      <c r="E2751" t="s">
        <v>208</v>
      </c>
      <c r="F2751" t="s">
        <v>388</v>
      </c>
      <c r="G2751">
        <v>15</v>
      </c>
      <c r="H2751">
        <v>5</v>
      </c>
      <c r="I2751">
        <f>100-J2751</f>
        <v>20</v>
      </c>
      <c r="J2751">
        <f>100-G2751-H2751</f>
        <v>80</v>
      </c>
      <c r="K2751" t="s">
        <v>19</v>
      </c>
      <c r="L2751" t="s">
        <v>19</v>
      </c>
      <c r="M2751" t="s">
        <v>19</v>
      </c>
      <c r="N2751" t="s">
        <v>19</v>
      </c>
      <c r="O2751" t="s">
        <v>19</v>
      </c>
      <c r="P2751" t="s">
        <v>19</v>
      </c>
      <c r="Q2751">
        <f>I2751</f>
        <v>20</v>
      </c>
      <c r="R2751" t="s">
        <v>19</v>
      </c>
      <c r="S2751" t="s">
        <v>19</v>
      </c>
      <c r="T2751" t="s">
        <v>19</v>
      </c>
    </row>
    <row r="2752" spans="1:21" ht="15" customHeight="1" x14ac:dyDescent="0.25">
      <c r="A2752" s="2">
        <v>45323.669224537036</v>
      </c>
      <c r="B2752" t="s">
        <v>309</v>
      </c>
      <c r="C2752" t="s">
        <v>322</v>
      </c>
      <c r="D2752">
        <v>3</v>
      </c>
      <c r="E2752" t="s">
        <v>208</v>
      </c>
      <c r="F2752" t="s">
        <v>388</v>
      </c>
      <c r="G2752">
        <f>(O2752/(N2752+O2752+P2752))*100</f>
        <v>19.272727272727273</v>
      </c>
      <c r="H2752">
        <f>(P2752/(O2752+P2752+N2752))*100</f>
        <v>2.5454545454545454</v>
      </c>
      <c r="I2752">
        <v>21.82</v>
      </c>
      <c r="J2752">
        <f>(N2752/(P2752+O2752+N2752))*100</f>
        <v>78.181818181818187</v>
      </c>
      <c r="K2752">
        <v>0.8</v>
      </c>
      <c r="L2752">
        <v>0.3</v>
      </c>
      <c r="M2752">
        <v>0.7</v>
      </c>
      <c r="N2752">
        <v>430</v>
      </c>
      <c r="O2752">
        <v>106</v>
      </c>
      <c r="P2752">
        <v>14</v>
      </c>
      <c r="Q2752">
        <v>21.82</v>
      </c>
      <c r="R2752" t="s">
        <v>246</v>
      </c>
      <c r="S2752">
        <v>2.4</v>
      </c>
      <c r="T2752">
        <v>3.09</v>
      </c>
      <c r="U2752">
        <v>101</v>
      </c>
    </row>
    <row r="2753" spans="1:21" ht="15" customHeight="1" x14ac:dyDescent="0.25">
      <c r="A2753" s="2">
        <v>45323.6637962963</v>
      </c>
      <c r="B2753" t="s">
        <v>309</v>
      </c>
      <c r="C2753" t="s">
        <v>322</v>
      </c>
      <c r="D2753">
        <v>3</v>
      </c>
      <c r="E2753" t="s">
        <v>208</v>
      </c>
      <c r="F2753" t="s">
        <v>388</v>
      </c>
      <c r="G2753">
        <f>(O2753/(N2753+O2753+P2753))*100</f>
        <v>21.968365553602812</v>
      </c>
      <c r="H2753">
        <f>(P2753/(O2753+P2753+N2753))*100</f>
        <v>3.5149384885764503</v>
      </c>
      <c r="I2753">
        <v>25.48</v>
      </c>
      <c r="J2753">
        <f>(N2753/(P2753+O2753+N2753))*100</f>
        <v>74.51669595782073</v>
      </c>
      <c r="K2753">
        <v>0.7</v>
      </c>
      <c r="L2753">
        <v>0.3</v>
      </c>
      <c r="M2753">
        <v>0.7</v>
      </c>
      <c r="N2753">
        <v>424</v>
      </c>
      <c r="O2753">
        <v>125</v>
      </c>
      <c r="P2753">
        <v>20</v>
      </c>
      <c r="Q2753">
        <v>25.48</v>
      </c>
      <c r="R2753" t="s">
        <v>248</v>
      </c>
      <c r="S2753">
        <v>2.4</v>
      </c>
      <c r="T2753">
        <v>3.09</v>
      </c>
      <c r="U2753">
        <v>82</v>
      </c>
    </row>
    <row r="2754" spans="1:21" ht="15" customHeight="1" x14ac:dyDescent="0.25">
      <c r="A2754" s="2">
        <v>45325.078703703701</v>
      </c>
      <c r="B2754" t="s">
        <v>309</v>
      </c>
      <c r="C2754" t="s">
        <v>368</v>
      </c>
      <c r="D2754">
        <v>2</v>
      </c>
      <c r="E2754" t="s">
        <v>208</v>
      </c>
      <c r="F2754" t="s">
        <v>388</v>
      </c>
      <c r="G2754">
        <f>(O2754/(N2754+O2754+P2754))*100</f>
        <v>29.853479853479854</v>
      </c>
      <c r="H2754">
        <f>(P2754/(O2754+P2754+N2754))*100</f>
        <v>0</v>
      </c>
      <c r="I2754">
        <v>29.85</v>
      </c>
      <c r="J2754">
        <f>(N2754/(P2754+O2754+N2754))*100</f>
        <v>70.146520146520146</v>
      </c>
      <c r="K2754">
        <v>0.8</v>
      </c>
      <c r="L2754">
        <v>0.3</v>
      </c>
      <c r="M2754">
        <v>0.7</v>
      </c>
      <c r="N2754">
        <v>383</v>
      </c>
      <c r="O2754">
        <v>163</v>
      </c>
      <c r="P2754">
        <v>0</v>
      </c>
      <c r="Q2754">
        <v>29.85</v>
      </c>
      <c r="R2754" t="s">
        <v>279</v>
      </c>
      <c r="S2754">
        <v>0.87</v>
      </c>
      <c r="T2754">
        <v>0.95</v>
      </c>
    </row>
    <row r="2755" spans="1:21" ht="15" customHeight="1" x14ac:dyDescent="0.25">
      <c r="A2755" t="s">
        <v>19</v>
      </c>
      <c r="B2755" t="s">
        <v>20</v>
      </c>
      <c r="C2755" t="s">
        <v>308</v>
      </c>
      <c r="D2755">
        <v>3</v>
      </c>
      <c r="E2755" t="s">
        <v>209</v>
      </c>
      <c r="F2755" t="s">
        <v>388</v>
      </c>
      <c r="G2755">
        <v>55</v>
      </c>
      <c r="H2755">
        <v>2</v>
      </c>
      <c r="I2755">
        <f>G2755+H2755</f>
        <v>57</v>
      </c>
      <c r="J2755">
        <f>100-G2755-H2755</f>
        <v>43</v>
      </c>
      <c r="K2755" t="s">
        <v>19</v>
      </c>
      <c r="L2755" t="s">
        <v>19</v>
      </c>
      <c r="M2755" t="s">
        <v>19</v>
      </c>
      <c r="N2755" t="s">
        <v>19</v>
      </c>
      <c r="O2755" t="s">
        <v>19</v>
      </c>
      <c r="P2755" t="s">
        <v>19</v>
      </c>
      <c r="Q2755">
        <f>I2755</f>
        <v>57</v>
      </c>
      <c r="R2755" t="s">
        <v>19</v>
      </c>
      <c r="S2755" t="s">
        <v>19</v>
      </c>
      <c r="T2755" t="s">
        <v>19</v>
      </c>
    </row>
    <row r="2756" spans="1:21" ht="15" customHeight="1" x14ac:dyDescent="0.25">
      <c r="A2756" t="s">
        <v>19</v>
      </c>
      <c r="B2756" t="s">
        <v>20</v>
      </c>
      <c r="C2756" t="s">
        <v>22</v>
      </c>
      <c r="D2756">
        <v>3</v>
      </c>
      <c r="E2756" t="s">
        <v>209</v>
      </c>
      <c r="F2756" t="s">
        <v>388</v>
      </c>
      <c r="G2756">
        <v>40</v>
      </c>
      <c r="H2756">
        <v>0</v>
      </c>
      <c r="I2756">
        <f>G2756+H2756</f>
        <v>40</v>
      </c>
      <c r="J2756">
        <f>100-G2756-H2756</f>
        <v>60</v>
      </c>
      <c r="K2756" t="s">
        <v>19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  <c r="Q2756">
        <f>I2756</f>
        <v>40</v>
      </c>
      <c r="R2756" t="s">
        <v>19</v>
      </c>
      <c r="S2756" t="s">
        <v>19</v>
      </c>
      <c r="T2756" t="s">
        <v>19</v>
      </c>
    </row>
    <row r="2757" spans="1:21" ht="15" customHeight="1" x14ac:dyDescent="0.25">
      <c r="A2757" t="s">
        <v>19</v>
      </c>
      <c r="B2757" t="s">
        <v>20</v>
      </c>
      <c r="C2757" t="s">
        <v>305</v>
      </c>
      <c r="D2757">
        <v>3</v>
      </c>
      <c r="E2757" t="s">
        <v>209</v>
      </c>
      <c r="F2757" t="s">
        <v>388</v>
      </c>
      <c r="G2757">
        <v>48</v>
      </c>
      <c r="H2757">
        <v>2</v>
      </c>
      <c r="I2757">
        <f>G2757+H2757</f>
        <v>50</v>
      </c>
      <c r="J2757">
        <f>100-G2757-H2757</f>
        <v>50</v>
      </c>
      <c r="K2757" t="s">
        <v>19</v>
      </c>
      <c r="L2757" t="s">
        <v>19</v>
      </c>
      <c r="M2757" t="s">
        <v>19</v>
      </c>
      <c r="N2757" t="s">
        <v>19</v>
      </c>
      <c r="O2757" t="s">
        <v>19</v>
      </c>
      <c r="P2757" t="s">
        <v>19</v>
      </c>
      <c r="Q2757">
        <f>I2757</f>
        <v>50</v>
      </c>
      <c r="R2757" t="s">
        <v>19</v>
      </c>
      <c r="S2757" t="s">
        <v>19</v>
      </c>
      <c r="T2757" t="s">
        <v>19</v>
      </c>
    </row>
    <row r="2758" spans="1:21" ht="15" customHeight="1" x14ac:dyDescent="0.25">
      <c r="A2758" t="s">
        <v>19</v>
      </c>
      <c r="B2758" t="s">
        <v>20</v>
      </c>
      <c r="C2758" t="s">
        <v>307</v>
      </c>
      <c r="D2758">
        <v>3</v>
      </c>
      <c r="E2758" t="s">
        <v>209</v>
      </c>
      <c r="F2758" t="s">
        <v>388</v>
      </c>
      <c r="G2758">
        <v>13</v>
      </c>
      <c r="H2758">
        <v>2</v>
      </c>
      <c r="I2758">
        <f>G2758+H2758</f>
        <v>15</v>
      </c>
      <c r="J2758">
        <f>100-G2758-H2758</f>
        <v>85</v>
      </c>
      <c r="K2758" t="s">
        <v>19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  <c r="Q2758">
        <f>I2758</f>
        <v>15</v>
      </c>
      <c r="R2758" t="s">
        <v>19</v>
      </c>
      <c r="S2758" t="s">
        <v>19</v>
      </c>
      <c r="T2758" t="s">
        <v>19</v>
      </c>
    </row>
    <row r="2759" spans="1:21" ht="15" customHeight="1" x14ac:dyDescent="0.25">
      <c r="A2759" s="2">
        <v>45253.656944444447</v>
      </c>
      <c r="B2759" t="s">
        <v>309</v>
      </c>
      <c r="C2759" t="s">
        <v>213</v>
      </c>
      <c r="D2759">
        <v>3</v>
      </c>
      <c r="E2759" t="s">
        <v>209</v>
      </c>
      <c r="F2759" t="s">
        <v>388</v>
      </c>
      <c r="G2759">
        <v>4.7709923659999998</v>
      </c>
      <c r="H2759">
        <v>6.8702290079999999</v>
      </c>
      <c r="I2759">
        <v>11.64122137</v>
      </c>
      <c r="J2759">
        <v>88.358778630000003</v>
      </c>
      <c r="K2759">
        <v>0.8</v>
      </c>
      <c r="L2759">
        <v>0.2</v>
      </c>
      <c r="M2759">
        <v>0.7</v>
      </c>
      <c r="N2759">
        <v>463</v>
      </c>
      <c r="O2759">
        <v>25</v>
      </c>
      <c r="P2759">
        <v>36</v>
      </c>
      <c r="Q2759">
        <v>11.64</v>
      </c>
      <c r="R2759" t="s">
        <v>238</v>
      </c>
      <c r="S2759">
        <v>2.56</v>
      </c>
      <c r="T2759">
        <v>2.88</v>
      </c>
    </row>
    <row r="2760" spans="1:21" ht="15" customHeight="1" x14ac:dyDescent="0.25">
      <c r="A2760" s="2">
        <v>45253.896527777775</v>
      </c>
      <c r="B2760" t="s">
        <v>309</v>
      </c>
      <c r="C2760" t="s">
        <v>215</v>
      </c>
      <c r="D2760">
        <v>2</v>
      </c>
      <c r="E2760" t="s">
        <v>209</v>
      </c>
      <c r="F2760" t="s">
        <v>388</v>
      </c>
      <c r="G2760">
        <v>29.03225806</v>
      </c>
      <c r="H2760">
        <v>0</v>
      </c>
      <c r="I2760">
        <v>29.03225806</v>
      </c>
      <c r="J2760">
        <v>70.967741939999996</v>
      </c>
      <c r="K2760">
        <v>0.8</v>
      </c>
      <c r="L2760">
        <v>0.2</v>
      </c>
      <c r="M2760">
        <v>0.7</v>
      </c>
      <c r="N2760">
        <v>396</v>
      </c>
      <c r="O2760">
        <v>162</v>
      </c>
      <c r="P2760">
        <v>0</v>
      </c>
      <c r="Q2760">
        <v>29.03</v>
      </c>
      <c r="R2760" t="s">
        <v>226</v>
      </c>
      <c r="S2760">
        <v>0.74</v>
      </c>
      <c r="T2760">
        <v>0.81</v>
      </c>
    </row>
    <row r="2761" spans="1:21" ht="15" customHeight="1" x14ac:dyDescent="0.25">
      <c r="A2761" s="2">
        <v>45254.068055555559</v>
      </c>
      <c r="B2761" t="s">
        <v>309</v>
      </c>
      <c r="C2761" t="s">
        <v>217</v>
      </c>
      <c r="D2761">
        <v>2</v>
      </c>
      <c r="E2761" t="s">
        <v>209</v>
      </c>
      <c r="F2761" t="s">
        <v>388</v>
      </c>
      <c r="G2761">
        <v>40.819964349999999</v>
      </c>
      <c r="H2761">
        <v>0</v>
      </c>
      <c r="I2761">
        <v>40.819964349999999</v>
      </c>
      <c r="J2761">
        <v>59.180035650000001</v>
      </c>
      <c r="K2761">
        <v>0.8</v>
      </c>
      <c r="L2761">
        <v>0.2</v>
      </c>
      <c r="M2761">
        <v>0.7</v>
      </c>
      <c r="N2761">
        <v>332</v>
      </c>
      <c r="O2761">
        <v>229</v>
      </c>
      <c r="P2761">
        <v>0</v>
      </c>
      <c r="Q2761">
        <v>40.82</v>
      </c>
      <c r="R2761" t="s">
        <v>232</v>
      </c>
      <c r="S2761">
        <v>0.96</v>
      </c>
      <c r="T2761">
        <v>1.02</v>
      </c>
    </row>
    <row r="2762" spans="1:21" ht="15" customHeight="1" x14ac:dyDescent="0.25">
      <c r="A2762" s="2">
        <v>45316.576388888891</v>
      </c>
      <c r="B2762" t="s">
        <v>309</v>
      </c>
      <c r="C2762" t="s">
        <v>219</v>
      </c>
      <c r="D2762">
        <v>3</v>
      </c>
      <c r="E2762" t="s">
        <v>209</v>
      </c>
      <c r="F2762" t="s">
        <v>388</v>
      </c>
      <c r="G2762">
        <v>13.60201511</v>
      </c>
      <c r="H2762">
        <v>1.259445844</v>
      </c>
      <c r="I2762">
        <v>14.86146096</v>
      </c>
      <c r="J2762">
        <v>85.138539039999998</v>
      </c>
      <c r="K2762">
        <v>0.8</v>
      </c>
      <c r="L2762">
        <v>0.2</v>
      </c>
      <c r="M2762">
        <v>0.7</v>
      </c>
      <c r="N2762">
        <v>338</v>
      </c>
      <c r="O2762">
        <v>54</v>
      </c>
      <c r="P2762">
        <v>5</v>
      </c>
      <c r="Q2762">
        <v>14.86</v>
      </c>
      <c r="R2762" t="s">
        <v>224</v>
      </c>
      <c r="S2762">
        <v>3.08</v>
      </c>
      <c r="T2762">
        <v>4.2699999999999996</v>
      </c>
    </row>
    <row r="2763" spans="1:21" ht="15" customHeight="1" x14ac:dyDescent="0.25">
      <c r="A2763" s="2">
        <v>45320.924305555556</v>
      </c>
      <c r="B2763" t="s">
        <v>309</v>
      </c>
      <c r="C2763" t="s">
        <v>221</v>
      </c>
      <c r="D2763">
        <v>2</v>
      </c>
      <c r="E2763" t="s">
        <v>209</v>
      </c>
      <c r="F2763" t="s">
        <v>388</v>
      </c>
      <c r="G2763">
        <v>44.197952219999998</v>
      </c>
      <c r="H2763">
        <v>0</v>
      </c>
      <c r="I2763">
        <v>44.197952219999998</v>
      </c>
      <c r="J2763">
        <v>55.802047780000002</v>
      </c>
      <c r="K2763">
        <v>0.8</v>
      </c>
      <c r="L2763">
        <v>0.3</v>
      </c>
      <c r="M2763">
        <v>0.7</v>
      </c>
      <c r="N2763">
        <v>327</v>
      </c>
      <c r="O2763">
        <v>259</v>
      </c>
      <c r="P2763">
        <v>0</v>
      </c>
      <c r="Q2763">
        <v>44.2</v>
      </c>
      <c r="R2763" t="s">
        <v>267</v>
      </c>
      <c r="S2763">
        <v>1.1399999999999999</v>
      </c>
      <c r="T2763">
        <v>1.27</v>
      </c>
    </row>
    <row r="2764" spans="1:21" ht="15" customHeight="1" x14ac:dyDescent="0.25">
      <c r="A2764" t="s">
        <v>19</v>
      </c>
      <c r="B2764" t="s">
        <v>20</v>
      </c>
      <c r="C2764" t="s">
        <v>306</v>
      </c>
      <c r="D2764">
        <v>3</v>
      </c>
      <c r="E2764" t="s">
        <v>209</v>
      </c>
      <c r="F2764" t="s">
        <v>388</v>
      </c>
      <c r="G2764">
        <v>40</v>
      </c>
      <c r="H2764">
        <v>15</v>
      </c>
      <c r="I2764">
        <f>G2764+H2764</f>
        <v>55</v>
      </c>
      <c r="J2764">
        <f>100-G2764-H2764</f>
        <v>45</v>
      </c>
      <c r="K2764" t="s">
        <v>19</v>
      </c>
      <c r="L2764" t="s">
        <v>19</v>
      </c>
      <c r="M2764" t="s">
        <v>19</v>
      </c>
      <c r="N2764" t="s">
        <v>19</v>
      </c>
      <c r="O2764" t="s">
        <v>19</v>
      </c>
      <c r="P2764" t="s">
        <v>19</v>
      </c>
      <c r="Q2764">
        <f>I2764</f>
        <v>55</v>
      </c>
      <c r="R2764" t="s">
        <v>19</v>
      </c>
      <c r="S2764" t="s">
        <v>19</v>
      </c>
      <c r="T2764" t="s">
        <v>19</v>
      </c>
    </row>
    <row r="2765" spans="1:21" ht="15" customHeight="1" x14ac:dyDescent="0.25">
      <c r="A2765" t="s">
        <v>19</v>
      </c>
      <c r="B2765" t="s">
        <v>20</v>
      </c>
      <c r="C2765" t="s">
        <v>320</v>
      </c>
      <c r="D2765">
        <v>3</v>
      </c>
      <c r="E2765" t="s">
        <v>209</v>
      </c>
      <c r="F2765" t="s">
        <v>388</v>
      </c>
      <c r="G2765">
        <v>20</v>
      </c>
      <c r="H2765">
        <v>0</v>
      </c>
      <c r="I2765">
        <f>100-J2765</f>
        <v>20</v>
      </c>
      <c r="J2765">
        <f>100-G2765-H2765</f>
        <v>80</v>
      </c>
      <c r="K2765" t="s">
        <v>19</v>
      </c>
      <c r="L2765" t="s">
        <v>19</v>
      </c>
      <c r="M2765" t="s">
        <v>19</v>
      </c>
      <c r="N2765" t="s">
        <v>19</v>
      </c>
      <c r="O2765" t="s">
        <v>19</v>
      </c>
      <c r="P2765" t="s">
        <v>19</v>
      </c>
      <c r="Q2765">
        <f>I2765</f>
        <v>20</v>
      </c>
      <c r="R2765" t="s">
        <v>19</v>
      </c>
      <c r="S2765" t="s">
        <v>19</v>
      </c>
      <c r="T2765" t="s">
        <v>19</v>
      </c>
    </row>
    <row r="2766" spans="1:21" ht="15" customHeight="1" x14ac:dyDescent="0.25">
      <c r="A2766" s="2">
        <v>45323.670648148145</v>
      </c>
      <c r="B2766" t="s">
        <v>309</v>
      </c>
      <c r="C2766" t="s">
        <v>322</v>
      </c>
      <c r="D2766">
        <v>3</v>
      </c>
      <c r="E2766" t="s">
        <v>209</v>
      </c>
      <c r="F2766" t="s">
        <v>388</v>
      </c>
      <c r="G2766">
        <f>(O2766/(N2766+O2766+P2766))*100</f>
        <v>22.574626865671643</v>
      </c>
      <c r="H2766">
        <f>(P2766/(O2766+P2766+N2766))*100</f>
        <v>0.74626865671641784</v>
      </c>
      <c r="I2766">
        <v>23.32</v>
      </c>
      <c r="J2766">
        <f>(N2766/(P2766+O2766+N2766))*100</f>
        <v>76.679104477611943</v>
      </c>
      <c r="K2766">
        <v>0.8</v>
      </c>
      <c r="L2766">
        <v>0.3</v>
      </c>
      <c r="M2766">
        <v>0.7</v>
      </c>
      <c r="N2766">
        <v>411</v>
      </c>
      <c r="O2766">
        <v>121</v>
      </c>
      <c r="P2766">
        <v>4</v>
      </c>
      <c r="Q2766">
        <v>23.32</v>
      </c>
      <c r="R2766" t="s">
        <v>265</v>
      </c>
      <c r="S2766">
        <v>2.4500000000000002</v>
      </c>
      <c r="T2766">
        <v>3.13</v>
      </c>
      <c r="U2766">
        <v>141</v>
      </c>
    </row>
    <row r="2767" spans="1:21" ht="15" customHeight="1" x14ac:dyDescent="0.25">
      <c r="A2767" s="2">
        <v>45323.665266203701</v>
      </c>
      <c r="B2767" t="s">
        <v>309</v>
      </c>
      <c r="C2767" t="s">
        <v>322</v>
      </c>
      <c r="D2767">
        <v>3</v>
      </c>
      <c r="E2767" t="s">
        <v>209</v>
      </c>
      <c r="F2767" t="s">
        <v>388</v>
      </c>
      <c r="G2767">
        <f>(O2767/(N2767+O2767+P2767))*100</f>
        <v>28.81646655231561</v>
      </c>
      <c r="H2767">
        <f>(P2767/(O2767+P2767+N2767))*100</f>
        <v>1.7152658662092626</v>
      </c>
      <c r="I2767">
        <v>30.53</v>
      </c>
      <c r="J2767">
        <f>(N2767/(P2767+O2767+N2767))*100</f>
        <v>69.468267581475132</v>
      </c>
      <c r="K2767">
        <v>0.7</v>
      </c>
      <c r="L2767">
        <v>0.3</v>
      </c>
      <c r="M2767">
        <v>0.7</v>
      </c>
      <c r="N2767">
        <v>405</v>
      </c>
      <c r="O2767">
        <v>168</v>
      </c>
      <c r="P2767">
        <v>10</v>
      </c>
      <c r="Q2767">
        <v>30.53</v>
      </c>
      <c r="R2767" t="s">
        <v>265</v>
      </c>
      <c r="S2767">
        <v>2.4500000000000002</v>
      </c>
      <c r="T2767">
        <v>3.13</v>
      </c>
      <c r="U2767">
        <v>94</v>
      </c>
    </row>
    <row r="2768" spans="1:21" ht="15" customHeight="1" x14ac:dyDescent="0.25">
      <c r="A2768" s="2">
        <v>45325.080104166664</v>
      </c>
      <c r="B2768" t="s">
        <v>309</v>
      </c>
      <c r="C2768" t="s">
        <v>368</v>
      </c>
      <c r="D2768">
        <v>2</v>
      </c>
      <c r="E2768" t="s">
        <v>209</v>
      </c>
      <c r="F2768" t="s">
        <v>388</v>
      </c>
      <c r="G2768">
        <f>(O2768/(N2768+O2768+P2768))*100</f>
        <v>42.230347349177336</v>
      </c>
      <c r="H2768">
        <f>(P2768/(O2768+P2768+N2768))*100</f>
        <v>0</v>
      </c>
      <c r="I2768">
        <v>42.23</v>
      </c>
      <c r="J2768">
        <f>(N2768/(P2768+O2768+N2768))*100</f>
        <v>57.769652650822664</v>
      </c>
      <c r="K2768">
        <v>0.8</v>
      </c>
      <c r="L2768">
        <v>0.3</v>
      </c>
      <c r="M2768">
        <v>0.7</v>
      </c>
      <c r="N2768">
        <v>316</v>
      </c>
      <c r="O2768">
        <v>231</v>
      </c>
      <c r="P2768">
        <v>0</v>
      </c>
      <c r="Q2768">
        <v>42.23</v>
      </c>
      <c r="R2768" t="s">
        <v>261</v>
      </c>
      <c r="S2768">
        <v>1.0900000000000001</v>
      </c>
      <c r="T2768">
        <v>1.21</v>
      </c>
    </row>
    <row r="2769" spans="1:21" ht="15" customHeight="1" x14ac:dyDescent="0.25">
      <c r="A2769" t="s">
        <v>19</v>
      </c>
      <c r="B2769" t="s">
        <v>20</v>
      </c>
      <c r="C2769" t="s">
        <v>308</v>
      </c>
      <c r="D2769">
        <v>3</v>
      </c>
      <c r="E2769" t="s">
        <v>210</v>
      </c>
      <c r="F2769" t="s">
        <v>388</v>
      </c>
      <c r="G2769">
        <v>0</v>
      </c>
      <c r="H2769">
        <v>0</v>
      </c>
      <c r="I2769">
        <f>G2769+H2769</f>
        <v>0</v>
      </c>
      <c r="J2769">
        <f>100-G2769-H2769</f>
        <v>100</v>
      </c>
      <c r="K2769" t="s">
        <v>19</v>
      </c>
      <c r="L2769" t="s">
        <v>19</v>
      </c>
      <c r="M2769" t="s">
        <v>19</v>
      </c>
      <c r="N2769" t="s">
        <v>19</v>
      </c>
      <c r="O2769" t="s">
        <v>19</v>
      </c>
      <c r="P2769" t="s">
        <v>19</v>
      </c>
      <c r="Q2769">
        <f>I2769</f>
        <v>0</v>
      </c>
      <c r="R2769" t="s">
        <v>19</v>
      </c>
      <c r="S2769" t="s">
        <v>19</v>
      </c>
      <c r="T2769" t="s">
        <v>19</v>
      </c>
    </row>
    <row r="2770" spans="1:21" ht="15" customHeight="1" x14ac:dyDescent="0.25">
      <c r="A2770" t="s">
        <v>19</v>
      </c>
      <c r="B2770" t="s">
        <v>20</v>
      </c>
      <c r="C2770" t="s">
        <v>22</v>
      </c>
      <c r="D2770">
        <v>3</v>
      </c>
      <c r="E2770" t="s">
        <v>210</v>
      </c>
      <c r="F2770" t="s">
        <v>388</v>
      </c>
      <c r="G2770">
        <v>0</v>
      </c>
      <c r="H2770">
        <v>0</v>
      </c>
      <c r="I2770">
        <f>G2770+H2770</f>
        <v>0</v>
      </c>
      <c r="J2770">
        <f>100-G2770-H2770</f>
        <v>100</v>
      </c>
      <c r="K2770" t="s">
        <v>19</v>
      </c>
      <c r="L2770" t="s">
        <v>19</v>
      </c>
      <c r="M2770" t="s">
        <v>19</v>
      </c>
      <c r="N2770" t="s">
        <v>19</v>
      </c>
      <c r="O2770" t="s">
        <v>19</v>
      </c>
      <c r="P2770" t="s">
        <v>19</v>
      </c>
      <c r="Q2770">
        <f>I2770</f>
        <v>0</v>
      </c>
      <c r="R2770" t="s">
        <v>19</v>
      </c>
      <c r="S2770" t="s">
        <v>19</v>
      </c>
      <c r="T2770" t="s">
        <v>19</v>
      </c>
    </row>
    <row r="2771" spans="1:21" ht="15" customHeight="1" x14ac:dyDescent="0.25">
      <c r="A2771" t="s">
        <v>19</v>
      </c>
      <c r="B2771" t="s">
        <v>20</v>
      </c>
      <c r="C2771" t="s">
        <v>305</v>
      </c>
      <c r="D2771">
        <v>3</v>
      </c>
      <c r="E2771" t="s">
        <v>210</v>
      </c>
      <c r="F2771" t="s">
        <v>388</v>
      </c>
      <c r="G2771">
        <v>0</v>
      </c>
      <c r="H2771">
        <v>0</v>
      </c>
      <c r="I2771">
        <f>G2771+H2771</f>
        <v>0</v>
      </c>
      <c r="J2771">
        <f>100-G2771-H2771</f>
        <v>100</v>
      </c>
      <c r="K2771" t="s">
        <v>19</v>
      </c>
      <c r="L2771" t="s">
        <v>19</v>
      </c>
      <c r="M2771" t="s">
        <v>19</v>
      </c>
      <c r="N2771" t="s">
        <v>19</v>
      </c>
      <c r="O2771" t="s">
        <v>19</v>
      </c>
      <c r="P2771" t="s">
        <v>19</v>
      </c>
      <c r="Q2771">
        <f>I2771</f>
        <v>0</v>
      </c>
      <c r="R2771" t="s">
        <v>19</v>
      </c>
      <c r="S2771" t="s">
        <v>19</v>
      </c>
      <c r="T2771" t="s">
        <v>19</v>
      </c>
    </row>
    <row r="2772" spans="1:21" ht="15" customHeight="1" x14ac:dyDescent="0.25">
      <c r="A2772" t="s">
        <v>19</v>
      </c>
      <c r="B2772" t="s">
        <v>20</v>
      </c>
      <c r="C2772" t="s">
        <v>307</v>
      </c>
      <c r="D2772">
        <v>3</v>
      </c>
      <c r="E2772" t="s">
        <v>210</v>
      </c>
      <c r="F2772" t="s">
        <v>388</v>
      </c>
      <c r="G2772">
        <v>0</v>
      </c>
      <c r="H2772">
        <v>0</v>
      </c>
      <c r="I2772">
        <f>G2772+H2772</f>
        <v>0</v>
      </c>
      <c r="J2772">
        <f>100-G2772-H2772</f>
        <v>100</v>
      </c>
      <c r="K2772" t="s">
        <v>19</v>
      </c>
      <c r="L2772" t="s">
        <v>19</v>
      </c>
      <c r="M2772" t="s">
        <v>19</v>
      </c>
      <c r="N2772" t="s">
        <v>19</v>
      </c>
      <c r="O2772" t="s">
        <v>19</v>
      </c>
      <c r="P2772" t="s">
        <v>19</v>
      </c>
      <c r="Q2772">
        <f>I2772</f>
        <v>0</v>
      </c>
      <c r="R2772" t="s">
        <v>19</v>
      </c>
      <c r="S2772" t="s">
        <v>19</v>
      </c>
      <c r="T2772" t="s">
        <v>19</v>
      </c>
    </row>
    <row r="2773" spans="1:21" ht="15" customHeight="1" x14ac:dyDescent="0.25">
      <c r="A2773" s="2">
        <v>45253.658333333333</v>
      </c>
      <c r="B2773" t="s">
        <v>309</v>
      </c>
      <c r="C2773" t="s">
        <v>213</v>
      </c>
      <c r="D2773">
        <v>3</v>
      </c>
      <c r="E2773" t="s">
        <v>210</v>
      </c>
      <c r="F2773" t="s">
        <v>388</v>
      </c>
      <c r="G2773">
        <v>0.19267822700000001</v>
      </c>
      <c r="H2773">
        <v>0</v>
      </c>
      <c r="I2773">
        <v>0.19267822700000001</v>
      </c>
      <c r="J2773">
        <v>99.807321770000001</v>
      </c>
      <c r="K2773">
        <v>0.8</v>
      </c>
      <c r="L2773">
        <v>0.2</v>
      </c>
      <c r="M2773">
        <v>0.7</v>
      </c>
      <c r="N2773">
        <v>518</v>
      </c>
      <c r="O2773">
        <v>1</v>
      </c>
      <c r="P2773">
        <v>0</v>
      </c>
      <c r="Q2773">
        <v>0.19</v>
      </c>
      <c r="R2773" t="s">
        <v>265</v>
      </c>
      <c r="S2773">
        <v>2.88</v>
      </c>
      <c r="T2773">
        <v>3.19</v>
      </c>
    </row>
    <row r="2774" spans="1:21" ht="15" customHeight="1" x14ac:dyDescent="0.25">
      <c r="A2774" s="2">
        <v>45253.897222222222</v>
      </c>
      <c r="B2774" t="s">
        <v>309</v>
      </c>
      <c r="C2774" t="s">
        <v>215</v>
      </c>
      <c r="D2774">
        <v>2</v>
      </c>
      <c r="E2774" t="s">
        <v>210</v>
      </c>
      <c r="F2774" t="s">
        <v>388</v>
      </c>
      <c r="G2774">
        <v>0.155520995</v>
      </c>
      <c r="H2774">
        <v>0</v>
      </c>
      <c r="I2774">
        <v>0.155520995</v>
      </c>
      <c r="J2774">
        <v>99.844479000000007</v>
      </c>
      <c r="K2774">
        <v>0.8</v>
      </c>
      <c r="L2774">
        <v>0.2</v>
      </c>
      <c r="M2774">
        <v>0.7</v>
      </c>
      <c r="N2774">
        <v>642</v>
      </c>
      <c r="O2774">
        <v>1</v>
      </c>
      <c r="P2774">
        <v>0</v>
      </c>
      <c r="Q2774">
        <v>0.16</v>
      </c>
      <c r="R2774" t="s">
        <v>257</v>
      </c>
      <c r="S2774">
        <v>0.03</v>
      </c>
      <c r="T2774">
        <v>0.03</v>
      </c>
    </row>
    <row r="2775" spans="1:21" ht="15" customHeight="1" x14ac:dyDescent="0.25">
      <c r="A2775" s="2">
        <v>45254.069444444445</v>
      </c>
      <c r="B2775" t="s">
        <v>309</v>
      </c>
      <c r="C2775" t="s">
        <v>217</v>
      </c>
      <c r="D2775">
        <v>2</v>
      </c>
      <c r="E2775" t="s">
        <v>210</v>
      </c>
      <c r="F2775" t="s">
        <v>388</v>
      </c>
      <c r="G2775">
        <v>1.661129568</v>
      </c>
      <c r="H2775">
        <v>0</v>
      </c>
      <c r="I2775">
        <v>1.661129568</v>
      </c>
      <c r="J2775">
        <v>98.33887043</v>
      </c>
      <c r="K2775">
        <v>0.8</v>
      </c>
      <c r="L2775">
        <v>0.2</v>
      </c>
      <c r="M2775">
        <v>0.7</v>
      </c>
      <c r="N2775">
        <v>592</v>
      </c>
      <c r="O2775">
        <v>10</v>
      </c>
      <c r="P2775">
        <v>0</v>
      </c>
      <c r="Q2775">
        <v>1.66</v>
      </c>
      <c r="R2775" t="s">
        <v>227</v>
      </c>
      <c r="S2775">
        <v>0.08</v>
      </c>
      <c r="T2775">
        <v>0.09</v>
      </c>
    </row>
    <row r="2776" spans="1:21" ht="15" customHeight="1" x14ac:dyDescent="0.25">
      <c r="A2776" s="2">
        <v>45316.57708333333</v>
      </c>
      <c r="B2776" t="s">
        <v>309</v>
      </c>
      <c r="C2776" t="s">
        <v>219</v>
      </c>
      <c r="D2776">
        <v>3</v>
      </c>
      <c r="E2776" t="s">
        <v>210</v>
      </c>
      <c r="F2776" t="s">
        <v>388</v>
      </c>
      <c r="G2776" t="e">
        <v>#VALUE!</v>
      </c>
      <c r="H2776" t="e">
        <v>#VALUE!</v>
      </c>
      <c r="I2776">
        <v>19.5</v>
      </c>
      <c r="J2776" t="e">
        <v>#VALUE!</v>
      </c>
      <c r="K2776">
        <v>0.8</v>
      </c>
      <c r="L2776">
        <v>0.2</v>
      </c>
      <c r="M2776">
        <v>0.7</v>
      </c>
      <c r="N2776">
        <v>128</v>
      </c>
      <c r="O2776" t="s">
        <v>266</v>
      </c>
      <c r="P2776" t="s">
        <v>266</v>
      </c>
      <c r="Q2776">
        <v>19.5</v>
      </c>
      <c r="R2776" t="s">
        <v>243</v>
      </c>
      <c r="S2776">
        <v>3.29</v>
      </c>
      <c r="T2776">
        <v>4.5999999999999996</v>
      </c>
    </row>
    <row r="2777" spans="1:21" ht="15" customHeight="1" x14ac:dyDescent="0.25">
      <c r="A2777" s="2">
        <v>45320.925000000003</v>
      </c>
      <c r="B2777" t="s">
        <v>309</v>
      </c>
      <c r="C2777" t="s">
        <v>221</v>
      </c>
      <c r="D2777">
        <v>2</v>
      </c>
      <c r="E2777" t="s">
        <v>210</v>
      </c>
      <c r="F2777" t="s">
        <v>388</v>
      </c>
      <c r="G2777">
        <v>0.70921985799999998</v>
      </c>
      <c r="H2777">
        <v>0</v>
      </c>
      <c r="I2777">
        <v>0.70921985799999998</v>
      </c>
      <c r="J2777">
        <v>99.290780139999995</v>
      </c>
      <c r="K2777">
        <v>0.8</v>
      </c>
      <c r="L2777">
        <v>0.3</v>
      </c>
      <c r="M2777">
        <v>0.7</v>
      </c>
      <c r="N2777">
        <v>560</v>
      </c>
      <c r="O2777">
        <v>4</v>
      </c>
      <c r="P2777">
        <v>0</v>
      </c>
      <c r="Q2777">
        <v>0.71</v>
      </c>
      <c r="R2777" t="s">
        <v>229</v>
      </c>
      <c r="S2777">
        <v>0.08</v>
      </c>
      <c r="T2777">
        <v>0.08</v>
      </c>
    </row>
    <row r="2778" spans="1:21" ht="15" customHeight="1" x14ac:dyDescent="0.25">
      <c r="A2778" t="s">
        <v>19</v>
      </c>
      <c r="B2778" t="s">
        <v>20</v>
      </c>
      <c r="C2778" t="s">
        <v>306</v>
      </c>
      <c r="D2778">
        <v>3</v>
      </c>
      <c r="E2778" t="s">
        <v>210</v>
      </c>
      <c r="F2778" t="s">
        <v>388</v>
      </c>
      <c r="G2778">
        <v>0</v>
      </c>
      <c r="H2778">
        <v>0</v>
      </c>
      <c r="I2778">
        <f>G2778+H2778</f>
        <v>0</v>
      </c>
      <c r="J2778">
        <f>100-G2778-H2778</f>
        <v>100</v>
      </c>
      <c r="K2778" t="s">
        <v>19</v>
      </c>
      <c r="L2778" t="s">
        <v>19</v>
      </c>
      <c r="M2778" t="s">
        <v>19</v>
      </c>
      <c r="N2778" t="s">
        <v>19</v>
      </c>
      <c r="O2778" t="s">
        <v>19</v>
      </c>
      <c r="P2778" t="s">
        <v>19</v>
      </c>
      <c r="Q2778">
        <f>I2778</f>
        <v>0</v>
      </c>
      <c r="R2778" t="s">
        <v>19</v>
      </c>
      <c r="S2778" t="s">
        <v>19</v>
      </c>
      <c r="T2778" t="s">
        <v>19</v>
      </c>
    </row>
    <row r="2779" spans="1:21" ht="15" customHeight="1" x14ac:dyDescent="0.25">
      <c r="A2779" t="s">
        <v>19</v>
      </c>
      <c r="B2779" t="s">
        <v>20</v>
      </c>
      <c r="C2779" t="s">
        <v>320</v>
      </c>
      <c r="D2779">
        <v>3</v>
      </c>
      <c r="E2779" t="s">
        <v>210</v>
      </c>
      <c r="F2779" t="s">
        <v>388</v>
      </c>
      <c r="G2779">
        <v>0</v>
      </c>
      <c r="H2779">
        <v>0</v>
      </c>
      <c r="I2779">
        <f>100-J2779</f>
        <v>0</v>
      </c>
      <c r="J2779">
        <f>100-G2779-H2779</f>
        <v>100</v>
      </c>
      <c r="K2779" t="s">
        <v>19</v>
      </c>
      <c r="L2779" t="s">
        <v>19</v>
      </c>
      <c r="M2779" t="s">
        <v>19</v>
      </c>
      <c r="N2779" t="s">
        <v>19</v>
      </c>
      <c r="O2779" t="s">
        <v>19</v>
      </c>
      <c r="P2779" t="s">
        <v>19</v>
      </c>
      <c r="Q2779">
        <f>I2779</f>
        <v>0</v>
      </c>
      <c r="R2779" t="s">
        <v>19</v>
      </c>
      <c r="S2779" t="s">
        <v>19</v>
      </c>
      <c r="T2779" t="s">
        <v>19</v>
      </c>
    </row>
    <row r="2780" spans="1:21" ht="15" customHeight="1" x14ac:dyDescent="0.25">
      <c r="A2780" s="2">
        <v>45323.672094907408</v>
      </c>
      <c r="B2780" t="s">
        <v>309</v>
      </c>
      <c r="C2780" t="s">
        <v>322</v>
      </c>
      <c r="D2780">
        <v>3</v>
      </c>
      <c r="E2780" t="s">
        <v>210</v>
      </c>
      <c r="F2780" t="s">
        <v>388</v>
      </c>
      <c r="G2780" t="e">
        <f>(O2780/(N2780+O2780+P2780))*100</f>
        <v>#VALUE!</v>
      </c>
      <c r="H2780" t="e">
        <f>(P2780/(O2780+P2780+N2780))*100</f>
        <v>#VALUE!</v>
      </c>
      <c r="I2780">
        <v>4.2699999999999996</v>
      </c>
      <c r="J2780" t="e">
        <f>(N2780/(P2780+O2780+N2780))*100</f>
        <v>#VALUE!</v>
      </c>
      <c r="K2780">
        <v>0.8</v>
      </c>
      <c r="L2780">
        <v>0.3</v>
      </c>
      <c r="M2780">
        <v>0.7</v>
      </c>
      <c r="N2780">
        <v>448</v>
      </c>
      <c r="O2780" t="s">
        <v>266</v>
      </c>
      <c r="P2780" t="s">
        <v>266</v>
      </c>
      <c r="Q2780">
        <v>4.2699999999999996</v>
      </c>
      <c r="R2780" t="s">
        <v>258</v>
      </c>
      <c r="S2780">
        <v>2.77</v>
      </c>
      <c r="T2780">
        <v>3.56</v>
      </c>
      <c r="U2780">
        <v>152</v>
      </c>
    </row>
    <row r="2781" spans="1:21" ht="15" customHeight="1" x14ac:dyDescent="0.25">
      <c r="A2781" s="2">
        <v>45323.666712962964</v>
      </c>
      <c r="B2781" t="s">
        <v>309</v>
      </c>
      <c r="C2781" t="s">
        <v>322</v>
      </c>
      <c r="D2781">
        <v>3</v>
      </c>
      <c r="E2781" t="s">
        <v>210</v>
      </c>
      <c r="F2781" t="s">
        <v>388</v>
      </c>
      <c r="G2781" t="e">
        <f>(O2781/(N2781+O2781+P2781))*100</f>
        <v>#VALUE!</v>
      </c>
      <c r="H2781" t="e">
        <f>(P2781/(O2781+P2781+N2781))*100</f>
        <v>#VALUE!</v>
      </c>
      <c r="I2781">
        <v>8.3800000000000008</v>
      </c>
      <c r="J2781" t="e">
        <f>(N2781/(P2781+O2781+N2781))*100</f>
        <v>#VALUE!</v>
      </c>
      <c r="K2781">
        <v>0.7</v>
      </c>
      <c r="L2781">
        <v>0.3</v>
      </c>
      <c r="M2781">
        <v>0.7</v>
      </c>
      <c r="N2781">
        <v>448</v>
      </c>
      <c r="O2781" t="s">
        <v>266</v>
      </c>
      <c r="P2781" t="s">
        <v>266</v>
      </c>
      <c r="Q2781">
        <v>8.3800000000000008</v>
      </c>
      <c r="R2781" t="s">
        <v>240</v>
      </c>
      <c r="S2781">
        <v>2.77</v>
      </c>
      <c r="T2781">
        <v>3.56</v>
      </c>
      <c r="U2781">
        <v>131</v>
      </c>
    </row>
    <row r="2782" spans="1:21" ht="15" customHeight="1" x14ac:dyDescent="0.25">
      <c r="A2782" s="2">
        <v>45325.081516203703</v>
      </c>
      <c r="B2782" t="s">
        <v>309</v>
      </c>
      <c r="C2782" t="s">
        <v>368</v>
      </c>
      <c r="D2782">
        <v>2</v>
      </c>
      <c r="E2782" t="s">
        <v>210</v>
      </c>
      <c r="F2782" t="s">
        <v>388</v>
      </c>
      <c r="G2782">
        <f>(O2782/(N2782+O2782+P2782))*100</f>
        <v>0.34542314335060448</v>
      </c>
      <c r="H2782">
        <f>(P2782/(O2782+P2782+N2782))*100</f>
        <v>0</v>
      </c>
      <c r="I2782">
        <v>0.35</v>
      </c>
      <c r="J2782">
        <f>(N2782/(P2782+O2782+N2782))*100</f>
        <v>99.654576856649385</v>
      </c>
      <c r="K2782">
        <v>0.8</v>
      </c>
      <c r="L2782">
        <v>0.3</v>
      </c>
      <c r="M2782">
        <v>0.7</v>
      </c>
      <c r="N2782">
        <v>577</v>
      </c>
      <c r="O2782">
        <v>2</v>
      </c>
      <c r="P2782">
        <v>0</v>
      </c>
      <c r="Q2782">
        <v>0.35</v>
      </c>
      <c r="R2782" t="s">
        <v>252</v>
      </c>
      <c r="S2782">
        <v>0.04</v>
      </c>
      <c r="T2782">
        <v>0.04</v>
      </c>
    </row>
    <row r="2783" spans="1:21" ht="15" customHeight="1" x14ac:dyDescent="0.25">
      <c r="A2783" t="s">
        <v>19</v>
      </c>
      <c r="B2783" t="s">
        <v>20</v>
      </c>
      <c r="C2783" t="s">
        <v>306</v>
      </c>
      <c r="D2783">
        <v>3</v>
      </c>
      <c r="E2783" t="s">
        <v>211</v>
      </c>
      <c r="F2783" t="s">
        <v>373</v>
      </c>
      <c r="G2783">
        <v>0</v>
      </c>
      <c r="H2783">
        <v>0</v>
      </c>
      <c r="I2783">
        <f>G2783+H2783</f>
        <v>0</v>
      </c>
      <c r="J2783">
        <f>100-G2783-H2783</f>
        <v>100</v>
      </c>
      <c r="K2783" t="s">
        <v>19</v>
      </c>
      <c r="L2783" t="s">
        <v>19</v>
      </c>
      <c r="M2783" t="s">
        <v>19</v>
      </c>
      <c r="N2783" t="s">
        <v>19</v>
      </c>
      <c r="O2783" t="s">
        <v>19</v>
      </c>
      <c r="P2783" t="s">
        <v>19</v>
      </c>
      <c r="Q2783">
        <f>I2783</f>
        <v>0</v>
      </c>
      <c r="R2783" t="s">
        <v>19</v>
      </c>
      <c r="S2783" t="s">
        <v>19</v>
      </c>
      <c r="T2783" t="s">
        <v>19</v>
      </c>
    </row>
    <row r="2784" spans="1:21" ht="15" customHeight="1" x14ac:dyDescent="0.25">
      <c r="A2784" t="s">
        <v>19</v>
      </c>
      <c r="B2784" t="s">
        <v>20</v>
      </c>
      <c r="C2784" t="s">
        <v>308</v>
      </c>
      <c r="D2784">
        <v>3</v>
      </c>
      <c r="E2784" t="s">
        <v>211</v>
      </c>
      <c r="F2784" t="s">
        <v>373</v>
      </c>
      <c r="G2784">
        <v>0</v>
      </c>
      <c r="H2784">
        <v>0</v>
      </c>
      <c r="I2784">
        <f>G2784+H2784</f>
        <v>0</v>
      </c>
      <c r="J2784">
        <f>100-G2784-H2784</f>
        <v>100</v>
      </c>
      <c r="K2784" t="s">
        <v>19</v>
      </c>
      <c r="L2784" t="s">
        <v>19</v>
      </c>
      <c r="M2784" t="s">
        <v>19</v>
      </c>
      <c r="N2784" t="s">
        <v>19</v>
      </c>
      <c r="O2784" t="s">
        <v>19</v>
      </c>
      <c r="P2784" t="s">
        <v>19</v>
      </c>
      <c r="Q2784">
        <f>I2784</f>
        <v>0</v>
      </c>
      <c r="R2784" t="s">
        <v>19</v>
      </c>
      <c r="S2784" t="s">
        <v>19</v>
      </c>
      <c r="T2784" t="s">
        <v>19</v>
      </c>
    </row>
    <row r="2785" spans="1:21" ht="15" customHeight="1" x14ac:dyDescent="0.25">
      <c r="A2785" t="s">
        <v>19</v>
      </c>
      <c r="B2785" t="s">
        <v>20</v>
      </c>
      <c r="C2785" t="s">
        <v>22</v>
      </c>
      <c r="D2785">
        <v>3</v>
      </c>
      <c r="E2785" t="s">
        <v>211</v>
      </c>
      <c r="F2785" t="s">
        <v>373</v>
      </c>
      <c r="G2785">
        <v>0</v>
      </c>
      <c r="H2785">
        <v>0</v>
      </c>
      <c r="I2785">
        <f>G2785+H2785</f>
        <v>0</v>
      </c>
      <c r="J2785">
        <f>100-G2785-H2785</f>
        <v>100</v>
      </c>
      <c r="K2785" t="s">
        <v>19</v>
      </c>
      <c r="L2785" t="s">
        <v>19</v>
      </c>
      <c r="M2785" t="s">
        <v>19</v>
      </c>
      <c r="N2785" t="s">
        <v>19</v>
      </c>
      <c r="O2785" t="s">
        <v>19</v>
      </c>
      <c r="P2785" t="s">
        <v>19</v>
      </c>
      <c r="Q2785">
        <f>I2785</f>
        <v>0</v>
      </c>
      <c r="R2785" t="s">
        <v>19</v>
      </c>
      <c r="S2785" t="s">
        <v>19</v>
      </c>
      <c r="T2785" t="s">
        <v>19</v>
      </c>
    </row>
    <row r="2786" spans="1:21" ht="15" customHeight="1" x14ac:dyDescent="0.25">
      <c r="A2786" t="s">
        <v>19</v>
      </c>
      <c r="B2786" t="s">
        <v>20</v>
      </c>
      <c r="C2786" t="s">
        <v>305</v>
      </c>
      <c r="D2786">
        <v>3</v>
      </c>
      <c r="E2786" t="s">
        <v>211</v>
      </c>
      <c r="F2786" t="s">
        <v>373</v>
      </c>
      <c r="G2786">
        <v>0</v>
      </c>
      <c r="H2786">
        <v>0</v>
      </c>
      <c r="I2786">
        <f>G2786+H2786</f>
        <v>0</v>
      </c>
      <c r="J2786">
        <f>100-G2786-H2786</f>
        <v>100</v>
      </c>
      <c r="K2786" t="s">
        <v>19</v>
      </c>
      <c r="L2786" t="s">
        <v>19</v>
      </c>
      <c r="M2786" t="s">
        <v>19</v>
      </c>
      <c r="N2786" t="s">
        <v>19</v>
      </c>
      <c r="O2786" t="s">
        <v>19</v>
      </c>
      <c r="P2786" t="s">
        <v>19</v>
      </c>
      <c r="Q2786">
        <f>I2786</f>
        <v>0</v>
      </c>
      <c r="R2786" t="s">
        <v>19</v>
      </c>
      <c r="S2786" t="s">
        <v>19</v>
      </c>
      <c r="T2786" t="s">
        <v>19</v>
      </c>
    </row>
    <row r="2787" spans="1:21" ht="15" customHeight="1" x14ac:dyDescent="0.25">
      <c r="A2787" t="s">
        <v>19</v>
      </c>
      <c r="B2787" t="s">
        <v>20</v>
      </c>
      <c r="C2787" t="s">
        <v>307</v>
      </c>
      <c r="D2787">
        <v>3</v>
      </c>
      <c r="E2787" t="s">
        <v>211</v>
      </c>
      <c r="F2787" t="s">
        <v>373</v>
      </c>
      <c r="G2787">
        <v>0</v>
      </c>
      <c r="H2787">
        <v>0</v>
      </c>
      <c r="I2787">
        <f>G2787+H2787</f>
        <v>0</v>
      </c>
      <c r="J2787">
        <f>100-G2787-H2787</f>
        <v>100</v>
      </c>
      <c r="K2787" t="s">
        <v>19</v>
      </c>
      <c r="L2787" t="s">
        <v>19</v>
      </c>
      <c r="M2787" t="s">
        <v>19</v>
      </c>
      <c r="N2787" t="s">
        <v>19</v>
      </c>
      <c r="O2787" t="s">
        <v>19</v>
      </c>
      <c r="P2787" t="s">
        <v>19</v>
      </c>
      <c r="Q2787">
        <f>I2787</f>
        <v>0</v>
      </c>
      <c r="R2787" t="s">
        <v>19</v>
      </c>
      <c r="S2787" t="s">
        <v>19</v>
      </c>
      <c r="T2787" t="s">
        <v>19</v>
      </c>
    </row>
    <row r="2788" spans="1:21" ht="15" customHeight="1" x14ac:dyDescent="0.25">
      <c r="A2788" s="2">
        <v>45253.8125</v>
      </c>
      <c r="B2788" t="s">
        <v>309</v>
      </c>
      <c r="C2788" t="s">
        <v>213</v>
      </c>
      <c r="D2788">
        <v>3</v>
      </c>
      <c r="E2788" t="s">
        <v>211</v>
      </c>
      <c r="F2788" t="s">
        <v>373</v>
      </c>
      <c r="G2788">
        <v>1.0389610389999999</v>
      </c>
      <c r="H2788">
        <v>0.51948051900000003</v>
      </c>
      <c r="I2788">
        <v>1.5584415579999999</v>
      </c>
      <c r="J2788">
        <v>98.441558439999994</v>
      </c>
      <c r="K2788">
        <v>0.8</v>
      </c>
      <c r="L2788">
        <v>0.2</v>
      </c>
      <c r="M2788">
        <v>0.7</v>
      </c>
      <c r="N2788">
        <v>379</v>
      </c>
      <c r="O2788">
        <v>4</v>
      </c>
      <c r="P2788">
        <v>2</v>
      </c>
      <c r="Q2788">
        <v>1.56</v>
      </c>
      <c r="R2788" t="s">
        <v>284</v>
      </c>
      <c r="S2788">
        <v>2.97</v>
      </c>
      <c r="T2788">
        <v>3.23</v>
      </c>
    </row>
    <row r="2789" spans="1:21" ht="15" customHeight="1" x14ac:dyDescent="0.25">
      <c r="A2789" s="2">
        <v>45253.978472222225</v>
      </c>
      <c r="B2789" t="s">
        <v>309</v>
      </c>
      <c r="C2789" t="s">
        <v>215</v>
      </c>
      <c r="D2789">
        <v>2</v>
      </c>
      <c r="E2789" t="s">
        <v>211</v>
      </c>
      <c r="F2789" t="s">
        <v>373</v>
      </c>
      <c r="G2789">
        <v>0.46583850900000001</v>
      </c>
      <c r="H2789">
        <v>0</v>
      </c>
      <c r="I2789">
        <v>0.46583850900000001</v>
      </c>
      <c r="J2789">
        <v>99.534161490000002</v>
      </c>
      <c r="K2789">
        <v>0.8</v>
      </c>
      <c r="L2789">
        <v>0.2</v>
      </c>
      <c r="M2789">
        <v>0.7</v>
      </c>
      <c r="N2789">
        <v>641</v>
      </c>
      <c r="O2789">
        <v>3</v>
      </c>
      <c r="P2789">
        <v>0</v>
      </c>
      <c r="Q2789">
        <v>0.47</v>
      </c>
      <c r="R2789" t="s">
        <v>257</v>
      </c>
      <c r="S2789">
        <v>0.04</v>
      </c>
      <c r="T2789">
        <v>0.04</v>
      </c>
    </row>
    <row r="2790" spans="1:21" ht="15" customHeight="1" x14ac:dyDescent="0.25">
      <c r="A2790" s="2">
        <v>45254.156944444447</v>
      </c>
      <c r="B2790" t="s">
        <v>309</v>
      </c>
      <c r="C2790" t="s">
        <v>217</v>
      </c>
      <c r="D2790">
        <v>2</v>
      </c>
      <c r="E2790" t="s">
        <v>211</v>
      </c>
      <c r="F2790" t="s">
        <v>373</v>
      </c>
      <c r="G2790">
        <v>3.071672355</v>
      </c>
      <c r="H2790">
        <v>0</v>
      </c>
      <c r="I2790">
        <v>3.071672355</v>
      </c>
      <c r="J2790">
        <v>96.92832765</v>
      </c>
      <c r="K2790">
        <v>0.8</v>
      </c>
      <c r="L2790">
        <v>0.2</v>
      </c>
      <c r="M2790">
        <v>0.7</v>
      </c>
      <c r="N2790">
        <v>568</v>
      </c>
      <c r="O2790">
        <v>18</v>
      </c>
      <c r="P2790">
        <v>0</v>
      </c>
      <c r="Q2790">
        <v>3.07</v>
      </c>
      <c r="R2790" t="s">
        <v>227</v>
      </c>
      <c r="S2790">
        <v>0.13</v>
      </c>
      <c r="T2790">
        <v>0.13</v>
      </c>
    </row>
    <row r="2791" spans="1:21" ht="15" customHeight="1" x14ac:dyDescent="0.25">
      <c r="A2791" s="2">
        <v>45316.491666666669</v>
      </c>
      <c r="B2791" t="s">
        <v>309</v>
      </c>
      <c r="C2791" t="s">
        <v>219</v>
      </c>
      <c r="D2791">
        <v>3</v>
      </c>
      <c r="E2791" t="s">
        <v>211</v>
      </c>
      <c r="F2791" t="s">
        <v>373</v>
      </c>
      <c r="G2791">
        <v>4.511278195</v>
      </c>
      <c r="H2791">
        <v>0</v>
      </c>
      <c r="I2791">
        <v>4.511278195</v>
      </c>
      <c r="J2791">
        <v>95.488721799999993</v>
      </c>
      <c r="K2791">
        <v>0.8</v>
      </c>
      <c r="L2791">
        <v>0.2</v>
      </c>
      <c r="M2791">
        <v>0.7</v>
      </c>
      <c r="N2791">
        <v>127</v>
      </c>
      <c r="O2791">
        <v>6</v>
      </c>
      <c r="P2791">
        <v>0</v>
      </c>
      <c r="Q2791">
        <v>4.51</v>
      </c>
      <c r="R2791" t="s">
        <v>216</v>
      </c>
      <c r="S2791">
        <v>3.17</v>
      </c>
      <c r="T2791">
        <v>4.0999999999999996</v>
      </c>
    </row>
    <row r="2792" spans="1:21" ht="15" customHeight="1" x14ac:dyDescent="0.25">
      <c r="A2792" s="2">
        <v>45321.020138888889</v>
      </c>
      <c r="B2792" t="s">
        <v>309</v>
      </c>
      <c r="C2792" t="s">
        <v>221</v>
      </c>
      <c r="D2792">
        <v>2</v>
      </c>
      <c r="E2792" t="s">
        <v>211</v>
      </c>
      <c r="F2792" t="s">
        <v>373</v>
      </c>
      <c r="G2792">
        <v>0.66225165600000002</v>
      </c>
      <c r="H2792">
        <v>0</v>
      </c>
      <c r="I2792">
        <v>0.66225165600000002</v>
      </c>
      <c r="J2792">
        <v>99.337748340000005</v>
      </c>
      <c r="K2792">
        <v>0.8</v>
      </c>
      <c r="L2792">
        <v>0.3</v>
      </c>
      <c r="M2792">
        <v>0.7</v>
      </c>
      <c r="N2792">
        <v>600</v>
      </c>
      <c r="O2792">
        <v>4</v>
      </c>
      <c r="P2792">
        <v>0</v>
      </c>
      <c r="Q2792">
        <v>0.66</v>
      </c>
      <c r="R2792" t="s">
        <v>218</v>
      </c>
      <c r="S2792">
        <v>0.06</v>
      </c>
      <c r="T2792">
        <v>7.0000000000000007E-2</v>
      </c>
    </row>
    <row r="2793" spans="1:21" ht="15" customHeight="1" x14ac:dyDescent="0.25">
      <c r="A2793" t="s">
        <v>19</v>
      </c>
      <c r="B2793" t="s">
        <v>20</v>
      </c>
      <c r="C2793" t="s">
        <v>320</v>
      </c>
      <c r="D2793">
        <v>3</v>
      </c>
      <c r="E2793" t="s">
        <v>211</v>
      </c>
      <c r="F2793" t="s">
        <v>373</v>
      </c>
      <c r="G2793">
        <v>0</v>
      </c>
      <c r="H2793">
        <v>0</v>
      </c>
      <c r="I2793">
        <f>100-J2793</f>
        <v>0</v>
      </c>
      <c r="J2793">
        <f>100-G2793-H2793</f>
        <v>100</v>
      </c>
      <c r="K2793" t="s">
        <v>19</v>
      </c>
      <c r="L2793" t="s">
        <v>19</v>
      </c>
      <c r="M2793" t="s">
        <v>19</v>
      </c>
      <c r="N2793" t="s">
        <v>19</v>
      </c>
      <c r="O2793" t="s">
        <v>19</v>
      </c>
      <c r="P2793" t="s">
        <v>19</v>
      </c>
      <c r="Q2793">
        <f>I2793</f>
        <v>0</v>
      </c>
      <c r="R2793" t="s">
        <v>19</v>
      </c>
      <c r="S2793" t="s">
        <v>19</v>
      </c>
      <c r="T2793" t="s">
        <v>19</v>
      </c>
    </row>
    <row r="2794" spans="1:21" ht="15" customHeight="1" x14ac:dyDescent="0.25">
      <c r="A2794" s="2">
        <v>45323.664548611108</v>
      </c>
      <c r="B2794" t="s">
        <v>309</v>
      </c>
      <c r="C2794" t="s">
        <v>322</v>
      </c>
      <c r="D2794">
        <v>3</v>
      </c>
      <c r="E2794" t="s">
        <v>211</v>
      </c>
      <c r="F2794" t="s">
        <v>373</v>
      </c>
      <c r="G2794">
        <f>(O2794/(N2794+O2794+P2794))*100</f>
        <v>3.9915966386554618</v>
      </c>
      <c r="H2794">
        <f>(P2794/(O2794+P2794+N2794))*100</f>
        <v>0</v>
      </c>
      <c r="I2794">
        <f>((O2794+P2794)/(P2794+O2794+N2794))*100</f>
        <v>3.9915966386554618</v>
      </c>
      <c r="J2794">
        <f>(N2794/(P2794+O2794+N2794))*100</f>
        <v>96.008403361344534</v>
      </c>
      <c r="K2794">
        <v>0.8</v>
      </c>
      <c r="L2794">
        <v>0.3</v>
      </c>
      <c r="M2794">
        <v>0.7</v>
      </c>
      <c r="N2794">
        <v>457</v>
      </c>
      <c r="O2794">
        <v>19</v>
      </c>
      <c r="P2794">
        <v>0</v>
      </c>
      <c r="Q2794">
        <v>3.99</v>
      </c>
      <c r="R2794" t="s">
        <v>214</v>
      </c>
      <c r="S2794">
        <v>2.71</v>
      </c>
      <c r="T2794">
        <v>3.23</v>
      </c>
      <c r="U2794">
        <v>160</v>
      </c>
    </row>
    <row r="2795" spans="1:21" ht="15" customHeight="1" x14ac:dyDescent="0.25">
      <c r="A2795" s="2">
        <v>45323.670925925922</v>
      </c>
      <c r="B2795" t="s">
        <v>309</v>
      </c>
      <c r="C2795" t="s">
        <v>322</v>
      </c>
      <c r="D2795">
        <v>3</v>
      </c>
      <c r="E2795" t="s">
        <v>211</v>
      </c>
      <c r="F2795" t="s">
        <v>373</v>
      </c>
      <c r="G2795">
        <f>(O2795/(N2795+O2795+P2795))*100</f>
        <v>7.1138211382113816</v>
      </c>
      <c r="H2795">
        <f>(P2795/(O2795+P2795+N2795))*100</f>
        <v>0</v>
      </c>
      <c r="I2795">
        <f>((O2795+P2795)/(P2795+O2795+N2795))*100</f>
        <v>7.1138211382113816</v>
      </c>
      <c r="J2795">
        <f>(N2795/(P2795+O2795+N2795))*100</f>
        <v>92.886178861788622</v>
      </c>
      <c r="K2795">
        <v>0.7</v>
      </c>
      <c r="L2795">
        <v>0.3</v>
      </c>
      <c r="M2795">
        <v>0.7</v>
      </c>
      <c r="N2795">
        <v>457</v>
      </c>
      <c r="O2795">
        <v>35</v>
      </c>
      <c r="P2795">
        <v>0</v>
      </c>
      <c r="Q2795">
        <v>7.11</v>
      </c>
      <c r="R2795" t="s">
        <v>223</v>
      </c>
      <c r="S2795">
        <v>2.71</v>
      </c>
      <c r="T2795">
        <v>3.23</v>
      </c>
      <c r="U2795">
        <v>144</v>
      </c>
    </row>
    <row r="2796" spans="1:21" ht="15" customHeight="1" x14ac:dyDescent="0.25">
      <c r="A2796" s="2">
        <v>45325.22278935185</v>
      </c>
      <c r="B2796" t="s">
        <v>309</v>
      </c>
      <c r="C2796" t="s">
        <v>368</v>
      </c>
      <c r="D2796">
        <v>2</v>
      </c>
      <c r="E2796" t="s">
        <v>211</v>
      </c>
      <c r="F2796" t="s">
        <v>373</v>
      </c>
      <c r="G2796">
        <f>(O2796/(N2796+O2796+P2796))*100</f>
        <v>0.1644736842105263</v>
      </c>
      <c r="H2796">
        <f>(P2796/(O2796+P2796+N2796))*100</f>
        <v>0</v>
      </c>
      <c r="I2796">
        <v>0.16</v>
      </c>
      <c r="J2796">
        <f>(N2796/(P2796+O2796+N2796))*100</f>
        <v>99.835526315789465</v>
      </c>
      <c r="K2796">
        <v>0.8</v>
      </c>
      <c r="L2796">
        <v>0.3</v>
      </c>
      <c r="M2796">
        <v>0.7</v>
      </c>
      <c r="N2796">
        <v>607</v>
      </c>
      <c r="O2796">
        <v>1</v>
      </c>
      <c r="P2796">
        <v>0</v>
      </c>
      <c r="Q2796">
        <v>0.16</v>
      </c>
      <c r="R2796" t="s">
        <v>258</v>
      </c>
      <c r="S2796">
        <v>0.04</v>
      </c>
      <c r="T2796">
        <v>0.04</v>
      </c>
    </row>
    <row r="2797" spans="1:21" ht="15" customHeight="1" x14ac:dyDescent="0.25">
      <c r="A2797" s="2">
        <v>45253.659722222219</v>
      </c>
      <c r="B2797" t="s">
        <v>309</v>
      </c>
      <c r="C2797" t="s">
        <v>213</v>
      </c>
      <c r="D2797">
        <v>3</v>
      </c>
      <c r="E2797" t="s">
        <v>299</v>
      </c>
      <c r="F2797" t="s">
        <v>388</v>
      </c>
      <c r="G2797">
        <v>0.140056022</v>
      </c>
      <c r="H2797">
        <v>0</v>
      </c>
      <c r="I2797">
        <v>0.140056022</v>
      </c>
      <c r="J2797">
        <v>99.859943979999997</v>
      </c>
      <c r="K2797">
        <v>0.8</v>
      </c>
      <c r="L2797">
        <v>0.2</v>
      </c>
      <c r="M2797">
        <v>0.7</v>
      </c>
      <c r="N2797">
        <v>713</v>
      </c>
      <c r="O2797">
        <v>1</v>
      </c>
      <c r="P2797">
        <v>0</v>
      </c>
      <c r="Q2797">
        <v>0.14000000000000001</v>
      </c>
      <c r="R2797" t="s">
        <v>245</v>
      </c>
      <c r="S2797">
        <v>2.78</v>
      </c>
      <c r="T2797">
        <v>3.31</v>
      </c>
    </row>
    <row r="2798" spans="1:21" ht="15" customHeight="1" x14ac:dyDescent="0.25">
      <c r="A2798" s="2">
        <v>45253.897916666669</v>
      </c>
      <c r="B2798" t="s">
        <v>309</v>
      </c>
      <c r="C2798" t="s">
        <v>215</v>
      </c>
      <c r="D2798">
        <v>2</v>
      </c>
      <c r="E2798" t="s">
        <v>299</v>
      </c>
      <c r="F2798" t="s">
        <v>388</v>
      </c>
      <c r="G2798">
        <v>10.3988604</v>
      </c>
      <c r="H2798">
        <v>0</v>
      </c>
      <c r="I2798">
        <v>10.3988604</v>
      </c>
      <c r="J2798">
        <v>89.601139599999996</v>
      </c>
      <c r="K2798">
        <v>0.8</v>
      </c>
      <c r="L2798">
        <v>0.2</v>
      </c>
      <c r="M2798">
        <v>0.7</v>
      </c>
      <c r="N2798">
        <v>629</v>
      </c>
      <c r="O2798">
        <v>73</v>
      </c>
      <c r="P2798">
        <v>0</v>
      </c>
      <c r="Q2798">
        <v>10.4</v>
      </c>
      <c r="R2798" t="s">
        <v>216</v>
      </c>
      <c r="S2798">
        <v>0.27</v>
      </c>
      <c r="T2798">
        <v>0.28999999999999998</v>
      </c>
    </row>
    <row r="2799" spans="1:21" ht="15" customHeight="1" x14ac:dyDescent="0.25">
      <c r="A2799" s="2">
        <v>45254.070138888892</v>
      </c>
      <c r="B2799" t="s">
        <v>309</v>
      </c>
      <c r="C2799" t="s">
        <v>217</v>
      </c>
      <c r="D2799">
        <v>2</v>
      </c>
      <c r="E2799" t="s">
        <v>299</v>
      </c>
      <c r="F2799" t="s">
        <v>388</v>
      </c>
      <c r="G2799">
        <v>7.3342736249999998</v>
      </c>
      <c r="H2799">
        <v>0</v>
      </c>
      <c r="I2799">
        <v>7.3342736249999998</v>
      </c>
      <c r="J2799">
        <v>92.665726379999995</v>
      </c>
      <c r="K2799">
        <v>0.8</v>
      </c>
      <c r="L2799">
        <v>0.2</v>
      </c>
      <c r="M2799">
        <v>0.7</v>
      </c>
      <c r="N2799">
        <v>657</v>
      </c>
      <c r="O2799">
        <v>52</v>
      </c>
      <c r="P2799">
        <v>0</v>
      </c>
      <c r="Q2799">
        <v>7.33</v>
      </c>
      <c r="R2799" t="s">
        <v>225</v>
      </c>
      <c r="S2799">
        <v>0.25</v>
      </c>
      <c r="T2799">
        <v>0.27</v>
      </c>
    </row>
    <row r="2800" spans="1:21" ht="15" customHeight="1" x14ac:dyDescent="0.25">
      <c r="A2800" s="2">
        <v>45316.577777777777</v>
      </c>
      <c r="B2800" t="s">
        <v>309</v>
      </c>
      <c r="C2800" t="s">
        <v>219</v>
      </c>
      <c r="D2800">
        <v>3</v>
      </c>
      <c r="E2800" t="s">
        <v>299</v>
      </c>
      <c r="F2800" t="s">
        <v>388</v>
      </c>
      <c r="G2800">
        <v>0.77279752700000004</v>
      </c>
      <c r="H2800">
        <v>0</v>
      </c>
      <c r="I2800">
        <v>0.77279752700000004</v>
      </c>
      <c r="J2800">
        <v>99.227202469999995</v>
      </c>
      <c r="K2800">
        <v>0.8</v>
      </c>
      <c r="L2800">
        <v>0.2</v>
      </c>
      <c r="M2800">
        <v>0.7</v>
      </c>
      <c r="N2800">
        <v>642</v>
      </c>
      <c r="O2800">
        <v>5</v>
      </c>
      <c r="P2800">
        <v>0</v>
      </c>
      <c r="Q2800">
        <v>0.77</v>
      </c>
      <c r="R2800" t="s">
        <v>218</v>
      </c>
      <c r="S2800">
        <v>3.09</v>
      </c>
      <c r="T2800">
        <v>4.71</v>
      </c>
    </row>
    <row r="2801" spans="1:21" ht="15" customHeight="1" x14ac:dyDescent="0.25">
      <c r="A2801" s="2">
        <v>45320.925694444442</v>
      </c>
      <c r="B2801" t="s">
        <v>309</v>
      </c>
      <c r="C2801" t="s">
        <v>221</v>
      </c>
      <c r="D2801">
        <v>2</v>
      </c>
      <c r="E2801" t="s">
        <v>299</v>
      </c>
      <c r="F2801" t="s">
        <v>388</v>
      </c>
      <c r="G2801">
        <v>0.92879257000000004</v>
      </c>
      <c r="H2801">
        <v>0</v>
      </c>
      <c r="I2801">
        <v>0.92879257000000004</v>
      </c>
      <c r="J2801">
        <v>99.071207430000001</v>
      </c>
      <c r="K2801">
        <v>0.8</v>
      </c>
      <c r="L2801">
        <v>0.3</v>
      </c>
      <c r="M2801">
        <v>0.7</v>
      </c>
      <c r="N2801">
        <v>640</v>
      </c>
      <c r="O2801">
        <v>6</v>
      </c>
      <c r="P2801">
        <v>0</v>
      </c>
      <c r="Q2801">
        <v>0.93</v>
      </c>
      <c r="R2801" t="s">
        <v>235</v>
      </c>
      <c r="S2801">
        <v>0.08</v>
      </c>
      <c r="T2801">
        <v>0.08</v>
      </c>
    </row>
    <row r="2802" spans="1:21" ht="15" customHeight="1" x14ac:dyDescent="0.25">
      <c r="A2802" s="2">
        <v>45323.673460648148</v>
      </c>
      <c r="B2802" t="s">
        <v>309</v>
      </c>
      <c r="C2802" t="s">
        <v>322</v>
      </c>
      <c r="D2802">
        <v>3</v>
      </c>
      <c r="E2802" t="s">
        <v>299</v>
      </c>
      <c r="F2802" t="s">
        <v>388</v>
      </c>
      <c r="G2802">
        <f>(O2802/(N2802+O2802+P2802))*100</f>
        <v>1.2251148545176112</v>
      </c>
      <c r="H2802">
        <f>(P2802/(O2802+P2802+N2802))*100</f>
        <v>0</v>
      </c>
      <c r="I2802">
        <v>1.23</v>
      </c>
      <c r="J2802">
        <f>(N2802/(P2802+O2802+N2802))*100</f>
        <v>98.774885145482401</v>
      </c>
      <c r="K2802">
        <v>0.8</v>
      </c>
      <c r="L2802">
        <v>0.3</v>
      </c>
      <c r="M2802">
        <v>0.7</v>
      </c>
      <c r="N2802">
        <v>645</v>
      </c>
      <c r="O2802">
        <v>8</v>
      </c>
      <c r="P2802">
        <v>0</v>
      </c>
      <c r="Q2802">
        <v>1.23</v>
      </c>
      <c r="R2802" t="s">
        <v>256</v>
      </c>
      <c r="S2802">
        <v>2.5499999999999998</v>
      </c>
      <c r="T2802">
        <v>3.02</v>
      </c>
      <c r="U2802">
        <v>35</v>
      </c>
    </row>
    <row r="2803" spans="1:21" ht="15" customHeight="1" x14ac:dyDescent="0.25">
      <c r="A2803" s="2">
        <v>45323.668206018519</v>
      </c>
      <c r="B2803" t="s">
        <v>309</v>
      </c>
      <c r="C2803" t="s">
        <v>322</v>
      </c>
      <c r="D2803">
        <v>3</v>
      </c>
      <c r="E2803" t="s">
        <v>299</v>
      </c>
      <c r="F2803" t="s">
        <v>388</v>
      </c>
      <c r="G2803" t="e">
        <f>(O2803/(N2803+O2803+P2803))*100</f>
        <v>#VALUE!</v>
      </c>
      <c r="H2803" t="e">
        <f>(P2803/(O2803+P2803+N2803))*100</f>
        <v>#VALUE!</v>
      </c>
      <c r="I2803">
        <v>1.83</v>
      </c>
      <c r="J2803" t="e">
        <f>(N2803/(P2803+O2803+N2803))*100</f>
        <v>#VALUE!</v>
      </c>
      <c r="K2803">
        <v>0.7</v>
      </c>
      <c r="L2803">
        <v>0.3</v>
      </c>
      <c r="M2803">
        <v>0.7</v>
      </c>
      <c r="N2803">
        <v>645</v>
      </c>
      <c r="O2803" t="s">
        <v>266</v>
      </c>
      <c r="P2803" t="s">
        <v>266</v>
      </c>
      <c r="Q2803">
        <v>1.83</v>
      </c>
      <c r="R2803" t="s">
        <v>238</v>
      </c>
      <c r="S2803">
        <v>2.5499999999999998</v>
      </c>
      <c r="T2803">
        <v>3.02</v>
      </c>
      <c r="U2803">
        <v>31</v>
      </c>
    </row>
    <row r="2804" spans="1:21" ht="15" customHeight="1" x14ac:dyDescent="0.25">
      <c r="A2804" s="2">
        <v>45325.082731481481</v>
      </c>
      <c r="B2804" t="s">
        <v>309</v>
      </c>
      <c r="C2804" t="s">
        <v>368</v>
      </c>
      <c r="D2804">
        <v>2</v>
      </c>
      <c r="E2804" t="s">
        <v>299</v>
      </c>
      <c r="F2804" t="s">
        <v>388</v>
      </c>
      <c r="G2804">
        <f>(O2804/(N2804+O2804+P2804))*100</f>
        <v>0.94637223974763407</v>
      </c>
      <c r="H2804">
        <f>(P2804/(O2804+P2804+N2804))*100</f>
        <v>0</v>
      </c>
      <c r="I2804">
        <v>0.95</v>
      </c>
      <c r="J2804">
        <f>(N2804/(P2804+O2804+N2804))*100</f>
        <v>99.053627760252354</v>
      </c>
      <c r="K2804">
        <v>0.8</v>
      </c>
      <c r="L2804">
        <v>0.3</v>
      </c>
      <c r="M2804">
        <v>0.7</v>
      </c>
      <c r="N2804">
        <v>628</v>
      </c>
      <c r="O2804">
        <v>6</v>
      </c>
      <c r="P2804">
        <v>0</v>
      </c>
      <c r="Q2804">
        <v>0.95</v>
      </c>
      <c r="R2804" t="s">
        <v>297</v>
      </c>
      <c r="S2804">
        <v>0.12</v>
      </c>
      <c r="T2804">
        <v>0.12</v>
      </c>
    </row>
    <row r="2805" spans="1:21" ht="15" customHeight="1" x14ac:dyDescent="0.25">
      <c r="A2805" s="2">
        <v>45253.661805555559</v>
      </c>
      <c r="B2805" t="s">
        <v>309</v>
      </c>
      <c r="C2805" t="s">
        <v>213</v>
      </c>
      <c r="D2805">
        <v>3</v>
      </c>
      <c r="E2805" t="s">
        <v>300</v>
      </c>
      <c r="F2805" t="s">
        <v>388</v>
      </c>
      <c r="G2805">
        <v>5.3571428570000004</v>
      </c>
      <c r="H2805">
        <v>2.2321428569999999</v>
      </c>
      <c r="I2805">
        <v>7.5892857139999998</v>
      </c>
      <c r="J2805">
        <v>92.410714290000001</v>
      </c>
      <c r="K2805">
        <v>0.8</v>
      </c>
      <c r="L2805">
        <v>0.2</v>
      </c>
      <c r="M2805">
        <v>0.7</v>
      </c>
      <c r="N2805">
        <v>414</v>
      </c>
      <c r="O2805">
        <v>24</v>
      </c>
      <c r="P2805">
        <v>10</v>
      </c>
      <c r="Q2805">
        <v>7.59</v>
      </c>
      <c r="R2805" t="s">
        <v>265</v>
      </c>
      <c r="S2805">
        <v>2.94</v>
      </c>
      <c r="T2805">
        <v>3.45</v>
      </c>
    </row>
    <row r="2806" spans="1:21" ht="15" customHeight="1" x14ac:dyDescent="0.25">
      <c r="A2806" s="2">
        <v>45253.898611111108</v>
      </c>
      <c r="B2806" t="s">
        <v>309</v>
      </c>
      <c r="C2806" t="s">
        <v>215</v>
      </c>
      <c r="D2806">
        <v>2</v>
      </c>
      <c r="E2806" t="s">
        <v>300</v>
      </c>
      <c r="F2806" t="s">
        <v>388</v>
      </c>
      <c r="G2806">
        <v>5.3833605220000003</v>
      </c>
      <c r="H2806">
        <v>0</v>
      </c>
      <c r="I2806">
        <v>5.3833605220000003</v>
      </c>
      <c r="J2806">
        <v>94.616639480000003</v>
      </c>
      <c r="K2806">
        <v>0.8</v>
      </c>
      <c r="L2806">
        <v>0.2</v>
      </c>
      <c r="M2806">
        <v>0.7</v>
      </c>
      <c r="N2806">
        <v>580</v>
      </c>
      <c r="O2806">
        <v>33</v>
      </c>
      <c r="P2806">
        <v>0</v>
      </c>
      <c r="Q2806">
        <v>5.38</v>
      </c>
      <c r="R2806" t="s">
        <v>243</v>
      </c>
      <c r="S2806">
        <v>0.14000000000000001</v>
      </c>
      <c r="T2806">
        <v>0.15</v>
      </c>
    </row>
    <row r="2807" spans="1:21" ht="15" customHeight="1" x14ac:dyDescent="0.25">
      <c r="A2807" s="2">
        <v>45254.070833333331</v>
      </c>
      <c r="B2807" t="s">
        <v>309</v>
      </c>
      <c r="C2807" t="s">
        <v>217</v>
      </c>
      <c r="D2807">
        <v>2</v>
      </c>
      <c r="E2807" t="s">
        <v>300</v>
      </c>
      <c r="F2807" t="s">
        <v>388</v>
      </c>
      <c r="G2807">
        <v>6.4124783360000004</v>
      </c>
      <c r="H2807">
        <v>0</v>
      </c>
      <c r="I2807">
        <v>6.4124783360000004</v>
      </c>
      <c r="J2807">
        <v>93.587521659999993</v>
      </c>
      <c r="K2807">
        <v>0.8</v>
      </c>
      <c r="L2807">
        <v>0.2</v>
      </c>
      <c r="M2807">
        <v>0.7</v>
      </c>
      <c r="N2807">
        <v>540</v>
      </c>
      <c r="O2807">
        <v>37</v>
      </c>
      <c r="P2807">
        <v>0</v>
      </c>
      <c r="Q2807">
        <v>6.41</v>
      </c>
      <c r="R2807" t="s">
        <v>227</v>
      </c>
      <c r="S2807">
        <v>0.19</v>
      </c>
      <c r="T2807">
        <v>0.21</v>
      </c>
    </row>
    <row r="2808" spans="1:21" ht="15" customHeight="1" x14ac:dyDescent="0.25">
      <c r="A2808" s="2">
        <v>45316.578472222223</v>
      </c>
      <c r="B2808" t="s">
        <v>309</v>
      </c>
      <c r="C2808" t="s">
        <v>219</v>
      </c>
      <c r="D2808">
        <v>3</v>
      </c>
      <c r="E2808" t="s">
        <v>300</v>
      </c>
      <c r="F2808" t="s">
        <v>388</v>
      </c>
      <c r="G2808">
        <v>2.1201413429999998</v>
      </c>
      <c r="H2808">
        <v>0</v>
      </c>
      <c r="I2808">
        <v>2.1201413429999998</v>
      </c>
      <c r="J2808">
        <v>97.879858659999996</v>
      </c>
      <c r="K2808">
        <v>0.8</v>
      </c>
      <c r="L2808">
        <v>0.2</v>
      </c>
      <c r="M2808">
        <v>0.7</v>
      </c>
      <c r="N2808">
        <v>277</v>
      </c>
      <c r="O2808">
        <v>6</v>
      </c>
      <c r="P2808">
        <v>0</v>
      </c>
      <c r="Q2808">
        <v>2.12</v>
      </c>
      <c r="R2808" t="s">
        <v>280</v>
      </c>
      <c r="S2808">
        <v>3.24</v>
      </c>
      <c r="T2808">
        <v>4.84</v>
      </c>
    </row>
    <row r="2809" spans="1:21" ht="15" customHeight="1" x14ac:dyDescent="0.25">
      <c r="A2809" s="2">
        <v>45320.927083333336</v>
      </c>
      <c r="B2809" t="s">
        <v>309</v>
      </c>
      <c r="C2809" t="s">
        <v>221</v>
      </c>
      <c r="D2809">
        <v>2</v>
      </c>
      <c r="E2809" t="s">
        <v>300</v>
      </c>
      <c r="F2809" t="s">
        <v>388</v>
      </c>
      <c r="G2809">
        <v>2.673796791</v>
      </c>
      <c r="H2809">
        <v>0</v>
      </c>
      <c r="I2809">
        <v>2.673796791</v>
      </c>
      <c r="J2809">
        <v>97.326203210000003</v>
      </c>
      <c r="K2809">
        <v>0.8</v>
      </c>
      <c r="L2809">
        <v>0.3</v>
      </c>
      <c r="M2809">
        <v>0.7</v>
      </c>
      <c r="N2809">
        <v>546</v>
      </c>
      <c r="O2809">
        <v>15</v>
      </c>
      <c r="P2809">
        <v>0</v>
      </c>
      <c r="Q2809">
        <v>2.67</v>
      </c>
      <c r="R2809" t="s">
        <v>235</v>
      </c>
      <c r="S2809">
        <v>0.1</v>
      </c>
      <c r="T2809">
        <v>0.11</v>
      </c>
    </row>
    <row r="2810" spans="1:21" ht="15" customHeight="1" x14ac:dyDescent="0.25">
      <c r="A2810" s="2">
        <v>45323.674861111111</v>
      </c>
      <c r="B2810" t="s">
        <v>309</v>
      </c>
      <c r="C2810" t="s">
        <v>322</v>
      </c>
      <c r="D2810">
        <v>3</v>
      </c>
      <c r="E2810" t="s">
        <v>300</v>
      </c>
      <c r="F2810" t="s">
        <v>388</v>
      </c>
      <c r="G2810" t="e">
        <f>(O2810/(N2810+O2810+P2810))*100</f>
        <v>#VALUE!</v>
      </c>
      <c r="H2810" t="e">
        <f>(P2810/(O2810+P2810+N2810))*100</f>
        <v>#VALUE!</v>
      </c>
      <c r="I2810">
        <v>6.24</v>
      </c>
      <c r="J2810" t="e">
        <f>(N2810/(P2810+O2810+N2810))*100</f>
        <v>#VALUE!</v>
      </c>
      <c r="K2810">
        <v>0.8</v>
      </c>
      <c r="L2810">
        <v>0.3</v>
      </c>
      <c r="M2810">
        <v>0.7</v>
      </c>
      <c r="N2810">
        <v>451</v>
      </c>
      <c r="O2810" t="s">
        <v>266</v>
      </c>
      <c r="P2810" t="s">
        <v>266</v>
      </c>
      <c r="Q2810">
        <v>6.24</v>
      </c>
      <c r="R2810" t="s">
        <v>244</v>
      </c>
      <c r="S2810">
        <v>2.78</v>
      </c>
      <c r="T2810">
        <v>3.42</v>
      </c>
      <c r="U2810">
        <v>104</v>
      </c>
    </row>
    <row r="2811" spans="1:21" ht="15" customHeight="1" x14ac:dyDescent="0.25">
      <c r="A2811" s="2">
        <v>45323.669687499998</v>
      </c>
      <c r="B2811" t="s">
        <v>309</v>
      </c>
      <c r="C2811" t="s">
        <v>322</v>
      </c>
      <c r="D2811">
        <v>3</v>
      </c>
      <c r="E2811" t="s">
        <v>300</v>
      </c>
      <c r="F2811" t="s">
        <v>388</v>
      </c>
      <c r="G2811" t="e">
        <f>(O2811/(N2811+O2811+P2811))*100</f>
        <v>#VALUE!</v>
      </c>
      <c r="H2811" t="e">
        <f>(P2811/(O2811+P2811+N2811))*100</f>
        <v>#VALUE!</v>
      </c>
      <c r="I2811">
        <v>8.89</v>
      </c>
      <c r="J2811" t="e">
        <f>(N2811/(P2811+O2811+N2811))*100</f>
        <v>#VALUE!</v>
      </c>
      <c r="K2811">
        <v>0.7</v>
      </c>
      <c r="L2811">
        <v>0.3</v>
      </c>
      <c r="M2811">
        <v>0.7</v>
      </c>
      <c r="N2811">
        <v>451</v>
      </c>
      <c r="O2811" t="s">
        <v>266</v>
      </c>
      <c r="P2811" t="s">
        <v>266</v>
      </c>
      <c r="Q2811">
        <v>8.89</v>
      </c>
      <c r="R2811" t="s">
        <v>275</v>
      </c>
      <c r="S2811">
        <v>2.78</v>
      </c>
      <c r="T2811">
        <v>3.42</v>
      </c>
      <c r="U2811">
        <v>90</v>
      </c>
    </row>
    <row r="2812" spans="1:21" ht="15" customHeight="1" x14ac:dyDescent="0.25">
      <c r="A2812" s="2">
        <v>45325.08388888889</v>
      </c>
      <c r="B2812" t="s">
        <v>309</v>
      </c>
      <c r="C2812" t="s">
        <v>368</v>
      </c>
      <c r="D2812">
        <v>2</v>
      </c>
      <c r="E2812" t="s">
        <v>300</v>
      </c>
      <c r="F2812" t="s">
        <v>388</v>
      </c>
      <c r="G2812">
        <f>(O2812/(N2812+O2812+P2812))*100</f>
        <v>2.8368794326241136</v>
      </c>
      <c r="H2812">
        <f>(P2812/(O2812+P2812+N2812))*100</f>
        <v>0</v>
      </c>
      <c r="I2812">
        <v>2.84</v>
      </c>
      <c r="J2812">
        <f>(N2812/(P2812+O2812+N2812))*100</f>
        <v>97.163120567375884</v>
      </c>
      <c r="K2812">
        <v>0.8</v>
      </c>
      <c r="L2812">
        <v>0.3</v>
      </c>
      <c r="M2812">
        <v>0.7</v>
      </c>
      <c r="N2812">
        <v>548</v>
      </c>
      <c r="O2812">
        <v>16</v>
      </c>
      <c r="P2812">
        <v>0</v>
      </c>
      <c r="Q2812">
        <v>2.84</v>
      </c>
      <c r="R2812" t="s">
        <v>278</v>
      </c>
      <c r="S2812">
        <v>0.09</v>
      </c>
      <c r="T2812">
        <v>0.1</v>
      </c>
    </row>
    <row r="2813" spans="1:21" ht="15" customHeight="1" x14ac:dyDescent="0.25">
      <c r="A2813" s="2">
        <v>45253.663194444445</v>
      </c>
      <c r="B2813" t="s">
        <v>309</v>
      </c>
      <c r="C2813" t="s">
        <v>213</v>
      </c>
      <c r="D2813">
        <v>3</v>
      </c>
      <c r="E2813" t="s">
        <v>301</v>
      </c>
      <c r="F2813" t="s">
        <v>388</v>
      </c>
      <c r="G2813">
        <v>0</v>
      </c>
      <c r="H2813">
        <v>0.14619883</v>
      </c>
      <c r="I2813">
        <v>0.14619883</v>
      </c>
      <c r="J2813">
        <v>99.853801169999997</v>
      </c>
      <c r="K2813">
        <v>0.8</v>
      </c>
      <c r="L2813">
        <v>0.2</v>
      </c>
      <c r="M2813">
        <v>0.7</v>
      </c>
      <c r="N2813">
        <v>683</v>
      </c>
      <c r="O2813">
        <v>0</v>
      </c>
      <c r="P2813">
        <v>1</v>
      </c>
      <c r="Q2813">
        <v>0.15</v>
      </c>
      <c r="R2813" t="s">
        <v>214</v>
      </c>
      <c r="S2813">
        <v>2.73</v>
      </c>
      <c r="T2813">
        <v>3.65</v>
      </c>
    </row>
    <row r="2814" spans="1:21" ht="15" customHeight="1" x14ac:dyDescent="0.25">
      <c r="A2814" s="2">
        <v>45253.899305555555</v>
      </c>
      <c r="B2814" t="s">
        <v>309</v>
      </c>
      <c r="C2814" t="s">
        <v>215</v>
      </c>
      <c r="D2814">
        <v>2</v>
      </c>
      <c r="E2814" t="s">
        <v>301</v>
      </c>
      <c r="F2814" t="s">
        <v>388</v>
      </c>
      <c r="G2814">
        <v>4.9180327869999996</v>
      </c>
      <c r="H2814">
        <v>0</v>
      </c>
      <c r="I2814">
        <v>4.9180327869999996</v>
      </c>
      <c r="J2814">
        <v>95.081967210000002</v>
      </c>
      <c r="K2814">
        <v>0.8</v>
      </c>
      <c r="L2814">
        <v>0.2</v>
      </c>
      <c r="M2814">
        <v>0.7</v>
      </c>
      <c r="N2814">
        <v>638</v>
      </c>
      <c r="O2814">
        <v>33</v>
      </c>
      <c r="P2814">
        <v>0</v>
      </c>
      <c r="Q2814">
        <v>4.92</v>
      </c>
      <c r="R2814" t="s">
        <v>243</v>
      </c>
      <c r="S2814">
        <v>0.12</v>
      </c>
      <c r="T2814">
        <v>0.13</v>
      </c>
    </row>
    <row r="2815" spans="1:21" ht="15" customHeight="1" x14ac:dyDescent="0.25">
      <c r="A2815" s="2">
        <v>45254.071527777778</v>
      </c>
      <c r="B2815" t="s">
        <v>309</v>
      </c>
      <c r="C2815" t="s">
        <v>217</v>
      </c>
      <c r="D2815">
        <v>2</v>
      </c>
      <c r="E2815" t="s">
        <v>301</v>
      </c>
      <c r="F2815" t="s">
        <v>388</v>
      </c>
      <c r="G2815">
        <v>13.167259789999999</v>
      </c>
      <c r="H2815">
        <v>0</v>
      </c>
      <c r="I2815">
        <v>13.167259789999999</v>
      </c>
      <c r="J2815">
        <v>86.832740209999997</v>
      </c>
      <c r="K2815">
        <v>0.8</v>
      </c>
      <c r="L2815">
        <v>0.2</v>
      </c>
      <c r="M2815">
        <v>0.7</v>
      </c>
      <c r="N2815">
        <v>488</v>
      </c>
      <c r="O2815">
        <v>74</v>
      </c>
      <c r="P2815">
        <v>0</v>
      </c>
      <c r="Q2815">
        <v>13.17</v>
      </c>
      <c r="R2815" t="s">
        <v>218</v>
      </c>
      <c r="S2815">
        <v>0.49</v>
      </c>
      <c r="T2815">
        <v>0.53</v>
      </c>
    </row>
    <row r="2816" spans="1:21" ht="15" customHeight="1" x14ac:dyDescent="0.25">
      <c r="A2816" s="2">
        <v>45316.579861111109</v>
      </c>
      <c r="B2816" t="s">
        <v>309</v>
      </c>
      <c r="C2816" t="s">
        <v>219</v>
      </c>
      <c r="D2816">
        <v>3</v>
      </c>
      <c r="E2816" t="s">
        <v>301</v>
      </c>
      <c r="F2816" t="s">
        <v>388</v>
      </c>
      <c r="G2816">
        <v>0</v>
      </c>
      <c r="H2816">
        <v>0</v>
      </c>
      <c r="I2816">
        <v>0</v>
      </c>
      <c r="J2816">
        <v>100</v>
      </c>
      <c r="K2816">
        <v>0.8</v>
      </c>
      <c r="L2816">
        <v>0.2</v>
      </c>
      <c r="M2816">
        <v>0.7</v>
      </c>
      <c r="N2816">
        <v>663</v>
      </c>
      <c r="O2816">
        <v>0</v>
      </c>
      <c r="P2816">
        <v>0</v>
      </c>
      <c r="Q2816">
        <v>0</v>
      </c>
      <c r="R2816" t="s">
        <v>227</v>
      </c>
      <c r="S2816">
        <v>3.2</v>
      </c>
      <c r="T2816">
        <v>4.67</v>
      </c>
    </row>
    <row r="2817" spans="1:21" ht="15" customHeight="1" x14ac:dyDescent="0.25">
      <c r="A2817" s="2">
        <v>45320.927777777775</v>
      </c>
      <c r="B2817" t="s">
        <v>309</v>
      </c>
      <c r="C2817" t="s">
        <v>221</v>
      </c>
      <c r="D2817">
        <v>2</v>
      </c>
      <c r="E2817" t="s">
        <v>301</v>
      </c>
      <c r="F2817" t="s">
        <v>388</v>
      </c>
      <c r="G2817">
        <v>0.14598540099999999</v>
      </c>
      <c r="H2817">
        <v>0</v>
      </c>
      <c r="I2817">
        <v>0.14598540099999999</v>
      </c>
      <c r="J2817">
        <v>99.854014599999999</v>
      </c>
      <c r="K2817">
        <v>0.8</v>
      </c>
      <c r="L2817">
        <v>0.3</v>
      </c>
      <c r="M2817">
        <v>0.7</v>
      </c>
      <c r="N2817">
        <v>684</v>
      </c>
      <c r="O2817">
        <v>1</v>
      </c>
      <c r="P2817">
        <v>0</v>
      </c>
      <c r="Q2817">
        <v>0.15</v>
      </c>
      <c r="R2817" t="s">
        <v>220</v>
      </c>
      <c r="S2817">
        <v>0.02</v>
      </c>
      <c r="T2817">
        <v>0.02</v>
      </c>
    </row>
    <row r="2818" spans="1:21" ht="15" customHeight="1" x14ac:dyDescent="0.25">
      <c r="A2818" s="2">
        <v>45323.675983796296</v>
      </c>
      <c r="B2818" t="s">
        <v>309</v>
      </c>
      <c r="C2818" t="s">
        <v>322</v>
      </c>
      <c r="D2818">
        <v>3</v>
      </c>
      <c r="E2818" t="s">
        <v>301</v>
      </c>
      <c r="F2818" t="s">
        <v>388</v>
      </c>
      <c r="G2818">
        <f>(O2818/(N2818+O2818+P2818))*100</f>
        <v>0.14814814814814814</v>
      </c>
      <c r="H2818">
        <f>(P2818/(O2818+P2818+N2818))*100</f>
        <v>0</v>
      </c>
      <c r="I2818">
        <f>((O2818+P2818)/(P2818+O2818+N2818))*100</f>
        <v>0.14814814814814814</v>
      </c>
      <c r="J2818">
        <f>(N2818/(P2818+O2818+N2818))*100</f>
        <v>99.851851851851848</v>
      </c>
      <c r="K2818">
        <v>0.8</v>
      </c>
      <c r="L2818">
        <v>0.3</v>
      </c>
      <c r="M2818">
        <v>0.7</v>
      </c>
      <c r="N2818">
        <v>674</v>
      </c>
      <c r="O2818">
        <v>1</v>
      </c>
      <c r="P2818">
        <v>0</v>
      </c>
      <c r="Q2818">
        <v>0.15</v>
      </c>
      <c r="R2818" t="s">
        <v>271</v>
      </c>
      <c r="S2818">
        <v>2.73</v>
      </c>
      <c r="T2818">
        <v>3.35</v>
      </c>
      <c r="U2818">
        <v>20</v>
      </c>
    </row>
    <row r="2819" spans="1:21" ht="15" customHeight="1" x14ac:dyDescent="0.25">
      <c r="A2819" s="2">
        <v>45323.670995370368</v>
      </c>
      <c r="B2819" t="s">
        <v>309</v>
      </c>
      <c r="C2819" t="s">
        <v>322</v>
      </c>
      <c r="D2819">
        <v>3</v>
      </c>
      <c r="E2819" t="s">
        <v>301</v>
      </c>
      <c r="F2819" t="s">
        <v>388</v>
      </c>
      <c r="G2819">
        <f>(O2819/(N2819+O2819+P2819))*100</f>
        <v>0.58997050147492625</v>
      </c>
      <c r="H2819">
        <f>(P2819/(O2819+P2819+N2819))*100</f>
        <v>0</v>
      </c>
      <c r="I2819">
        <v>0.59</v>
      </c>
      <c r="J2819">
        <f>(N2819/(P2819+O2819+N2819))*100</f>
        <v>99.410029498525077</v>
      </c>
      <c r="K2819">
        <v>0.7</v>
      </c>
      <c r="L2819">
        <v>0.3</v>
      </c>
      <c r="M2819">
        <v>0.7</v>
      </c>
      <c r="N2819">
        <v>674</v>
      </c>
      <c r="O2819">
        <v>4</v>
      </c>
      <c r="P2819">
        <v>0</v>
      </c>
      <c r="Q2819">
        <v>0.59</v>
      </c>
      <c r="R2819" t="s">
        <v>214</v>
      </c>
      <c r="S2819">
        <v>2.73</v>
      </c>
      <c r="T2819">
        <v>3.35</v>
      </c>
      <c r="U2819">
        <v>17</v>
      </c>
    </row>
    <row r="2820" spans="1:21" ht="15" customHeight="1" x14ac:dyDescent="0.25">
      <c r="A2820" s="2">
        <v>45325.085104166668</v>
      </c>
      <c r="B2820" t="s">
        <v>309</v>
      </c>
      <c r="C2820" t="s">
        <v>368</v>
      </c>
      <c r="D2820">
        <v>2</v>
      </c>
      <c r="E2820" t="s">
        <v>301</v>
      </c>
      <c r="F2820" t="s">
        <v>388</v>
      </c>
      <c r="G2820">
        <f>(O2820/(N2820+O2820+P2820))*100</f>
        <v>0.29673590504451042</v>
      </c>
      <c r="H2820">
        <f>(P2820/(O2820+P2820+N2820))*100</f>
        <v>0</v>
      </c>
      <c r="I2820">
        <v>0.3</v>
      </c>
      <c r="J2820">
        <f>(N2820/(P2820+O2820+N2820))*100</f>
        <v>99.703264094955486</v>
      </c>
      <c r="K2820">
        <v>0.8</v>
      </c>
      <c r="L2820">
        <v>0.3</v>
      </c>
      <c r="M2820">
        <v>0.7</v>
      </c>
      <c r="N2820">
        <v>672</v>
      </c>
      <c r="O2820">
        <v>2</v>
      </c>
      <c r="P2820">
        <v>0</v>
      </c>
      <c r="Q2820">
        <v>0.3</v>
      </c>
      <c r="R2820" t="s">
        <v>249</v>
      </c>
      <c r="S2820">
        <v>0.04</v>
      </c>
      <c r="T2820">
        <v>0.04</v>
      </c>
    </row>
    <row r="2821" spans="1:21" ht="15" customHeight="1" x14ac:dyDescent="0.25">
      <c r="A2821" t="s">
        <v>19</v>
      </c>
      <c r="B2821" t="s">
        <v>20</v>
      </c>
      <c r="C2821" t="s">
        <v>306</v>
      </c>
      <c r="D2821">
        <v>3</v>
      </c>
      <c r="E2821" t="s">
        <v>212</v>
      </c>
      <c r="F2821" t="s">
        <v>373</v>
      </c>
      <c r="G2821">
        <v>62</v>
      </c>
      <c r="H2821">
        <v>3</v>
      </c>
      <c r="I2821">
        <f>G2821+H2821</f>
        <v>65</v>
      </c>
      <c r="J2821">
        <f>100-G2821-H2821</f>
        <v>35</v>
      </c>
      <c r="K2821" t="s">
        <v>19</v>
      </c>
      <c r="L2821" t="s">
        <v>19</v>
      </c>
      <c r="M2821" t="s">
        <v>19</v>
      </c>
      <c r="N2821" t="s">
        <v>19</v>
      </c>
      <c r="O2821" t="s">
        <v>19</v>
      </c>
      <c r="P2821" t="s">
        <v>19</v>
      </c>
      <c r="Q2821">
        <f>I2821</f>
        <v>65</v>
      </c>
      <c r="R2821" t="s">
        <v>19</v>
      </c>
      <c r="S2821" t="s">
        <v>19</v>
      </c>
      <c r="T2821" t="s">
        <v>19</v>
      </c>
    </row>
    <row r="2822" spans="1:21" ht="15" customHeight="1" x14ac:dyDescent="0.25">
      <c r="A2822" t="s">
        <v>19</v>
      </c>
      <c r="B2822" t="s">
        <v>20</v>
      </c>
      <c r="C2822" t="s">
        <v>308</v>
      </c>
      <c r="D2822">
        <v>3</v>
      </c>
      <c r="E2822" t="s">
        <v>212</v>
      </c>
      <c r="F2822" t="s">
        <v>373</v>
      </c>
      <c r="G2822">
        <v>50</v>
      </c>
      <c r="H2822">
        <v>5</v>
      </c>
      <c r="I2822">
        <f>G2822+H2822</f>
        <v>55</v>
      </c>
      <c r="J2822">
        <f>100-G2822-H2822</f>
        <v>45</v>
      </c>
      <c r="K2822" t="s">
        <v>19</v>
      </c>
      <c r="L2822" t="s">
        <v>19</v>
      </c>
      <c r="M2822" t="s">
        <v>19</v>
      </c>
      <c r="N2822" t="s">
        <v>19</v>
      </c>
      <c r="O2822" t="s">
        <v>19</v>
      </c>
      <c r="P2822" t="s">
        <v>19</v>
      </c>
      <c r="Q2822">
        <f>I2822</f>
        <v>55</v>
      </c>
      <c r="R2822" t="s">
        <v>19</v>
      </c>
      <c r="S2822" t="s">
        <v>19</v>
      </c>
      <c r="T2822" t="s">
        <v>19</v>
      </c>
    </row>
    <row r="2823" spans="1:21" ht="15" customHeight="1" x14ac:dyDescent="0.25">
      <c r="A2823" t="s">
        <v>19</v>
      </c>
      <c r="B2823" t="s">
        <v>20</v>
      </c>
      <c r="C2823" t="s">
        <v>22</v>
      </c>
      <c r="D2823">
        <v>3</v>
      </c>
      <c r="E2823" t="s">
        <v>212</v>
      </c>
      <c r="F2823" t="s">
        <v>373</v>
      </c>
      <c r="G2823">
        <v>20</v>
      </c>
      <c r="H2823">
        <v>0</v>
      </c>
      <c r="I2823">
        <f>G2823+H2823</f>
        <v>20</v>
      </c>
      <c r="J2823">
        <f>100-G2823-H2823</f>
        <v>80</v>
      </c>
      <c r="K2823" t="s">
        <v>19</v>
      </c>
      <c r="L2823" t="s">
        <v>19</v>
      </c>
      <c r="M2823" t="s">
        <v>19</v>
      </c>
      <c r="N2823" t="s">
        <v>19</v>
      </c>
      <c r="O2823" t="s">
        <v>19</v>
      </c>
      <c r="P2823" t="s">
        <v>19</v>
      </c>
      <c r="Q2823">
        <f>I2823</f>
        <v>20</v>
      </c>
      <c r="R2823" t="s">
        <v>19</v>
      </c>
      <c r="S2823" t="s">
        <v>19</v>
      </c>
      <c r="T2823" t="s">
        <v>19</v>
      </c>
    </row>
    <row r="2824" spans="1:21" ht="15" customHeight="1" x14ac:dyDescent="0.25">
      <c r="A2824" t="s">
        <v>19</v>
      </c>
      <c r="B2824" t="s">
        <v>20</v>
      </c>
      <c r="C2824" t="s">
        <v>305</v>
      </c>
      <c r="D2824">
        <v>3</v>
      </c>
      <c r="E2824" t="s">
        <v>212</v>
      </c>
      <c r="F2824" t="s">
        <v>373</v>
      </c>
      <c r="G2824">
        <v>19</v>
      </c>
      <c r="H2824">
        <v>1</v>
      </c>
      <c r="I2824">
        <f>G2824+H2824</f>
        <v>20</v>
      </c>
      <c r="J2824">
        <f>100-G2824-H2824</f>
        <v>80</v>
      </c>
      <c r="K2824" t="s">
        <v>19</v>
      </c>
      <c r="L2824" t="s">
        <v>19</v>
      </c>
      <c r="M2824" t="s">
        <v>19</v>
      </c>
      <c r="N2824" t="s">
        <v>19</v>
      </c>
      <c r="O2824" t="s">
        <v>19</v>
      </c>
      <c r="P2824" t="s">
        <v>19</v>
      </c>
      <c r="Q2824">
        <f>I2824</f>
        <v>20</v>
      </c>
      <c r="R2824" t="s">
        <v>19</v>
      </c>
      <c r="S2824" t="s">
        <v>19</v>
      </c>
      <c r="T2824" t="s">
        <v>19</v>
      </c>
    </row>
    <row r="2825" spans="1:21" ht="15" customHeight="1" x14ac:dyDescent="0.25">
      <c r="A2825" t="s">
        <v>19</v>
      </c>
      <c r="B2825" t="s">
        <v>20</v>
      </c>
      <c r="C2825" t="s">
        <v>307</v>
      </c>
      <c r="D2825">
        <v>3</v>
      </c>
      <c r="E2825" t="s">
        <v>212</v>
      </c>
      <c r="F2825" t="s">
        <v>373</v>
      </c>
      <c r="G2825">
        <v>3</v>
      </c>
      <c r="H2825">
        <v>1</v>
      </c>
      <c r="I2825">
        <f>G2825+H2825</f>
        <v>4</v>
      </c>
      <c r="J2825">
        <f>100-G2825-H2825</f>
        <v>96</v>
      </c>
      <c r="K2825" t="s">
        <v>19</v>
      </c>
      <c r="L2825" t="s">
        <v>19</v>
      </c>
      <c r="M2825" t="s">
        <v>19</v>
      </c>
      <c r="N2825" t="s">
        <v>19</v>
      </c>
      <c r="O2825" t="s">
        <v>19</v>
      </c>
      <c r="P2825" t="s">
        <v>19</v>
      </c>
      <c r="Q2825">
        <f>I2825</f>
        <v>4</v>
      </c>
      <c r="R2825" t="s">
        <v>19</v>
      </c>
      <c r="S2825" t="s">
        <v>19</v>
      </c>
      <c r="T2825" t="s">
        <v>19</v>
      </c>
    </row>
    <row r="2826" spans="1:21" ht="15" customHeight="1" x14ac:dyDescent="0.25">
      <c r="A2826" s="2">
        <v>45253.813888888886</v>
      </c>
      <c r="B2826" t="s">
        <v>309</v>
      </c>
      <c r="C2826" t="s">
        <v>213</v>
      </c>
      <c r="D2826">
        <v>3</v>
      </c>
      <c r="E2826" t="s">
        <v>212</v>
      </c>
      <c r="F2826" t="s">
        <v>373</v>
      </c>
      <c r="G2826">
        <v>68.588469180000004</v>
      </c>
      <c r="H2826">
        <v>0.59642147099999998</v>
      </c>
      <c r="I2826">
        <v>69.184890659999994</v>
      </c>
      <c r="J2826">
        <v>30.815109339999999</v>
      </c>
      <c r="K2826">
        <v>0.8</v>
      </c>
      <c r="L2826">
        <v>0.2</v>
      </c>
      <c r="M2826">
        <v>0.7</v>
      </c>
      <c r="N2826">
        <v>155</v>
      </c>
      <c r="O2826">
        <v>345</v>
      </c>
      <c r="P2826">
        <v>3</v>
      </c>
      <c r="Q2826">
        <v>69.180000000000007</v>
      </c>
      <c r="R2826" t="s">
        <v>248</v>
      </c>
      <c r="S2826">
        <v>3.22</v>
      </c>
      <c r="T2826">
        <v>3.7</v>
      </c>
    </row>
    <row r="2827" spans="1:21" ht="15" customHeight="1" x14ac:dyDescent="0.25">
      <c r="A2827" s="2">
        <v>45253.979166666664</v>
      </c>
      <c r="B2827" t="s">
        <v>309</v>
      </c>
      <c r="C2827" t="s">
        <v>215</v>
      </c>
      <c r="D2827">
        <v>2</v>
      </c>
      <c r="E2827" t="s">
        <v>212</v>
      </c>
      <c r="F2827" t="s">
        <v>373</v>
      </c>
      <c r="G2827">
        <v>22.012578619999999</v>
      </c>
      <c r="H2827">
        <v>0</v>
      </c>
      <c r="I2827">
        <v>22.012578619999999</v>
      </c>
      <c r="J2827">
        <v>77.987421380000001</v>
      </c>
      <c r="K2827">
        <v>0.8</v>
      </c>
      <c r="L2827">
        <v>0.2</v>
      </c>
      <c r="M2827">
        <v>0.7</v>
      </c>
      <c r="N2827">
        <v>496</v>
      </c>
      <c r="O2827">
        <v>140</v>
      </c>
      <c r="P2827">
        <v>0</v>
      </c>
      <c r="Q2827">
        <v>22.01</v>
      </c>
      <c r="R2827" t="s">
        <v>227</v>
      </c>
      <c r="S2827">
        <v>0.53</v>
      </c>
      <c r="T2827">
        <v>0.56999999999999995</v>
      </c>
    </row>
    <row r="2828" spans="1:21" ht="15" customHeight="1" x14ac:dyDescent="0.25">
      <c r="A2828" s="2">
        <v>45254.157638888886</v>
      </c>
      <c r="B2828" t="s">
        <v>309</v>
      </c>
      <c r="C2828" t="s">
        <v>217</v>
      </c>
      <c r="D2828">
        <v>2</v>
      </c>
      <c r="E2828" t="s">
        <v>212</v>
      </c>
      <c r="F2828" t="s">
        <v>373</v>
      </c>
      <c r="G2828">
        <v>29.449838190000001</v>
      </c>
      <c r="H2828">
        <v>0</v>
      </c>
      <c r="I2828">
        <v>29.449838190000001</v>
      </c>
      <c r="J2828">
        <v>70.550161810000006</v>
      </c>
      <c r="K2828">
        <v>0.8</v>
      </c>
      <c r="L2828">
        <v>0.2</v>
      </c>
      <c r="M2828">
        <v>0.7</v>
      </c>
      <c r="N2828">
        <v>436</v>
      </c>
      <c r="O2828">
        <v>182</v>
      </c>
      <c r="P2828">
        <v>0</v>
      </c>
      <c r="Q2828">
        <v>29.45</v>
      </c>
      <c r="R2828" t="s">
        <v>229</v>
      </c>
      <c r="S2828">
        <v>0.75</v>
      </c>
      <c r="T2828">
        <v>0.78</v>
      </c>
    </row>
    <row r="2829" spans="1:21" ht="15" customHeight="1" x14ac:dyDescent="0.25">
      <c r="A2829" s="2">
        <v>45316.492361111108</v>
      </c>
      <c r="B2829" t="s">
        <v>309</v>
      </c>
      <c r="C2829" t="s">
        <v>219</v>
      </c>
      <c r="D2829">
        <v>3</v>
      </c>
      <c r="E2829" t="s">
        <v>212</v>
      </c>
      <c r="F2829" t="s">
        <v>373</v>
      </c>
      <c r="G2829">
        <v>53.260869569999997</v>
      </c>
      <c r="H2829">
        <v>1.4492753620000001</v>
      </c>
      <c r="I2829">
        <v>54.710144929999998</v>
      </c>
      <c r="J2829">
        <v>45.289855070000002</v>
      </c>
      <c r="K2829">
        <v>0.8</v>
      </c>
      <c r="L2829">
        <v>0.2</v>
      </c>
      <c r="M2829">
        <v>0.7</v>
      </c>
      <c r="N2829">
        <v>125</v>
      </c>
      <c r="O2829">
        <v>147</v>
      </c>
      <c r="P2829">
        <v>4</v>
      </c>
      <c r="Q2829">
        <v>54.71</v>
      </c>
      <c r="R2829" t="s">
        <v>216</v>
      </c>
      <c r="S2829">
        <v>3.3</v>
      </c>
      <c r="T2829">
        <v>4.3899999999999997</v>
      </c>
    </row>
    <row r="2830" spans="1:21" ht="15" customHeight="1" x14ac:dyDescent="0.25">
      <c r="A2830" s="2">
        <v>45321.020833333336</v>
      </c>
      <c r="B2830" t="s">
        <v>309</v>
      </c>
      <c r="C2830" t="s">
        <v>221</v>
      </c>
      <c r="D2830">
        <v>2</v>
      </c>
      <c r="E2830" t="s">
        <v>212</v>
      </c>
      <c r="F2830" t="s">
        <v>373</v>
      </c>
      <c r="G2830">
        <v>53.690036900000003</v>
      </c>
      <c r="H2830">
        <v>0</v>
      </c>
      <c r="I2830">
        <v>53.690036900000003</v>
      </c>
      <c r="J2830">
        <v>46.309963099999997</v>
      </c>
      <c r="K2830">
        <v>0.8</v>
      </c>
      <c r="L2830">
        <v>0.3</v>
      </c>
      <c r="M2830">
        <v>0.7</v>
      </c>
      <c r="N2830">
        <v>251</v>
      </c>
      <c r="O2830">
        <v>291</v>
      </c>
      <c r="P2830">
        <v>0</v>
      </c>
      <c r="Q2830">
        <v>53.69</v>
      </c>
      <c r="R2830" t="s">
        <v>262</v>
      </c>
      <c r="S2830">
        <v>1.41</v>
      </c>
      <c r="T2830">
        <v>1.49</v>
      </c>
    </row>
    <row r="2831" spans="1:21" ht="15" customHeight="1" x14ac:dyDescent="0.25">
      <c r="A2831" t="s">
        <v>19</v>
      </c>
      <c r="B2831" t="s">
        <v>20</v>
      </c>
      <c r="C2831" t="s">
        <v>320</v>
      </c>
      <c r="D2831">
        <v>3</v>
      </c>
      <c r="E2831" t="s">
        <v>212</v>
      </c>
      <c r="F2831" t="s">
        <v>373</v>
      </c>
      <c r="G2831">
        <v>0</v>
      </c>
      <c r="H2831">
        <v>0</v>
      </c>
      <c r="I2831">
        <f>100-J2831</f>
        <v>0</v>
      </c>
      <c r="J2831">
        <f>100-G2831-H2831</f>
        <v>100</v>
      </c>
      <c r="K2831" t="s">
        <v>19</v>
      </c>
      <c r="L2831" t="s">
        <v>19</v>
      </c>
      <c r="M2831" t="s">
        <v>19</v>
      </c>
      <c r="N2831" t="s">
        <v>19</v>
      </c>
      <c r="O2831" t="s">
        <v>19</v>
      </c>
      <c r="P2831" t="s">
        <v>19</v>
      </c>
      <c r="Q2831">
        <f>I2831</f>
        <v>0</v>
      </c>
      <c r="R2831" t="s">
        <v>19</v>
      </c>
      <c r="S2831" t="s">
        <v>19</v>
      </c>
      <c r="T2831" t="s">
        <v>19</v>
      </c>
    </row>
    <row r="2832" spans="1:21" ht="15" customHeight="1" x14ac:dyDescent="0.25">
      <c r="A2832" s="2">
        <v>45323.666064814817</v>
      </c>
      <c r="B2832" t="s">
        <v>309</v>
      </c>
      <c r="C2832" t="s">
        <v>322</v>
      </c>
      <c r="D2832">
        <v>3</v>
      </c>
      <c r="E2832" t="s">
        <v>212</v>
      </c>
      <c r="F2832" t="s">
        <v>373</v>
      </c>
      <c r="G2832">
        <f>(O2832/(N2832+O2832+P2832))*100</f>
        <v>66.542750929368026</v>
      </c>
      <c r="H2832">
        <f>(P2832/(O2832+P2832+N2832))*100</f>
        <v>0.18587360594795538</v>
      </c>
      <c r="I2832">
        <f>((O2832+P2832)/(P2832+O2832+N2832))*100</f>
        <v>66.728624535315987</v>
      </c>
      <c r="J2832">
        <f>(N2832/(P2832+O2832+N2832))*100</f>
        <v>33.271375464684013</v>
      </c>
      <c r="K2832">
        <v>0.8</v>
      </c>
      <c r="L2832">
        <v>0.3</v>
      </c>
      <c r="M2832">
        <v>0.7</v>
      </c>
      <c r="N2832">
        <v>179</v>
      </c>
      <c r="O2832">
        <v>358</v>
      </c>
      <c r="P2832">
        <v>1</v>
      </c>
      <c r="Q2832">
        <v>66.73</v>
      </c>
      <c r="R2832" t="s">
        <v>230</v>
      </c>
      <c r="S2832">
        <v>2.91</v>
      </c>
      <c r="T2832">
        <v>3.37</v>
      </c>
      <c r="U2832">
        <v>155</v>
      </c>
    </row>
    <row r="2833" spans="1:21" ht="15" customHeight="1" x14ac:dyDescent="0.25">
      <c r="A2833" s="2">
        <v>45323.672418981485</v>
      </c>
      <c r="B2833" t="s">
        <v>309</v>
      </c>
      <c r="C2833" t="s">
        <v>322</v>
      </c>
      <c r="D2833">
        <v>3</v>
      </c>
      <c r="E2833" t="s">
        <v>212</v>
      </c>
      <c r="F2833" t="s">
        <v>373</v>
      </c>
      <c r="G2833">
        <f>(O2833/(N2833+O2833+P2833))*100</f>
        <v>68.858131487889267</v>
      </c>
      <c r="H2833">
        <f>(P2833/(O2833+P2833+N2833))*100</f>
        <v>0.34602076124567477</v>
      </c>
      <c r="I2833">
        <f>((O2833+P2833)/(P2833+O2833+N2833))*100</f>
        <v>69.20415224913495</v>
      </c>
      <c r="J2833">
        <f>(N2833/(P2833+O2833+N2833))*100</f>
        <v>30.79584775086505</v>
      </c>
      <c r="K2833">
        <v>0.7</v>
      </c>
      <c r="L2833">
        <v>0.3</v>
      </c>
      <c r="M2833">
        <v>0.7</v>
      </c>
      <c r="N2833">
        <v>178</v>
      </c>
      <c r="O2833">
        <v>398</v>
      </c>
      <c r="P2833">
        <v>2</v>
      </c>
      <c r="Q2833">
        <v>69.2</v>
      </c>
      <c r="R2833" t="s">
        <v>248</v>
      </c>
      <c r="S2833">
        <v>2.91</v>
      </c>
      <c r="T2833">
        <v>3.37</v>
      </c>
      <c r="U2833">
        <v>115</v>
      </c>
    </row>
    <row r="2834" spans="1:21" ht="15" customHeight="1" x14ac:dyDescent="0.25">
      <c r="A2834" s="2">
        <v>45325.224166666667</v>
      </c>
      <c r="B2834" t="s">
        <v>309</v>
      </c>
      <c r="C2834" t="s">
        <v>368</v>
      </c>
      <c r="D2834">
        <v>2</v>
      </c>
      <c r="E2834" t="s">
        <v>212</v>
      </c>
      <c r="F2834" t="s">
        <v>373</v>
      </c>
      <c r="G2834">
        <f>(O2834/(N2834+O2834+P2834))*100</f>
        <v>37.191358024691354</v>
      </c>
      <c r="H2834">
        <f>(P2834/(O2834+P2834+N2834))*100</f>
        <v>0</v>
      </c>
      <c r="I2834">
        <v>37.19</v>
      </c>
      <c r="J2834">
        <f>(N2834/(P2834+O2834+N2834))*100</f>
        <v>62.808641975308646</v>
      </c>
      <c r="K2834">
        <v>0.8</v>
      </c>
      <c r="L2834">
        <v>0.3</v>
      </c>
      <c r="M2834">
        <v>0.7</v>
      </c>
      <c r="N2834">
        <v>407</v>
      </c>
      <c r="O2834">
        <v>241</v>
      </c>
      <c r="P2834">
        <v>0</v>
      </c>
      <c r="Q2834">
        <v>37.19</v>
      </c>
      <c r="R2834" t="s">
        <v>332</v>
      </c>
      <c r="S2834">
        <v>0.91</v>
      </c>
      <c r="T2834">
        <v>0.95</v>
      </c>
    </row>
    <row r="2835" spans="1:21" ht="15" customHeight="1" x14ac:dyDescent="0.25">
      <c r="A2835" s="2">
        <v>45253.664583333331</v>
      </c>
      <c r="B2835" t="s">
        <v>309</v>
      </c>
      <c r="C2835" t="s">
        <v>213</v>
      </c>
      <c r="D2835">
        <v>3</v>
      </c>
      <c r="E2835" t="s">
        <v>302</v>
      </c>
      <c r="F2835" t="s">
        <v>388</v>
      </c>
      <c r="G2835">
        <v>0</v>
      </c>
      <c r="H2835">
        <v>1.6897081410000001</v>
      </c>
      <c r="I2835">
        <v>1.6897081410000001</v>
      </c>
      <c r="J2835">
        <v>98.310291860000007</v>
      </c>
      <c r="K2835">
        <v>0.8</v>
      </c>
      <c r="L2835">
        <v>0.2</v>
      </c>
      <c r="M2835">
        <v>0.7</v>
      </c>
      <c r="N2835">
        <v>640</v>
      </c>
      <c r="O2835">
        <v>0</v>
      </c>
      <c r="P2835">
        <v>11</v>
      </c>
      <c r="Q2835">
        <v>1.69</v>
      </c>
      <c r="R2835" t="s">
        <v>223</v>
      </c>
      <c r="S2835">
        <v>2.75</v>
      </c>
      <c r="T2835">
        <v>3.4</v>
      </c>
    </row>
    <row r="2836" spans="1:21" ht="15" customHeight="1" x14ac:dyDescent="0.25">
      <c r="A2836" s="2">
        <v>45253.9</v>
      </c>
      <c r="B2836" t="s">
        <v>309</v>
      </c>
      <c r="C2836" t="s">
        <v>215</v>
      </c>
      <c r="D2836">
        <v>2</v>
      </c>
      <c r="E2836" t="s">
        <v>302</v>
      </c>
      <c r="F2836" t="s">
        <v>388</v>
      </c>
      <c r="G2836">
        <v>0.77160493799999996</v>
      </c>
      <c r="H2836">
        <v>0</v>
      </c>
      <c r="I2836">
        <v>0.77160493799999996</v>
      </c>
      <c r="J2836">
        <v>99.228395059999997</v>
      </c>
      <c r="K2836">
        <v>0.8</v>
      </c>
      <c r="L2836">
        <v>0.2</v>
      </c>
      <c r="M2836">
        <v>0.7</v>
      </c>
      <c r="N2836">
        <v>643</v>
      </c>
      <c r="O2836">
        <v>5</v>
      </c>
      <c r="P2836">
        <v>0</v>
      </c>
      <c r="Q2836">
        <v>0.77</v>
      </c>
      <c r="R2836" t="s">
        <v>257</v>
      </c>
      <c r="S2836">
        <v>0.05</v>
      </c>
      <c r="T2836">
        <v>0.05</v>
      </c>
    </row>
    <row r="2837" spans="1:21" ht="15" customHeight="1" x14ac:dyDescent="0.25">
      <c r="A2837" s="2">
        <v>45254.072222222225</v>
      </c>
      <c r="B2837" t="s">
        <v>309</v>
      </c>
      <c r="C2837" t="s">
        <v>217</v>
      </c>
      <c r="D2837">
        <v>2</v>
      </c>
      <c r="E2837" t="s">
        <v>302</v>
      </c>
      <c r="F2837" t="s">
        <v>388</v>
      </c>
      <c r="G2837">
        <v>1.5698587129999999</v>
      </c>
      <c r="H2837">
        <v>0</v>
      </c>
      <c r="I2837">
        <v>1.5698587129999999</v>
      </c>
      <c r="J2837">
        <v>98.430141289999995</v>
      </c>
      <c r="K2837">
        <v>0.8</v>
      </c>
      <c r="L2837">
        <v>0.2</v>
      </c>
      <c r="M2837">
        <v>0.7</v>
      </c>
      <c r="N2837">
        <v>627</v>
      </c>
      <c r="O2837">
        <v>10</v>
      </c>
      <c r="P2837">
        <v>0</v>
      </c>
      <c r="Q2837">
        <v>1.57</v>
      </c>
      <c r="R2837" t="s">
        <v>227</v>
      </c>
      <c r="S2837">
        <v>0.08</v>
      </c>
      <c r="T2837">
        <v>0.09</v>
      </c>
    </row>
    <row r="2838" spans="1:21" ht="15" customHeight="1" x14ac:dyDescent="0.25">
      <c r="A2838" s="2">
        <v>45316.580555555556</v>
      </c>
      <c r="B2838" t="s">
        <v>309</v>
      </c>
      <c r="C2838" t="s">
        <v>219</v>
      </c>
      <c r="D2838">
        <v>3</v>
      </c>
      <c r="E2838" t="s">
        <v>302</v>
      </c>
      <c r="F2838" t="s">
        <v>388</v>
      </c>
      <c r="G2838">
        <v>1.4925373129999999</v>
      </c>
      <c r="H2838">
        <v>0.426439232</v>
      </c>
      <c r="I2838">
        <v>1.9189765459999999</v>
      </c>
      <c r="J2838">
        <v>98.081023450000004</v>
      </c>
      <c r="K2838">
        <v>0.8</v>
      </c>
      <c r="L2838">
        <v>0.2</v>
      </c>
      <c r="M2838">
        <v>0.7</v>
      </c>
      <c r="N2838">
        <v>460</v>
      </c>
      <c r="O2838">
        <v>7</v>
      </c>
      <c r="P2838">
        <v>2</v>
      </c>
      <c r="Q2838">
        <v>1.92</v>
      </c>
      <c r="R2838" t="s">
        <v>257</v>
      </c>
      <c r="S2838">
        <v>3.11</v>
      </c>
      <c r="T2838">
        <v>4.62</v>
      </c>
    </row>
    <row r="2839" spans="1:21" ht="15" customHeight="1" x14ac:dyDescent="0.25">
      <c r="A2839" s="2">
        <v>45320.928472222222</v>
      </c>
      <c r="B2839" t="s">
        <v>309</v>
      </c>
      <c r="C2839" t="s">
        <v>221</v>
      </c>
      <c r="D2839">
        <v>2</v>
      </c>
      <c r="E2839" t="s">
        <v>302</v>
      </c>
      <c r="F2839" t="s">
        <v>388</v>
      </c>
      <c r="G2839">
        <v>2.6086956520000002</v>
      </c>
      <c r="H2839">
        <v>0</v>
      </c>
      <c r="I2839">
        <v>2.6086956520000002</v>
      </c>
      <c r="J2839">
        <v>97.391304349999999</v>
      </c>
      <c r="K2839">
        <v>0.8</v>
      </c>
      <c r="L2839">
        <v>0.3</v>
      </c>
      <c r="M2839">
        <v>0.7</v>
      </c>
      <c r="N2839">
        <v>560</v>
      </c>
      <c r="O2839">
        <v>15</v>
      </c>
      <c r="P2839">
        <v>0</v>
      </c>
      <c r="Q2839">
        <v>2.61</v>
      </c>
      <c r="R2839" t="s">
        <v>220</v>
      </c>
      <c r="S2839">
        <v>0.18</v>
      </c>
      <c r="T2839">
        <v>0.2</v>
      </c>
    </row>
    <row r="2840" spans="1:21" ht="15" customHeight="1" x14ac:dyDescent="0.25">
      <c r="A2840" s="2">
        <v>45323.677245370367</v>
      </c>
      <c r="B2840" t="s">
        <v>309</v>
      </c>
      <c r="C2840" t="s">
        <v>322</v>
      </c>
      <c r="D2840">
        <v>3</v>
      </c>
      <c r="E2840" t="s">
        <v>302</v>
      </c>
      <c r="F2840" t="s">
        <v>388</v>
      </c>
      <c r="G2840">
        <f>(O2840/(N2840+O2840+P2840))*100</f>
        <v>0</v>
      </c>
      <c r="H2840">
        <f>(P2840/(O2840+P2840+N2840))*100</f>
        <v>0</v>
      </c>
      <c r="I2840">
        <f>((O2840+P2840)/(P2840+O2840+N2840))*100</f>
        <v>0</v>
      </c>
      <c r="J2840">
        <f>(N2840/(P2840+O2840+N2840))*100</f>
        <v>100</v>
      </c>
      <c r="K2840">
        <v>0.8</v>
      </c>
      <c r="L2840">
        <v>0.3</v>
      </c>
      <c r="M2840">
        <v>0.7</v>
      </c>
      <c r="N2840">
        <v>634</v>
      </c>
      <c r="O2840">
        <v>0</v>
      </c>
      <c r="P2840">
        <v>0</v>
      </c>
      <c r="Q2840">
        <v>0</v>
      </c>
      <c r="R2840" t="s">
        <v>359</v>
      </c>
      <c r="S2840">
        <v>2.61</v>
      </c>
      <c r="T2840">
        <v>3.53</v>
      </c>
      <c r="U2840">
        <v>12</v>
      </c>
    </row>
    <row r="2841" spans="1:21" ht="15" customHeight="1" x14ac:dyDescent="0.25">
      <c r="A2841" s="2">
        <v>45323.672523148147</v>
      </c>
      <c r="B2841" t="s">
        <v>309</v>
      </c>
      <c r="C2841" t="s">
        <v>322</v>
      </c>
      <c r="D2841">
        <v>3</v>
      </c>
      <c r="E2841" t="s">
        <v>302</v>
      </c>
      <c r="F2841" t="s">
        <v>388</v>
      </c>
      <c r="G2841">
        <f>(O2841/(N2841+O2841+P2841))*100</f>
        <v>0</v>
      </c>
      <c r="H2841">
        <f>(P2841/(O2841+P2841+N2841))*100</f>
        <v>0</v>
      </c>
      <c r="I2841">
        <v>0</v>
      </c>
      <c r="J2841">
        <f>(N2841/(P2841+O2841+N2841))*100</f>
        <v>100</v>
      </c>
      <c r="K2841">
        <v>0.7</v>
      </c>
      <c r="L2841">
        <v>0.3</v>
      </c>
      <c r="M2841">
        <v>0.7</v>
      </c>
      <c r="N2841">
        <v>634</v>
      </c>
      <c r="O2841">
        <v>0</v>
      </c>
      <c r="P2841">
        <v>0</v>
      </c>
      <c r="Q2841">
        <v>0</v>
      </c>
      <c r="R2841" t="s">
        <v>258</v>
      </c>
      <c r="S2841">
        <v>2.61</v>
      </c>
      <c r="T2841">
        <v>3.53</v>
      </c>
      <c r="U2841">
        <v>12</v>
      </c>
    </row>
    <row r="2842" spans="1:21" ht="15" customHeight="1" x14ac:dyDescent="0.25">
      <c r="A2842" s="2">
        <v>45325.086331018516</v>
      </c>
      <c r="B2842" t="s">
        <v>309</v>
      </c>
      <c r="C2842" t="s">
        <v>368</v>
      </c>
      <c r="D2842">
        <v>2</v>
      </c>
      <c r="E2842" t="s">
        <v>302</v>
      </c>
      <c r="F2842" t="s">
        <v>388</v>
      </c>
      <c r="G2842">
        <f>(O2842/(N2842+O2842+P2842))*100</f>
        <v>0.69686411149825789</v>
      </c>
      <c r="H2842">
        <f>(P2842/(O2842+P2842+N2842))*100</f>
        <v>0</v>
      </c>
      <c r="I2842">
        <v>0.7</v>
      </c>
      <c r="J2842">
        <f>(N2842/(P2842+O2842+N2842))*100</f>
        <v>99.303135888501743</v>
      </c>
      <c r="K2842">
        <v>0.8</v>
      </c>
      <c r="L2842">
        <v>0.3</v>
      </c>
      <c r="M2842">
        <v>0.7</v>
      </c>
      <c r="N2842">
        <v>570</v>
      </c>
      <c r="O2842">
        <v>4</v>
      </c>
      <c r="P2842">
        <v>0</v>
      </c>
      <c r="Q2842">
        <v>0.7</v>
      </c>
      <c r="R2842" t="s">
        <v>359</v>
      </c>
      <c r="S2842">
        <v>0.12</v>
      </c>
      <c r="T2842">
        <v>0.13</v>
      </c>
    </row>
    <row r="2843" spans="1:21" ht="15" customHeight="1" x14ac:dyDescent="0.25">
      <c r="A2843" s="2">
        <v>45253.665972222225</v>
      </c>
      <c r="B2843" t="s">
        <v>309</v>
      </c>
      <c r="C2843" t="s">
        <v>213</v>
      </c>
      <c r="D2843">
        <v>3</v>
      </c>
      <c r="E2843" t="s">
        <v>303</v>
      </c>
      <c r="F2843" t="s">
        <v>388</v>
      </c>
      <c r="G2843">
        <v>44.927536230000001</v>
      </c>
      <c r="H2843">
        <v>5.5555555559999998</v>
      </c>
      <c r="I2843">
        <v>50.483091790000003</v>
      </c>
      <c r="J2843">
        <v>49.516908209999997</v>
      </c>
      <c r="K2843">
        <v>0.8</v>
      </c>
      <c r="L2843">
        <v>0.2</v>
      </c>
      <c r="M2843">
        <v>0.7</v>
      </c>
      <c r="N2843">
        <v>205</v>
      </c>
      <c r="O2843">
        <v>186</v>
      </c>
      <c r="P2843">
        <v>23</v>
      </c>
      <c r="Q2843">
        <v>50.48</v>
      </c>
      <c r="R2843" t="s">
        <v>214</v>
      </c>
      <c r="S2843">
        <v>2.96</v>
      </c>
      <c r="T2843">
        <v>3.23</v>
      </c>
    </row>
    <row r="2844" spans="1:21" ht="15" customHeight="1" x14ac:dyDescent="0.25">
      <c r="A2844" s="2">
        <v>45253.900694444441</v>
      </c>
      <c r="B2844" t="s">
        <v>309</v>
      </c>
      <c r="C2844" t="s">
        <v>215</v>
      </c>
      <c r="D2844">
        <v>2</v>
      </c>
      <c r="E2844" t="s">
        <v>303</v>
      </c>
      <c r="F2844" t="s">
        <v>388</v>
      </c>
      <c r="G2844">
        <v>31.888544889999999</v>
      </c>
      <c r="H2844">
        <v>0</v>
      </c>
      <c r="I2844">
        <v>31.888544889999999</v>
      </c>
      <c r="J2844">
        <v>68.111455109999994</v>
      </c>
      <c r="K2844">
        <v>0.8</v>
      </c>
      <c r="L2844">
        <v>0.2</v>
      </c>
      <c r="M2844">
        <v>0.7</v>
      </c>
      <c r="N2844">
        <v>440</v>
      </c>
      <c r="O2844">
        <v>206</v>
      </c>
      <c r="P2844">
        <v>0</v>
      </c>
      <c r="Q2844">
        <v>31.89</v>
      </c>
      <c r="R2844" t="s">
        <v>226</v>
      </c>
      <c r="S2844">
        <v>0.76</v>
      </c>
      <c r="T2844">
        <v>0.83</v>
      </c>
    </row>
    <row r="2845" spans="1:21" ht="15" customHeight="1" x14ac:dyDescent="0.25">
      <c r="A2845" s="2">
        <v>45254.072916666664</v>
      </c>
      <c r="B2845" t="s">
        <v>309</v>
      </c>
      <c r="C2845" t="s">
        <v>217</v>
      </c>
      <c r="D2845">
        <v>2</v>
      </c>
      <c r="E2845" t="s">
        <v>303</v>
      </c>
      <c r="F2845" t="s">
        <v>388</v>
      </c>
      <c r="G2845">
        <v>33.021806849999997</v>
      </c>
      <c r="H2845">
        <v>0</v>
      </c>
      <c r="I2845">
        <v>33.021806849999997</v>
      </c>
      <c r="J2845">
        <v>66.978193149999996</v>
      </c>
      <c r="K2845">
        <v>0.8</v>
      </c>
      <c r="L2845">
        <v>0.2</v>
      </c>
      <c r="M2845">
        <v>0.7</v>
      </c>
      <c r="N2845">
        <v>430</v>
      </c>
      <c r="O2845">
        <v>212</v>
      </c>
      <c r="P2845">
        <v>0</v>
      </c>
      <c r="Q2845">
        <v>33.020000000000003</v>
      </c>
      <c r="R2845" t="s">
        <v>222</v>
      </c>
      <c r="S2845">
        <v>0.81</v>
      </c>
      <c r="T2845">
        <v>0.85</v>
      </c>
    </row>
    <row r="2846" spans="1:21" ht="15" customHeight="1" x14ac:dyDescent="0.25">
      <c r="A2846" s="2">
        <v>45316.581250000003</v>
      </c>
      <c r="B2846" t="s">
        <v>309</v>
      </c>
      <c r="C2846" t="s">
        <v>219</v>
      </c>
      <c r="D2846">
        <v>3</v>
      </c>
      <c r="E2846" t="s">
        <v>303</v>
      </c>
      <c r="F2846" t="s">
        <v>388</v>
      </c>
      <c r="G2846">
        <v>48.669201520000001</v>
      </c>
      <c r="H2846">
        <v>4.5627376430000002</v>
      </c>
      <c r="I2846">
        <v>53.231939160000003</v>
      </c>
      <c r="J2846">
        <v>46.768060839999997</v>
      </c>
      <c r="K2846">
        <v>0.8</v>
      </c>
      <c r="L2846">
        <v>0.2</v>
      </c>
      <c r="M2846">
        <v>0.7</v>
      </c>
      <c r="N2846">
        <v>123</v>
      </c>
      <c r="O2846">
        <v>128</v>
      </c>
      <c r="P2846">
        <v>12</v>
      </c>
      <c r="Q2846">
        <v>53.23</v>
      </c>
      <c r="R2846" t="s">
        <v>224</v>
      </c>
      <c r="S2846">
        <v>3.23</v>
      </c>
      <c r="T2846">
        <v>4.57</v>
      </c>
    </row>
    <row r="2847" spans="1:21" ht="15" customHeight="1" x14ac:dyDescent="0.25">
      <c r="A2847" s="2">
        <v>45320.929166666669</v>
      </c>
      <c r="B2847" t="s">
        <v>309</v>
      </c>
      <c r="C2847" t="s">
        <v>221</v>
      </c>
      <c r="D2847">
        <v>2</v>
      </c>
      <c r="E2847" t="s">
        <v>303</v>
      </c>
      <c r="F2847" t="s">
        <v>388</v>
      </c>
      <c r="G2847">
        <v>40.285204989999997</v>
      </c>
      <c r="H2847">
        <v>0</v>
      </c>
      <c r="I2847">
        <v>40.285204989999997</v>
      </c>
      <c r="J2847">
        <v>59.714795010000003</v>
      </c>
      <c r="K2847">
        <v>0.8</v>
      </c>
      <c r="L2847">
        <v>0.3</v>
      </c>
      <c r="M2847">
        <v>0.7</v>
      </c>
      <c r="N2847">
        <v>335</v>
      </c>
      <c r="O2847">
        <v>226</v>
      </c>
      <c r="P2847">
        <v>0</v>
      </c>
      <c r="Q2847">
        <v>40.29</v>
      </c>
      <c r="R2847" t="s">
        <v>267</v>
      </c>
      <c r="S2847">
        <v>1.1200000000000001</v>
      </c>
      <c r="T2847">
        <v>1.2</v>
      </c>
    </row>
    <row r="2848" spans="1:21" ht="15" customHeight="1" x14ac:dyDescent="0.25">
      <c r="A2848" s="2">
        <v>45323.678541666668</v>
      </c>
      <c r="B2848" t="s">
        <v>309</v>
      </c>
      <c r="C2848" t="s">
        <v>322</v>
      </c>
      <c r="D2848">
        <v>3</v>
      </c>
      <c r="E2848" t="s">
        <v>303</v>
      </c>
      <c r="F2848" t="s">
        <v>388</v>
      </c>
      <c r="G2848">
        <f t="shared" ref="G2848:G2911" si="31">(O2848/(N2848+O2848+P2848))*100</f>
        <v>67.864693446088793</v>
      </c>
      <c r="H2848">
        <f t="shared" ref="H2848:H2911" si="32">(P2848/(O2848+P2848+N2848))*100</f>
        <v>0.63424947145877375</v>
      </c>
      <c r="I2848">
        <f>((O2848+P2848)/(P2848+O2848+N2848))*100</f>
        <v>68.498942917547566</v>
      </c>
      <c r="J2848">
        <f t="shared" ref="J2848:J2911" si="33">(N2848/(P2848+O2848+N2848))*100</f>
        <v>31.501057082452434</v>
      </c>
      <c r="K2848">
        <v>0.8</v>
      </c>
      <c r="L2848">
        <v>0.3</v>
      </c>
      <c r="M2848">
        <v>0.7</v>
      </c>
      <c r="N2848">
        <v>149</v>
      </c>
      <c r="O2848">
        <v>321</v>
      </c>
      <c r="P2848">
        <v>3</v>
      </c>
      <c r="Q2848">
        <v>68.5</v>
      </c>
      <c r="R2848" t="s">
        <v>264</v>
      </c>
      <c r="S2848">
        <v>2.71</v>
      </c>
      <c r="T2848">
        <v>3.25</v>
      </c>
      <c r="U2848">
        <v>188</v>
      </c>
    </row>
    <row r="2849" spans="1:21" ht="15" customHeight="1" x14ac:dyDescent="0.25">
      <c r="A2849" s="2">
        <v>45323.673877314817</v>
      </c>
      <c r="B2849" t="s">
        <v>309</v>
      </c>
      <c r="C2849" t="s">
        <v>322</v>
      </c>
      <c r="D2849">
        <v>3</v>
      </c>
      <c r="E2849" t="s">
        <v>303</v>
      </c>
      <c r="F2849" t="s">
        <v>388</v>
      </c>
      <c r="G2849">
        <f t="shared" si="31"/>
        <v>70.599613152804636</v>
      </c>
      <c r="H2849">
        <f t="shared" si="32"/>
        <v>0.96711798839458418</v>
      </c>
      <c r="I2849">
        <v>71.569999999999993</v>
      </c>
      <c r="J2849">
        <f t="shared" si="33"/>
        <v>28.433268858800776</v>
      </c>
      <c r="K2849">
        <v>0.7</v>
      </c>
      <c r="L2849">
        <v>0.3</v>
      </c>
      <c r="M2849">
        <v>0.7</v>
      </c>
      <c r="N2849">
        <v>147</v>
      </c>
      <c r="O2849">
        <v>365</v>
      </c>
      <c r="P2849">
        <v>5</v>
      </c>
      <c r="Q2849">
        <v>71.569999999999993</v>
      </c>
      <c r="R2849" t="s">
        <v>359</v>
      </c>
      <c r="S2849">
        <v>2.71</v>
      </c>
      <c r="T2849">
        <v>3.25</v>
      </c>
      <c r="U2849">
        <v>144</v>
      </c>
    </row>
    <row r="2850" spans="1:21" ht="15" customHeight="1" x14ac:dyDescent="0.25">
      <c r="A2850" s="2">
        <v>45325.087627314817</v>
      </c>
      <c r="B2850" t="s">
        <v>309</v>
      </c>
      <c r="C2850" t="s">
        <v>368</v>
      </c>
      <c r="D2850">
        <v>2</v>
      </c>
      <c r="E2850" t="s">
        <v>303</v>
      </c>
      <c r="F2850" t="s">
        <v>388</v>
      </c>
      <c r="G2850">
        <f t="shared" si="31"/>
        <v>41.269841269841265</v>
      </c>
      <c r="H2850">
        <f t="shared" si="32"/>
        <v>0</v>
      </c>
      <c r="I2850">
        <v>41.27</v>
      </c>
      <c r="J2850">
        <f t="shared" si="33"/>
        <v>58.730158730158735</v>
      </c>
      <c r="K2850">
        <v>0.8</v>
      </c>
      <c r="L2850">
        <v>0.3</v>
      </c>
      <c r="M2850">
        <v>0.7</v>
      </c>
      <c r="N2850">
        <v>333</v>
      </c>
      <c r="O2850">
        <v>234</v>
      </c>
      <c r="P2850">
        <v>0</v>
      </c>
      <c r="Q2850">
        <v>41.27</v>
      </c>
      <c r="R2850" t="s">
        <v>223</v>
      </c>
      <c r="S2850">
        <v>1.05</v>
      </c>
      <c r="T2850">
        <v>1.1299999999999999</v>
      </c>
    </row>
    <row r="2851" spans="1:21" ht="15" customHeight="1" x14ac:dyDescent="0.25">
      <c r="A2851" s="2">
        <v>45325.556064814817</v>
      </c>
      <c r="B2851" t="s">
        <v>309</v>
      </c>
      <c r="C2851" t="s">
        <v>370</v>
      </c>
      <c r="D2851">
        <v>2</v>
      </c>
      <c r="E2851" t="s">
        <v>23</v>
      </c>
      <c r="F2851" t="s">
        <v>373</v>
      </c>
      <c r="G2851">
        <f t="shared" si="31"/>
        <v>0</v>
      </c>
      <c r="H2851">
        <f t="shared" si="32"/>
        <v>0</v>
      </c>
      <c r="I2851">
        <v>0</v>
      </c>
      <c r="J2851">
        <f t="shared" si="33"/>
        <v>100</v>
      </c>
      <c r="K2851">
        <v>0.8</v>
      </c>
      <c r="L2851">
        <v>0.3</v>
      </c>
      <c r="M2851">
        <v>0.7</v>
      </c>
      <c r="N2851">
        <v>656</v>
      </c>
      <c r="O2851">
        <v>0</v>
      </c>
      <c r="P2851">
        <v>0</v>
      </c>
      <c r="Q2851">
        <v>0</v>
      </c>
      <c r="R2851" t="s">
        <v>367</v>
      </c>
      <c r="S2851">
        <v>0.02</v>
      </c>
      <c r="T2851">
        <v>0.03</v>
      </c>
    </row>
    <row r="2852" spans="1:21" ht="15" customHeight="1" x14ac:dyDescent="0.25">
      <c r="A2852" s="2">
        <v>45325.55740740741</v>
      </c>
      <c r="B2852" t="s">
        <v>309</v>
      </c>
      <c r="C2852" t="s">
        <v>370</v>
      </c>
      <c r="D2852">
        <v>2</v>
      </c>
      <c r="E2852" t="s">
        <v>24</v>
      </c>
      <c r="F2852" t="s">
        <v>373</v>
      </c>
      <c r="G2852">
        <f t="shared" si="31"/>
        <v>1.680672268907563</v>
      </c>
      <c r="H2852">
        <f t="shared" si="32"/>
        <v>0</v>
      </c>
      <c r="I2852">
        <v>1.68</v>
      </c>
      <c r="J2852">
        <f t="shared" si="33"/>
        <v>98.319327731092429</v>
      </c>
      <c r="K2852">
        <v>0.8</v>
      </c>
      <c r="L2852">
        <v>0.3</v>
      </c>
      <c r="M2852">
        <v>0.7</v>
      </c>
      <c r="N2852">
        <v>585</v>
      </c>
      <c r="O2852">
        <v>10</v>
      </c>
      <c r="P2852">
        <v>0</v>
      </c>
      <c r="Q2852">
        <v>1.68</v>
      </c>
      <c r="R2852" t="s">
        <v>268</v>
      </c>
      <c r="S2852">
        <v>0.1</v>
      </c>
      <c r="T2852">
        <v>0.12</v>
      </c>
    </row>
    <row r="2853" spans="1:21" ht="15" customHeight="1" x14ac:dyDescent="0.25">
      <c r="A2853" s="2">
        <v>45325.558738425927</v>
      </c>
      <c r="B2853" t="s">
        <v>309</v>
      </c>
      <c r="C2853" t="s">
        <v>370</v>
      </c>
      <c r="D2853">
        <v>2</v>
      </c>
      <c r="E2853" t="s">
        <v>27</v>
      </c>
      <c r="F2853" t="s">
        <v>373</v>
      </c>
      <c r="G2853">
        <f t="shared" si="31"/>
        <v>0.70721357850070721</v>
      </c>
      <c r="H2853">
        <f t="shared" si="32"/>
        <v>0</v>
      </c>
      <c r="I2853">
        <v>0.71</v>
      </c>
      <c r="J2853">
        <f t="shared" si="33"/>
        <v>99.292786421499287</v>
      </c>
      <c r="K2853">
        <v>0.8</v>
      </c>
      <c r="L2853">
        <v>0.3</v>
      </c>
      <c r="M2853">
        <v>0.7</v>
      </c>
      <c r="N2853">
        <v>702</v>
      </c>
      <c r="O2853">
        <v>5</v>
      </c>
      <c r="P2853">
        <v>0</v>
      </c>
      <c r="Q2853">
        <v>0.71</v>
      </c>
      <c r="R2853" t="s">
        <v>359</v>
      </c>
      <c r="S2853">
        <v>0.02</v>
      </c>
      <c r="T2853">
        <v>0.02</v>
      </c>
    </row>
    <row r="2854" spans="1:21" ht="15" customHeight="1" x14ac:dyDescent="0.25">
      <c r="A2854" s="2">
        <v>45325.560046296298</v>
      </c>
      <c r="B2854" t="s">
        <v>309</v>
      </c>
      <c r="C2854" t="s">
        <v>370</v>
      </c>
      <c r="D2854">
        <v>2</v>
      </c>
      <c r="E2854" t="s">
        <v>28</v>
      </c>
      <c r="F2854" t="s">
        <v>373</v>
      </c>
      <c r="G2854">
        <f t="shared" si="31"/>
        <v>17.391304347826086</v>
      </c>
      <c r="H2854">
        <f t="shared" si="32"/>
        <v>0</v>
      </c>
      <c r="I2854">
        <v>17.39</v>
      </c>
      <c r="J2854">
        <f t="shared" si="33"/>
        <v>82.608695652173907</v>
      </c>
      <c r="K2854">
        <v>0.8</v>
      </c>
      <c r="L2854">
        <v>0.3</v>
      </c>
      <c r="M2854">
        <v>0.7</v>
      </c>
      <c r="N2854">
        <v>513</v>
      </c>
      <c r="O2854">
        <v>108</v>
      </c>
      <c r="P2854">
        <v>0</v>
      </c>
      <c r="Q2854">
        <v>17.39</v>
      </c>
      <c r="R2854" t="s">
        <v>367</v>
      </c>
      <c r="S2854">
        <v>0.56999999999999995</v>
      </c>
      <c r="T2854">
        <v>0.65</v>
      </c>
    </row>
    <row r="2855" spans="1:21" ht="15" customHeight="1" x14ac:dyDescent="0.25">
      <c r="A2855" s="2">
        <v>45325.561388888891</v>
      </c>
      <c r="B2855" t="s">
        <v>309</v>
      </c>
      <c r="C2855" t="s">
        <v>370</v>
      </c>
      <c r="D2855">
        <v>2</v>
      </c>
      <c r="E2855" t="s">
        <v>29</v>
      </c>
      <c r="F2855" t="s">
        <v>373</v>
      </c>
      <c r="G2855">
        <f t="shared" si="31"/>
        <v>21.890547263681594</v>
      </c>
      <c r="H2855">
        <f t="shared" si="32"/>
        <v>0</v>
      </c>
      <c r="I2855">
        <v>21.89</v>
      </c>
      <c r="J2855">
        <f t="shared" si="33"/>
        <v>78.109452736318403</v>
      </c>
      <c r="K2855">
        <v>0.8</v>
      </c>
      <c r="L2855">
        <v>0.3</v>
      </c>
      <c r="M2855">
        <v>0.7</v>
      </c>
      <c r="N2855">
        <v>471</v>
      </c>
      <c r="O2855">
        <v>132</v>
      </c>
      <c r="P2855">
        <v>0</v>
      </c>
      <c r="Q2855">
        <v>21.89</v>
      </c>
      <c r="R2855" t="s">
        <v>256</v>
      </c>
      <c r="S2855">
        <v>0.65</v>
      </c>
      <c r="T2855">
        <v>0.74</v>
      </c>
    </row>
    <row r="2856" spans="1:21" ht="15" customHeight="1" x14ac:dyDescent="0.25">
      <c r="A2856" s="2">
        <v>45325.5628125</v>
      </c>
      <c r="B2856" t="s">
        <v>309</v>
      </c>
      <c r="C2856" t="s">
        <v>370</v>
      </c>
      <c r="D2856">
        <v>2</v>
      </c>
      <c r="E2856" t="s">
        <v>32</v>
      </c>
      <c r="F2856" t="s">
        <v>373</v>
      </c>
      <c r="G2856">
        <f t="shared" si="31"/>
        <v>0.45045045045045046</v>
      </c>
      <c r="H2856">
        <f t="shared" si="32"/>
        <v>0</v>
      </c>
      <c r="I2856">
        <v>0.45</v>
      </c>
      <c r="J2856">
        <f t="shared" si="33"/>
        <v>99.549549549549553</v>
      </c>
      <c r="K2856">
        <v>0.8</v>
      </c>
      <c r="L2856">
        <v>0.3</v>
      </c>
      <c r="M2856">
        <v>0.7</v>
      </c>
      <c r="N2856">
        <v>663</v>
      </c>
      <c r="O2856">
        <v>3</v>
      </c>
      <c r="P2856">
        <v>0</v>
      </c>
      <c r="Q2856">
        <v>0.45</v>
      </c>
      <c r="R2856" t="s">
        <v>359</v>
      </c>
      <c r="S2856">
        <v>0.02</v>
      </c>
      <c r="T2856">
        <v>0.03</v>
      </c>
    </row>
    <row r="2857" spans="1:21" ht="15" customHeight="1" x14ac:dyDescent="0.25">
      <c r="A2857" s="2">
        <v>45325.564120370371</v>
      </c>
      <c r="B2857" t="s">
        <v>309</v>
      </c>
      <c r="C2857" t="s">
        <v>370</v>
      </c>
      <c r="D2857">
        <v>2</v>
      </c>
      <c r="E2857" t="s">
        <v>34</v>
      </c>
      <c r="F2857" t="s">
        <v>373</v>
      </c>
      <c r="G2857">
        <f t="shared" si="31"/>
        <v>23.130434782608695</v>
      </c>
      <c r="H2857">
        <f t="shared" si="32"/>
        <v>0</v>
      </c>
      <c r="I2857">
        <v>23.13</v>
      </c>
      <c r="J2857">
        <f t="shared" si="33"/>
        <v>76.869565217391298</v>
      </c>
      <c r="K2857">
        <v>0.8</v>
      </c>
      <c r="L2857">
        <v>0.3</v>
      </c>
      <c r="M2857">
        <v>0.7</v>
      </c>
      <c r="N2857">
        <v>442</v>
      </c>
      <c r="O2857">
        <v>133</v>
      </c>
      <c r="P2857">
        <v>0</v>
      </c>
      <c r="Q2857">
        <v>23.13</v>
      </c>
      <c r="R2857" t="s">
        <v>369</v>
      </c>
      <c r="S2857">
        <v>0.65</v>
      </c>
      <c r="T2857">
        <v>0.77</v>
      </c>
    </row>
    <row r="2858" spans="1:21" ht="15" customHeight="1" x14ac:dyDescent="0.25">
      <c r="A2858" s="2">
        <v>45325.565451388888</v>
      </c>
      <c r="B2858" t="s">
        <v>309</v>
      </c>
      <c r="C2858" t="s">
        <v>370</v>
      </c>
      <c r="D2858">
        <v>2</v>
      </c>
      <c r="E2858" t="s">
        <v>36</v>
      </c>
      <c r="F2858" t="s">
        <v>373</v>
      </c>
      <c r="G2858">
        <f t="shared" si="31"/>
        <v>13.843888070692195</v>
      </c>
      <c r="H2858">
        <f t="shared" si="32"/>
        <v>0</v>
      </c>
      <c r="I2858">
        <v>13.84</v>
      </c>
      <c r="J2858">
        <f t="shared" si="33"/>
        <v>86.156111929307812</v>
      </c>
      <c r="K2858">
        <v>0.8</v>
      </c>
      <c r="L2858">
        <v>0.3</v>
      </c>
      <c r="M2858">
        <v>0.7</v>
      </c>
      <c r="N2858">
        <v>585</v>
      </c>
      <c r="O2858">
        <v>94</v>
      </c>
      <c r="P2858">
        <v>0</v>
      </c>
      <c r="Q2858">
        <v>13.84</v>
      </c>
      <c r="R2858" t="s">
        <v>261</v>
      </c>
      <c r="S2858">
        <v>0.46</v>
      </c>
      <c r="T2858">
        <v>0.52</v>
      </c>
    </row>
    <row r="2859" spans="1:21" ht="15" customHeight="1" x14ac:dyDescent="0.25">
      <c r="A2859" s="2">
        <v>45325.566851851851</v>
      </c>
      <c r="B2859" t="s">
        <v>309</v>
      </c>
      <c r="C2859" t="s">
        <v>370</v>
      </c>
      <c r="D2859">
        <v>2</v>
      </c>
      <c r="E2859" t="s">
        <v>37</v>
      </c>
      <c r="F2859" t="s">
        <v>373</v>
      </c>
      <c r="G2859">
        <f t="shared" si="31"/>
        <v>23.962264150943398</v>
      </c>
      <c r="H2859">
        <f t="shared" si="32"/>
        <v>0</v>
      </c>
      <c r="I2859">
        <v>23.96</v>
      </c>
      <c r="J2859">
        <f t="shared" si="33"/>
        <v>76.037735849056602</v>
      </c>
      <c r="K2859">
        <v>0.8</v>
      </c>
      <c r="L2859">
        <v>0.3</v>
      </c>
      <c r="M2859">
        <v>0.7</v>
      </c>
      <c r="N2859">
        <v>403</v>
      </c>
      <c r="O2859">
        <v>127</v>
      </c>
      <c r="P2859">
        <v>0</v>
      </c>
      <c r="Q2859">
        <v>23.96</v>
      </c>
      <c r="R2859" t="s">
        <v>285</v>
      </c>
      <c r="S2859">
        <v>0.68</v>
      </c>
      <c r="T2859">
        <v>0.76</v>
      </c>
    </row>
    <row r="2860" spans="1:21" ht="15" customHeight="1" x14ac:dyDescent="0.25">
      <c r="A2860" s="2">
        <v>45325.568206018521</v>
      </c>
      <c r="B2860" t="s">
        <v>309</v>
      </c>
      <c r="C2860" t="s">
        <v>370</v>
      </c>
      <c r="D2860">
        <v>2</v>
      </c>
      <c r="E2860" t="s">
        <v>41</v>
      </c>
      <c r="F2860" t="s">
        <v>373</v>
      </c>
      <c r="G2860">
        <f t="shared" si="31"/>
        <v>0</v>
      </c>
      <c r="H2860">
        <f t="shared" si="32"/>
        <v>0</v>
      </c>
      <c r="I2860">
        <v>0</v>
      </c>
      <c r="J2860">
        <f t="shared" si="33"/>
        <v>100</v>
      </c>
      <c r="K2860">
        <v>0.8</v>
      </c>
      <c r="L2860">
        <v>0.3</v>
      </c>
      <c r="M2860">
        <v>0.7</v>
      </c>
      <c r="N2860">
        <v>638</v>
      </c>
      <c r="O2860">
        <v>0</v>
      </c>
      <c r="P2860">
        <v>0</v>
      </c>
      <c r="Q2860">
        <v>0</v>
      </c>
      <c r="R2860" t="s">
        <v>275</v>
      </c>
      <c r="S2860">
        <v>0</v>
      </c>
      <c r="T2860">
        <v>0</v>
      </c>
    </row>
    <row r="2861" spans="1:21" ht="15" customHeight="1" x14ac:dyDescent="0.25">
      <c r="A2861" s="2">
        <v>45325.569525462961</v>
      </c>
      <c r="B2861" t="s">
        <v>309</v>
      </c>
      <c r="C2861" t="s">
        <v>370</v>
      </c>
      <c r="D2861">
        <v>2</v>
      </c>
      <c r="E2861" t="s">
        <v>42</v>
      </c>
      <c r="F2861" t="s">
        <v>373</v>
      </c>
      <c r="G2861">
        <f t="shared" si="31"/>
        <v>1.4534883720930232</v>
      </c>
      <c r="H2861">
        <f t="shared" si="32"/>
        <v>0</v>
      </c>
      <c r="I2861">
        <v>1.45</v>
      </c>
      <c r="J2861">
        <f t="shared" si="33"/>
        <v>98.54651162790698</v>
      </c>
      <c r="K2861">
        <v>0.8</v>
      </c>
      <c r="L2861">
        <v>0.3</v>
      </c>
      <c r="M2861">
        <v>0.7</v>
      </c>
      <c r="N2861">
        <v>678</v>
      </c>
      <c r="O2861">
        <v>10</v>
      </c>
      <c r="P2861">
        <v>0</v>
      </c>
      <c r="Q2861">
        <v>1.45</v>
      </c>
      <c r="R2861" t="s">
        <v>359</v>
      </c>
      <c r="S2861">
        <v>7.0000000000000007E-2</v>
      </c>
      <c r="T2861">
        <v>0.08</v>
      </c>
    </row>
    <row r="2862" spans="1:21" ht="15" customHeight="1" x14ac:dyDescent="0.25">
      <c r="A2862" s="2">
        <v>45325.570833333331</v>
      </c>
      <c r="B2862" t="s">
        <v>309</v>
      </c>
      <c r="C2862" t="s">
        <v>370</v>
      </c>
      <c r="D2862">
        <v>2</v>
      </c>
      <c r="E2862" t="s">
        <v>43</v>
      </c>
      <c r="F2862" t="s">
        <v>373</v>
      </c>
      <c r="G2862">
        <f t="shared" si="31"/>
        <v>5.078125</v>
      </c>
      <c r="H2862">
        <f t="shared" si="32"/>
        <v>0</v>
      </c>
      <c r="I2862">
        <v>5.08</v>
      </c>
      <c r="J2862">
        <f t="shared" si="33"/>
        <v>94.921875</v>
      </c>
      <c r="K2862">
        <v>0.8</v>
      </c>
      <c r="L2862">
        <v>0.3</v>
      </c>
      <c r="M2862">
        <v>0.7</v>
      </c>
      <c r="N2862">
        <v>486</v>
      </c>
      <c r="O2862">
        <v>26</v>
      </c>
      <c r="P2862">
        <v>0</v>
      </c>
      <c r="Q2862">
        <v>5.08</v>
      </c>
      <c r="R2862" t="s">
        <v>214</v>
      </c>
      <c r="S2862">
        <v>0.41</v>
      </c>
      <c r="T2862">
        <v>0.48</v>
      </c>
    </row>
    <row r="2863" spans="1:21" ht="15" customHeight="1" x14ac:dyDescent="0.25">
      <c r="A2863" s="2">
        <v>45325.572372685187</v>
      </c>
      <c r="B2863" t="s">
        <v>309</v>
      </c>
      <c r="C2863" t="s">
        <v>370</v>
      </c>
      <c r="D2863">
        <v>2</v>
      </c>
      <c r="E2863" t="s">
        <v>44</v>
      </c>
      <c r="F2863" t="s">
        <v>373</v>
      </c>
      <c r="G2863">
        <f t="shared" si="31"/>
        <v>14.405360134003351</v>
      </c>
      <c r="H2863">
        <f t="shared" si="32"/>
        <v>0</v>
      </c>
      <c r="I2863">
        <v>14.41</v>
      </c>
      <c r="J2863">
        <f t="shared" si="33"/>
        <v>85.594639865996641</v>
      </c>
      <c r="K2863">
        <v>0.8</v>
      </c>
      <c r="L2863">
        <v>0.3</v>
      </c>
      <c r="M2863">
        <v>0.7</v>
      </c>
      <c r="N2863">
        <v>511</v>
      </c>
      <c r="O2863">
        <v>86</v>
      </c>
      <c r="P2863">
        <v>0</v>
      </c>
      <c r="Q2863">
        <v>14.41</v>
      </c>
      <c r="R2863" t="s">
        <v>261</v>
      </c>
      <c r="S2863">
        <v>0.42</v>
      </c>
      <c r="T2863">
        <v>0.5</v>
      </c>
    </row>
    <row r="2864" spans="1:21" ht="15" customHeight="1" x14ac:dyDescent="0.25">
      <c r="A2864" s="2">
        <v>45325.573761574073</v>
      </c>
      <c r="B2864" t="s">
        <v>309</v>
      </c>
      <c r="C2864" t="s">
        <v>370</v>
      </c>
      <c r="D2864">
        <v>2</v>
      </c>
      <c r="E2864" t="s">
        <v>45</v>
      </c>
      <c r="F2864" t="s">
        <v>373</v>
      </c>
      <c r="G2864">
        <f t="shared" si="31"/>
        <v>3.0944625407166124</v>
      </c>
      <c r="H2864">
        <f t="shared" si="32"/>
        <v>0</v>
      </c>
      <c r="I2864">
        <v>3.09</v>
      </c>
      <c r="J2864">
        <f t="shared" si="33"/>
        <v>96.90553745928338</v>
      </c>
      <c r="K2864">
        <v>0.8</v>
      </c>
      <c r="L2864">
        <v>0.3</v>
      </c>
      <c r="M2864">
        <v>0.7</v>
      </c>
      <c r="N2864">
        <v>595</v>
      </c>
      <c r="O2864">
        <v>19</v>
      </c>
      <c r="P2864">
        <v>0</v>
      </c>
      <c r="Q2864">
        <v>3.09</v>
      </c>
      <c r="R2864" t="s">
        <v>264</v>
      </c>
      <c r="S2864">
        <v>0.12</v>
      </c>
      <c r="T2864">
        <v>0.13</v>
      </c>
    </row>
    <row r="2865" spans="1:20" ht="15" customHeight="1" x14ac:dyDescent="0.25">
      <c r="A2865" s="2">
        <v>45325.575057870374</v>
      </c>
      <c r="B2865" t="s">
        <v>309</v>
      </c>
      <c r="C2865" t="s">
        <v>370</v>
      </c>
      <c r="D2865">
        <v>2</v>
      </c>
      <c r="E2865" t="s">
        <v>47</v>
      </c>
      <c r="F2865" t="s">
        <v>373</v>
      </c>
      <c r="G2865">
        <f t="shared" si="31"/>
        <v>17.65625</v>
      </c>
      <c r="H2865">
        <f t="shared" si="32"/>
        <v>0</v>
      </c>
      <c r="I2865">
        <v>17.66</v>
      </c>
      <c r="J2865">
        <f t="shared" si="33"/>
        <v>82.34375</v>
      </c>
      <c r="K2865">
        <v>0.8</v>
      </c>
      <c r="L2865">
        <v>0.3</v>
      </c>
      <c r="M2865">
        <v>0.7</v>
      </c>
      <c r="N2865">
        <v>527</v>
      </c>
      <c r="O2865">
        <v>113</v>
      </c>
      <c r="P2865">
        <v>0</v>
      </c>
      <c r="Q2865">
        <v>17.66</v>
      </c>
      <c r="R2865" t="s">
        <v>246</v>
      </c>
      <c r="S2865">
        <v>0.55000000000000004</v>
      </c>
      <c r="T2865">
        <v>0.63</v>
      </c>
    </row>
    <row r="2866" spans="1:20" ht="15" customHeight="1" x14ac:dyDescent="0.25">
      <c r="A2866" s="2">
        <v>45325.576481481483</v>
      </c>
      <c r="B2866" t="s">
        <v>309</v>
      </c>
      <c r="C2866" t="s">
        <v>370</v>
      </c>
      <c r="D2866">
        <v>2</v>
      </c>
      <c r="E2866" t="s">
        <v>52</v>
      </c>
      <c r="F2866" t="s">
        <v>373</v>
      </c>
      <c r="G2866">
        <f t="shared" si="31"/>
        <v>7.4235807860262017</v>
      </c>
      <c r="H2866">
        <f t="shared" si="32"/>
        <v>0</v>
      </c>
      <c r="I2866">
        <v>7.42</v>
      </c>
      <c r="J2866">
        <f t="shared" si="33"/>
        <v>92.576419213973807</v>
      </c>
      <c r="K2866">
        <v>0.8</v>
      </c>
      <c r="L2866">
        <v>0.3</v>
      </c>
      <c r="M2866">
        <v>0.7</v>
      </c>
      <c r="N2866">
        <v>636</v>
      </c>
      <c r="O2866">
        <v>51</v>
      </c>
      <c r="P2866">
        <v>0</v>
      </c>
      <c r="Q2866">
        <v>7.42</v>
      </c>
      <c r="R2866" t="s">
        <v>359</v>
      </c>
      <c r="S2866">
        <v>0.26</v>
      </c>
      <c r="T2866">
        <v>0.3</v>
      </c>
    </row>
    <row r="2867" spans="1:20" ht="15" customHeight="1" x14ac:dyDescent="0.25">
      <c r="A2867" s="2">
        <v>45325.577800925923</v>
      </c>
      <c r="B2867" t="s">
        <v>309</v>
      </c>
      <c r="C2867" t="s">
        <v>370</v>
      </c>
      <c r="D2867">
        <v>2</v>
      </c>
      <c r="E2867" t="s">
        <v>53</v>
      </c>
      <c r="F2867" t="s">
        <v>373</v>
      </c>
      <c r="G2867">
        <f t="shared" si="31"/>
        <v>82.869692532942892</v>
      </c>
      <c r="H2867">
        <f t="shared" si="32"/>
        <v>0</v>
      </c>
      <c r="I2867">
        <v>82.87</v>
      </c>
      <c r="J2867">
        <f t="shared" si="33"/>
        <v>17.130307467057101</v>
      </c>
      <c r="K2867">
        <v>0.8</v>
      </c>
      <c r="L2867">
        <v>0.3</v>
      </c>
      <c r="M2867">
        <v>0.7</v>
      </c>
      <c r="N2867">
        <v>117</v>
      </c>
      <c r="O2867">
        <v>566</v>
      </c>
      <c r="P2867">
        <v>0</v>
      </c>
      <c r="Q2867">
        <v>82.87</v>
      </c>
      <c r="R2867" t="s">
        <v>343</v>
      </c>
      <c r="S2867">
        <v>2.2799999999999998</v>
      </c>
      <c r="T2867">
        <v>2.73</v>
      </c>
    </row>
    <row r="2868" spans="1:20" ht="15" customHeight="1" x14ac:dyDescent="0.25">
      <c r="A2868" s="2">
        <v>45325.57949074074</v>
      </c>
      <c r="B2868" t="s">
        <v>309</v>
      </c>
      <c r="C2868" t="s">
        <v>370</v>
      </c>
      <c r="D2868">
        <v>2</v>
      </c>
      <c r="E2868" t="s">
        <v>54</v>
      </c>
      <c r="F2868" t="s">
        <v>373</v>
      </c>
      <c r="G2868">
        <f t="shared" si="31"/>
        <v>0.44510385756676557</v>
      </c>
      <c r="H2868">
        <f t="shared" si="32"/>
        <v>0</v>
      </c>
      <c r="I2868">
        <v>0.45</v>
      </c>
      <c r="J2868">
        <f t="shared" si="33"/>
        <v>99.554896142433236</v>
      </c>
      <c r="K2868">
        <v>0.8</v>
      </c>
      <c r="L2868">
        <v>0.3</v>
      </c>
      <c r="M2868">
        <v>0.7</v>
      </c>
      <c r="N2868">
        <v>671</v>
      </c>
      <c r="O2868">
        <v>3</v>
      </c>
      <c r="P2868">
        <v>0</v>
      </c>
      <c r="Q2868">
        <v>0.45</v>
      </c>
      <c r="R2868" t="s">
        <v>256</v>
      </c>
      <c r="S2868">
        <v>0.01</v>
      </c>
      <c r="T2868">
        <v>0.01</v>
      </c>
    </row>
    <row r="2869" spans="1:20" ht="15" customHeight="1" x14ac:dyDescent="0.25">
      <c r="A2869" s="2">
        <v>45325.580914351849</v>
      </c>
      <c r="B2869" t="s">
        <v>309</v>
      </c>
      <c r="C2869" t="s">
        <v>370</v>
      </c>
      <c r="D2869">
        <v>2</v>
      </c>
      <c r="E2869" t="s">
        <v>57</v>
      </c>
      <c r="F2869" t="s">
        <v>373</v>
      </c>
      <c r="G2869">
        <f t="shared" si="31"/>
        <v>17.647058823529413</v>
      </c>
      <c r="H2869">
        <f t="shared" si="32"/>
        <v>0</v>
      </c>
      <c r="I2869">
        <v>17.649999999999999</v>
      </c>
      <c r="J2869">
        <f t="shared" si="33"/>
        <v>82.35294117647058</v>
      </c>
      <c r="K2869">
        <v>0.8</v>
      </c>
      <c r="L2869">
        <v>0.3</v>
      </c>
      <c r="M2869">
        <v>0.7</v>
      </c>
      <c r="N2869">
        <v>504</v>
      </c>
      <c r="O2869">
        <v>108</v>
      </c>
      <c r="P2869">
        <v>0</v>
      </c>
      <c r="Q2869">
        <v>17.649999999999999</v>
      </c>
      <c r="R2869" t="s">
        <v>347</v>
      </c>
      <c r="S2869">
        <v>0.52</v>
      </c>
      <c r="T2869">
        <v>0.63</v>
      </c>
    </row>
    <row r="2870" spans="1:20" ht="15" customHeight="1" x14ac:dyDescent="0.25">
      <c r="A2870" s="2">
        <v>45325.582291666666</v>
      </c>
      <c r="B2870" t="s">
        <v>309</v>
      </c>
      <c r="C2870" t="s">
        <v>370</v>
      </c>
      <c r="D2870">
        <v>2</v>
      </c>
      <c r="E2870" t="s">
        <v>59</v>
      </c>
      <c r="F2870" t="s">
        <v>373</v>
      </c>
      <c r="G2870">
        <f t="shared" si="31"/>
        <v>47.385103011093506</v>
      </c>
      <c r="H2870">
        <f t="shared" si="32"/>
        <v>0</v>
      </c>
      <c r="I2870">
        <v>47.39</v>
      </c>
      <c r="J2870">
        <f t="shared" si="33"/>
        <v>52.614896988906501</v>
      </c>
      <c r="K2870">
        <v>0.8</v>
      </c>
      <c r="L2870">
        <v>0.3</v>
      </c>
      <c r="M2870">
        <v>0.7</v>
      </c>
      <c r="N2870">
        <v>332</v>
      </c>
      <c r="O2870">
        <v>299</v>
      </c>
      <c r="P2870">
        <v>0</v>
      </c>
      <c r="Q2870">
        <v>47.39</v>
      </c>
      <c r="R2870" t="s">
        <v>265</v>
      </c>
      <c r="S2870">
        <v>1.32</v>
      </c>
      <c r="T2870">
        <v>1.51</v>
      </c>
    </row>
    <row r="2871" spans="1:20" ht="15" customHeight="1" x14ac:dyDescent="0.25">
      <c r="A2871" s="2">
        <v>45325.583749999998</v>
      </c>
      <c r="B2871" t="s">
        <v>309</v>
      </c>
      <c r="C2871" t="s">
        <v>370</v>
      </c>
      <c r="D2871">
        <v>2</v>
      </c>
      <c r="E2871" t="s">
        <v>60</v>
      </c>
      <c r="F2871" t="s">
        <v>373</v>
      </c>
      <c r="G2871">
        <f t="shared" si="31"/>
        <v>0.15105740181268881</v>
      </c>
      <c r="H2871">
        <f t="shared" si="32"/>
        <v>0</v>
      </c>
      <c r="I2871">
        <v>0.15</v>
      </c>
      <c r="J2871">
        <f t="shared" si="33"/>
        <v>99.848942598187307</v>
      </c>
      <c r="K2871">
        <v>0.8</v>
      </c>
      <c r="L2871">
        <v>0.3</v>
      </c>
      <c r="M2871">
        <v>0.7</v>
      </c>
      <c r="N2871">
        <v>661</v>
      </c>
      <c r="O2871">
        <v>1</v>
      </c>
      <c r="P2871">
        <v>0</v>
      </c>
      <c r="Q2871">
        <v>0.15</v>
      </c>
      <c r="R2871" t="s">
        <v>369</v>
      </c>
      <c r="S2871">
        <v>0</v>
      </c>
      <c r="T2871">
        <v>0</v>
      </c>
    </row>
    <row r="2872" spans="1:20" ht="15" customHeight="1" x14ac:dyDescent="0.25">
      <c r="A2872" s="2">
        <v>45325.585092592592</v>
      </c>
      <c r="B2872" t="s">
        <v>309</v>
      </c>
      <c r="C2872" t="s">
        <v>370</v>
      </c>
      <c r="D2872">
        <v>2</v>
      </c>
      <c r="E2872" t="s">
        <v>61</v>
      </c>
      <c r="F2872" t="s">
        <v>373</v>
      </c>
      <c r="G2872">
        <f t="shared" si="31"/>
        <v>13.700787401574804</v>
      </c>
      <c r="H2872">
        <f t="shared" si="32"/>
        <v>0</v>
      </c>
      <c r="I2872">
        <v>13.7</v>
      </c>
      <c r="J2872">
        <f t="shared" si="33"/>
        <v>86.2992125984252</v>
      </c>
      <c r="K2872">
        <v>0.8</v>
      </c>
      <c r="L2872">
        <v>0.3</v>
      </c>
      <c r="M2872">
        <v>0.7</v>
      </c>
      <c r="N2872">
        <v>548</v>
      </c>
      <c r="O2872">
        <v>87</v>
      </c>
      <c r="P2872">
        <v>0</v>
      </c>
      <c r="Q2872">
        <v>13.7</v>
      </c>
      <c r="R2872" t="s">
        <v>285</v>
      </c>
      <c r="S2872">
        <v>0.39</v>
      </c>
      <c r="T2872">
        <v>0.45</v>
      </c>
    </row>
    <row r="2873" spans="1:20" ht="15" customHeight="1" x14ac:dyDescent="0.25">
      <c r="A2873" s="2">
        <v>45325.586446759262</v>
      </c>
      <c r="B2873" t="s">
        <v>309</v>
      </c>
      <c r="C2873" t="s">
        <v>370</v>
      </c>
      <c r="D2873">
        <v>2</v>
      </c>
      <c r="E2873" t="s">
        <v>63</v>
      </c>
      <c r="F2873" t="s">
        <v>373</v>
      </c>
      <c r="G2873">
        <f t="shared" si="31"/>
        <v>32.75529865125241</v>
      </c>
      <c r="H2873">
        <f t="shared" si="32"/>
        <v>0</v>
      </c>
      <c r="I2873">
        <v>32.76</v>
      </c>
      <c r="J2873">
        <f t="shared" si="33"/>
        <v>67.244701348747597</v>
      </c>
      <c r="K2873">
        <v>0.8</v>
      </c>
      <c r="L2873">
        <v>0.3</v>
      </c>
      <c r="M2873">
        <v>0.7</v>
      </c>
      <c r="N2873">
        <v>349</v>
      </c>
      <c r="O2873">
        <v>170</v>
      </c>
      <c r="P2873">
        <v>0</v>
      </c>
      <c r="Q2873">
        <v>32.76</v>
      </c>
      <c r="R2873" t="s">
        <v>240</v>
      </c>
      <c r="S2873">
        <v>0.92</v>
      </c>
      <c r="T2873">
        <v>1.07</v>
      </c>
    </row>
    <row r="2874" spans="1:20" ht="15" customHeight="1" x14ac:dyDescent="0.25">
      <c r="A2874" s="2">
        <v>45325.587962962964</v>
      </c>
      <c r="B2874" t="s">
        <v>309</v>
      </c>
      <c r="C2874" t="s">
        <v>370</v>
      </c>
      <c r="D2874">
        <v>2</v>
      </c>
      <c r="E2874" t="s">
        <v>64</v>
      </c>
      <c r="F2874" t="s">
        <v>373</v>
      </c>
      <c r="G2874">
        <f t="shared" si="31"/>
        <v>5.2873563218390807</v>
      </c>
      <c r="H2874">
        <f t="shared" si="32"/>
        <v>0</v>
      </c>
      <c r="I2874">
        <v>5.29</v>
      </c>
      <c r="J2874">
        <f t="shared" si="33"/>
        <v>94.71264367816093</v>
      </c>
      <c r="K2874">
        <v>0.8</v>
      </c>
      <c r="L2874">
        <v>0.3</v>
      </c>
      <c r="M2874">
        <v>0.7</v>
      </c>
      <c r="N2874">
        <v>412</v>
      </c>
      <c r="O2874">
        <v>23</v>
      </c>
      <c r="P2874">
        <v>0</v>
      </c>
      <c r="Q2874">
        <v>5.29</v>
      </c>
      <c r="R2874" t="s">
        <v>260</v>
      </c>
      <c r="S2874">
        <v>0.19</v>
      </c>
      <c r="T2874">
        <v>0.22</v>
      </c>
    </row>
    <row r="2875" spans="1:20" ht="15" customHeight="1" x14ac:dyDescent="0.25">
      <c r="A2875" s="2">
        <v>45325.589409722219</v>
      </c>
      <c r="B2875" t="s">
        <v>309</v>
      </c>
      <c r="C2875" t="s">
        <v>370</v>
      </c>
      <c r="D2875">
        <v>2</v>
      </c>
      <c r="E2875" t="s">
        <v>69</v>
      </c>
      <c r="F2875" t="s">
        <v>373</v>
      </c>
      <c r="G2875">
        <f t="shared" si="31"/>
        <v>0</v>
      </c>
      <c r="H2875">
        <f t="shared" si="32"/>
        <v>0</v>
      </c>
      <c r="I2875">
        <v>0</v>
      </c>
      <c r="J2875">
        <f t="shared" si="33"/>
        <v>100</v>
      </c>
      <c r="K2875">
        <v>0.8</v>
      </c>
      <c r="L2875">
        <v>0.3</v>
      </c>
      <c r="M2875">
        <v>0.7</v>
      </c>
      <c r="N2875">
        <v>602</v>
      </c>
      <c r="O2875">
        <v>0</v>
      </c>
      <c r="P2875">
        <v>0</v>
      </c>
      <c r="Q2875">
        <v>0</v>
      </c>
      <c r="R2875" t="s">
        <v>359</v>
      </c>
      <c r="S2875">
        <v>0.03</v>
      </c>
      <c r="T2875">
        <v>0.03</v>
      </c>
    </row>
    <row r="2876" spans="1:20" ht="15" customHeight="1" x14ac:dyDescent="0.25">
      <c r="A2876" s="2">
        <v>45325.590717592589</v>
      </c>
      <c r="B2876" t="s">
        <v>309</v>
      </c>
      <c r="C2876" t="s">
        <v>370</v>
      </c>
      <c r="D2876">
        <v>2</v>
      </c>
      <c r="E2876" t="s">
        <v>70</v>
      </c>
      <c r="F2876" t="s">
        <v>373</v>
      </c>
      <c r="G2876">
        <f t="shared" si="31"/>
        <v>0.6211180124223602</v>
      </c>
      <c r="H2876">
        <f t="shared" si="32"/>
        <v>0</v>
      </c>
      <c r="I2876">
        <v>0.62</v>
      </c>
      <c r="J2876">
        <f t="shared" si="33"/>
        <v>99.378881987577643</v>
      </c>
      <c r="K2876">
        <v>0.8</v>
      </c>
      <c r="L2876">
        <v>0.3</v>
      </c>
      <c r="M2876">
        <v>0.7</v>
      </c>
      <c r="N2876">
        <v>640</v>
      </c>
      <c r="O2876">
        <v>4</v>
      </c>
      <c r="P2876">
        <v>0</v>
      </c>
      <c r="Q2876">
        <v>0.62</v>
      </c>
      <c r="R2876" t="s">
        <v>249</v>
      </c>
      <c r="S2876">
        <v>0.03</v>
      </c>
      <c r="T2876">
        <v>0.04</v>
      </c>
    </row>
    <row r="2877" spans="1:20" ht="15" customHeight="1" x14ac:dyDescent="0.25">
      <c r="A2877" s="2">
        <v>45325.591944444444</v>
      </c>
      <c r="B2877" t="s">
        <v>309</v>
      </c>
      <c r="C2877" t="s">
        <v>370</v>
      </c>
      <c r="D2877">
        <v>2</v>
      </c>
      <c r="E2877" t="s">
        <v>71</v>
      </c>
      <c r="F2877" t="s">
        <v>373</v>
      </c>
      <c r="G2877">
        <f t="shared" si="31"/>
        <v>4.3154761904761907</v>
      </c>
      <c r="H2877">
        <f t="shared" si="32"/>
        <v>0</v>
      </c>
      <c r="I2877">
        <v>4.32</v>
      </c>
      <c r="J2877">
        <f t="shared" si="33"/>
        <v>95.68452380952381</v>
      </c>
      <c r="K2877">
        <v>0.8</v>
      </c>
      <c r="L2877">
        <v>0.3</v>
      </c>
      <c r="M2877">
        <v>0.7</v>
      </c>
      <c r="N2877">
        <v>643</v>
      </c>
      <c r="O2877">
        <v>29</v>
      </c>
      <c r="P2877">
        <v>0</v>
      </c>
      <c r="Q2877">
        <v>4.32</v>
      </c>
      <c r="R2877" t="s">
        <v>359</v>
      </c>
      <c r="S2877">
        <v>0.16</v>
      </c>
      <c r="T2877">
        <v>0.18</v>
      </c>
    </row>
    <row r="2878" spans="1:20" ht="15" customHeight="1" x14ac:dyDescent="0.25">
      <c r="A2878" s="2">
        <v>45325.593252314815</v>
      </c>
      <c r="B2878" t="s">
        <v>309</v>
      </c>
      <c r="C2878" t="s">
        <v>370</v>
      </c>
      <c r="D2878">
        <v>2</v>
      </c>
      <c r="E2878" t="s">
        <v>72</v>
      </c>
      <c r="F2878" t="s">
        <v>373</v>
      </c>
      <c r="G2878">
        <f t="shared" si="31"/>
        <v>13.006756756756758</v>
      </c>
      <c r="H2878">
        <f t="shared" si="32"/>
        <v>0</v>
      </c>
      <c r="I2878">
        <v>13.01</v>
      </c>
      <c r="J2878">
        <f t="shared" si="33"/>
        <v>86.993243243243242</v>
      </c>
      <c r="K2878">
        <v>0.8</v>
      </c>
      <c r="L2878">
        <v>0.3</v>
      </c>
      <c r="M2878">
        <v>0.7</v>
      </c>
      <c r="N2878">
        <v>515</v>
      </c>
      <c r="O2878">
        <v>77</v>
      </c>
      <c r="P2878">
        <v>0</v>
      </c>
      <c r="Q2878">
        <v>13.01</v>
      </c>
      <c r="R2878" t="s">
        <v>288</v>
      </c>
      <c r="S2878">
        <v>0.44</v>
      </c>
      <c r="T2878">
        <v>0.49</v>
      </c>
    </row>
    <row r="2879" spans="1:20" ht="15" customHeight="1" x14ac:dyDescent="0.25">
      <c r="A2879" s="2">
        <v>45325.594861111109</v>
      </c>
      <c r="B2879" t="s">
        <v>309</v>
      </c>
      <c r="C2879" t="s">
        <v>370</v>
      </c>
      <c r="D2879">
        <v>2</v>
      </c>
      <c r="E2879" t="s">
        <v>74</v>
      </c>
      <c r="F2879" t="s">
        <v>373</v>
      </c>
      <c r="G2879">
        <f t="shared" si="31"/>
        <v>0.28288543140028288</v>
      </c>
      <c r="H2879">
        <f t="shared" si="32"/>
        <v>0</v>
      </c>
      <c r="I2879">
        <v>0.28000000000000003</v>
      </c>
      <c r="J2879">
        <f t="shared" si="33"/>
        <v>99.717114568599712</v>
      </c>
      <c r="K2879">
        <v>0.8</v>
      </c>
      <c r="L2879">
        <v>0.3</v>
      </c>
      <c r="M2879">
        <v>0.7</v>
      </c>
      <c r="N2879">
        <v>705</v>
      </c>
      <c r="O2879">
        <v>2</v>
      </c>
      <c r="P2879">
        <v>0</v>
      </c>
      <c r="Q2879">
        <v>0.28000000000000003</v>
      </c>
      <c r="R2879" t="s">
        <v>367</v>
      </c>
      <c r="S2879">
        <v>0.03</v>
      </c>
      <c r="T2879">
        <v>0.03</v>
      </c>
    </row>
    <row r="2880" spans="1:20" ht="15" customHeight="1" x14ac:dyDescent="0.25">
      <c r="A2880" s="2">
        <v>45325.596215277779</v>
      </c>
      <c r="B2880" t="s">
        <v>309</v>
      </c>
      <c r="C2880" t="s">
        <v>370</v>
      </c>
      <c r="D2880">
        <v>2</v>
      </c>
      <c r="E2880" t="s">
        <v>75</v>
      </c>
      <c r="F2880" t="s">
        <v>373</v>
      </c>
      <c r="G2880">
        <f t="shared" si="31"/>
        <v>0.30211480362537763</v>
      </c>
      <c r="H2880">
        <f t="shared" si="32"/>
        <v>0</v>
      </c>
      <c r="I2880">
        <v>0.3</v>
      </c>
      <c r="J2880">
        <f t="shared" si="33"/>
        <v>99.697885196374628</v>
      </c>
      <c r="K2880">
        <v>0.8</v>
      </c>
      <c r="L2880">
        <v>0.3</v>
      </c>
      <c r="M2880">
        <v>0.7</v>
      </c>
      <c r="N2880">
        <v>660</v>
      </c>
      <c r="O2880">
        <v>2</v>
      </c>
      <c r="P2880">
        <v>0</v>
      </c>
      <c r="Q2880">
        <v>0.3</v>
      </c>
      <c r="R2880" t="s">
        <v>271</v>
      </c>
      <c r="S2880">
        <v>0.04</v>
      </c>
      <c r="T2880">
        <v>0.04</v>
      </c>
    </row>
    <row r="2881" spans="1:20" ht="15" customHeight="1" x14ac:dyDescent="0.25">
      <c r="A2881" s="2">
        <v>45325.597488425927</v>
      </c>
      <c r="B2881" t="s">
        <v>309</v>
      </c>
      <c r="C2881" t="s">
        <v>370</v>
      </c>
      <c r="D2881">
        <v>2</v>
      </c>
      <c r="E2881" t="s">
        <v>323</v>
      </c>
      <c r="F2881" t="s">
        <v>373</v>
      </c>
      <c r="G2881">
        <f t="shared" si="31"/>
        <v>3.3925686591276252</v>
      </c>
      <c r="H2881">
        <f t="shared" si="32"/>
        <v>0</v>
      </c>
      <c r="I2881">
        <v>3.39</v>
      </c>
      <c r="J2881">
        <f t="shared" si="33"/>
        <v>96.607431340872381</v>
      </c>
      <c r="K2881">
        <v>0.8</v>
      </c>
      <c r="L2881">
        <v>0.3</v>
      </c>
      <c r="M2881">
        <v>0.7</v>
      </c>
      <c r="N2881">
        <v>598</v>
      </c>
      <c r="O2881">
        <v>21</v>
      </c>
      <c r="P2881">
        <v>0</v>
      </c>
      <c r="Q2881">
        <v>3.39</v>
      </c>
      <c r="R2881" t="s">
        <v>279</v>
      </c>
      <c r="S2881">
        <v>0.16</v>
      </c>
      <c r="T2881">
        <v>0.2</v>
      </c>
    </row>
    <row r="2882" spans="1:20" ht="15" customHeight="1" x14ac:dyDescent="0.25">
      <c r="A2882" s="2">
        <v>45325.59888888889</v>
      </c>
      <c r="B2882" t="s">
        <v>309</v>
      </c>
      <c r="C2882" t="s">
        <v>370</v>
      </c>
      <c r="D2882">
        <v>2</v>
      </c>
      <c r="E2882" t="s">
        <v>81</v>
      </c>
      <c r="F2882" t="s">
        <v>373</v>
      </c>
      <c r="G2882">
        <f t="shared" si="31"/>
        <v>38.344226579520694</v>
      </c>
      <c r="H2882">
        <f t="shared" si="32"/>
        <v>0</v>
      </c>
      <c r="I2882">
        <v>38.340000000000003</v>
      </c>
      <c r="J2882">
        <f t="shared" si="33"/>
        <v>61.655773420479299</v>
      </c>
      <c r="K2882">
        <v>0.8</v>
      </c>
      <c r="L2882">
        <v>0.3</v>
      </c>
      <c r="M2882">
        <v>0.7</v>
      </c>
      <c r="N2882">
        <v>283</v>
      </c>
      <c r="O2882">
        <v>176</v>
      </c>
      <c r="P2882">
        <v>0</v>
      </c>
      <c r="Q2882">
        <v>38.340000000000003</v>
      </c>
      <c r="R2882" t="s">
        <v>330</v>
      </c>
      <c r="S2882">
        <v>1.06</v>
      </c>
      <c r="T2882">
        <v>1.23</v>
      </c>
    </row>
    <row r="2883" spans="1:20" ht="15" customHeight="1" x14ac:dyDescent="0.25">
      <c r="A2883" s="2">
        <v>45325.600543981483</v>
      </c>
      <c r="B2883" t="s">
        <v>309</v>
      </c>
      <c r="C2883" t="s">
        <v>370</v>
      </c>
      <c r="D2883">
        <v>2</v>
      </c>
      <c r="E2883" t="s">
        <v>83</v>
      </c>
      <c r="F2883" t="s">
        <v>373</v>
      </c>
      <c r="G2883">
        <f t="shared" si="31"/>
        <v>62.184873949579831</v>
      </c>
      <c r="H2883">
        <f t="shared" si="32"/>
        <v>0</v>
      </c>
      <c r="I2883">
        <v>62.18</v>
      </c>
      <c r="J2883">
        <f t="shared" si="33"/>
        <v>37.815126050420169</v>
      </c>
      <c r="K2883">
        <v>0.8</v>
      </c>
      <c r="L2883">
        <v>0.3</v>
      </c>
      <c r="M2883">
        <v>0.7</v>
      </c>
      <c r="N2883">
        <v>225</v>
      </c>
      <c r="O2883">
        <v>370</v>
      </c>
      <c r="P2883">
        <v>0</v>
      </c>
      <c r="Q2883">
        <v>62.18</v>
      </c>
      <c r="R2883" t="s">
        <v>334</v>
      </c>
      <c r="S2883">
        <v>1.72</v>
      </c>
      <c r="T2883">
        <v>2.08</v>
      </c>
    </row>
    <row r="2884" spans="1:20" ht="15" customHeight="1" x14ac:dyDescent="0.25">
      <c r="A2884" s="2">
        <v>45325.602418981478</v>
      </c>
      <c r="B2884" t="s">
        <v>309</v>
      </c>
      <c r="C2884" t="s">
        <v>370</v>
      </c>
      <c r="D2884">
        <v>2</v>
      </c>
      <c r="E2884" t="s">
        <v>84</v>
      </c>
      <c r="F2884" t="s">
        <v>373</v>
      </c>
      <c r="G2884">
        <f t="shared" si="31"/>
        <v>0</v>
      </c>
      <c r="H2884">
        <f t="shared" si="32"/>
        <v>0</v>
      </c>
      <c r="I2884">
        <v>0</v>
      </c>
      <c r="J2884">
        <f t="shared" si="33"/>
        <v>100</v>
      </c>
      <c r="K2884">
        <v>0.8</v>
      </c>
      <c r="L2884">
        <v>0.3</v>
      </c>
      <c r="M2884">
        <v>0.7</v>
      </c>
      <c r="N2884">
        <v>649</v>
      </c>
      <c r="O2884">
        <v>0</v>
      </c>
      <c r="P2884">
        <v>0</v>
      </c>
      <c r="Q2884">
        <v>0</v>
      </c>
      <c r="R2884" t="s">
        <v>265</v>
      </c>
      <c r="S2884">
        <v>0.01</v>
      </c>
      <c r="T2884">
        <v>0.01</v>
      </c>
    </row>
    <row r="2885" spans="1:20" ht="15" customHeight="1" x14ac:dyDescent="0.25">
      <c r="A2885" s="2">
        <v>45325.603888888887</v>
      </c>
      <c r="B2885" t="s">
        <v>309</v>
      </c>
      <c r="C2885" t="s">
        <v>370</v>
      </c>
      <c r="D2885">
        <v>2</v>
      </c>
      <c r="E2885" t="s">
        <v>86</v>
      </c>
      <c r="F2885" t="s">
        <v>373</v>
      </c>
      <c r="G2885">
        <f t="shared" si="31"/>
        <v>3.7300177619893424</v>
      </c>
      <c r="H2885">
        <f t="shared" si="32"/>
        <v>0</v>
      </c>
      <c r="I2885">
        <v>3.73</v>
      </c>
      <c r="J2885">
        <f t="shared" si="33"/>
        <v>96.269982238010655</v>
      </c>
      <c r="K2885">
        <v>0.8</v>
      </c>
      <c r="L2885">
        <v>0.3</v>
      </c>
      <c r="M2885">
        <v>0.7</v>
      </c>
      <c r="N2885">
        <v>542</v>
      </c>
      <c r="O2885">
        <v>21</v>
      </c>
      <c r="P2885">
        <v>0</v>
      </c>
      <c r="Q2885">
        <v>3.73</v>
      </c>
      <c r="R2885" t="s">
        <v>279</v>
      </c>
      <c r="S2885">
        <v>0.25</v>
      </c>
      <c r="T2885">
        <v>0.28999999999999998</v>
      </c>
    </row>
    <row r="2886" spans="1:20" ht="15" customHeight="1" x14ac:dyDescent="0.25">
      <c r="A2886" s="2">
        <v>45325.60528935185</v>
      </c>
      <c r="B2886" t="s">
        <v>309</v>
      </c>
      <c r="C2886" t="s">
        <v>370</v>
      </c>
      <c r="D2886">
        <v>2</v>
      </c>
      <c r="E2886" t="s">
        <v>87</v>
      </c>
      <c r="F2886" t="s">
        <v>373</v>
      </c>
      <c r="G2886">
        <f t="shared" si="31"/>
        <v>0</v>
      </c>
      <c r="H2886">
        <f t="shared" si="32"/>
        <v>0</v>
      </c>
      <c r="I2886">
        <v>0</v>
      </c>
      <c r="J2886">
        <f t="shared" si="33"/>
        <v>100</v>
      </c>
      <c r="K2886">
        <v>0.8</v>
      </c>
      <c r="L2886">
        <v>0.3</v>
      </c>
      <c r="M2886">
        <v>0.7</v>
      </c>
      <c r="N2886">
        <v>670</v>
      </c>
      <c r="O2886">
        <v>0</v>
      </c>
      <c r="P2886">
        <v>0</v>
      </c>
      <c r="Q2886">
        <v>0</v>
      </c>
      <c r="R2886" t="s">
        <v>258</v>
      </c>
      <c r="S2886">
        <v>0.02</v>
      </c>
      <c r="T2886">
        <v>0.03</v>
      </c>
    </row>
    <row r="2887" spans="1:20" ht="15" customHeight="1" x14ac:dyDescent="0.25">
      <c r="A2887" s="2">
        <v>45325.606666666667</v>
      </c>
      <c r="B2887" t="s">
        <v>309</v>
      </c>
      <c r="C2887" t="s">
        <v>370</v>
      </c>
      <c r="D2887">
        <v>2</v>
      </c>
      <c r="E2887" t="s">
        <v>89</v>
      </c>
      <c r="F2887" t="s">
        <v>373</v>
      </c>
      <c r="G2887">
        <f t="shared" si="31"/>
        <v>1.5748031496062991</v>
      </c>
      <c r="H2887">
        <f t="shared" si="32"/>
        <v>0</v>
      </c>
      <c r="I2887">
        <v>1.57</v>
      </c>
      <c r="J2887">
        <f t="shared" si="33"/>
        <v>98.425196850393704</v>
      </c>
      <c r="K2887">
        <v>0.8</v>
      </c>
      <c r="L2887">
        <v>0.3</v>
      </c>
      <c r="M2887">
        <v>0.7</v>
      </c>
      <c r="N2887">
        <v>625</v>
      </c>
      <c r="O2887">
        <v>10</v>
      </c>
      <c r="P2887">
        <v>0</v>
      </c>
      <c r="Q2887">
        <v>1.57</v>
      </c>
      <c r="R2887" t="s">
        <v>285</v>
      </c>
      <c r="S2887">
        <v>0.05</v>
      </c>
      <c r="T2887">
        <v>0.06</v>
      </c>
    </row>
    <row r="2888" spans="1:20" ht="15" customHeight="1" x14ac:dyDescent="0.25">
      <c r="A2888" s="2">
        <v>45325.608032407406</v>
      </c>
      <c r="B2888" t="s">
        <v>309</v>
      </c>
      <c r="C2888" t="s">
        <v>370</v>
      </c>
      <c r="D2888">
        <v>2</v>
      </c>
      <c r="E2888" t="s">
        <v>92</v>
      </c>
      <c r="F2888" t="s">
        <v>373</v>
      </c>
      <c r="G2888">
        <f t="shared" si="31"/>
        <v>0.45112781954887221</v>
      </c>
      <c r="H2888">
        <f t="shared" si="32"/>
        <v>0</v>
      </c>
      <c r="I2888">
        <v>0.45</v>
      </c>
      <c r="J2888">
        <f t="shared" si="33"/>
        <v>99.548872180451127</v>
      </c>
      <c r="K2888">
        <v>0.8</v>
      </c>
      <c r="L2888">
        <v>0.3</v>
      </c>
      <c r="M2888">
        <v>0.7</v>
      </c>
      <c r="N2888">
        <v>662</v>
      </c>
      <c r="O2888">
        <v>3</v>
      </c>
      <c r="P2888">
        <v>0</v>
      </c>
      <c r="Q2888">
        <v>0.45</v>
      </c>
      <c r="R2888" t="s">
        <v>275</v>
      </c>
      <c r="S2888">
        <v>0.03</v>
      </c>
      <c r="T2888">
        <v>0.04</v>
      </c>
    </row>
    <row r="2889" spans="1:20" ht="15" customHeight="1" x14ac:dyDescent="0.25">
      <c r="A2889" s="2">
        <v>45325.609351851854</v>
      </c>
      <c r="B2889" t="s">
        <v>309</v>
      </c>
      <c r="C2889" t="s">
        <v>370</v>
      </c>
      <c r="D2889">
        <v>2</v>
      </c>
      <c r="E2889" t="s">
        <v>94</v>
      </c>
      <c r="F2889" t="s">
        <v>373</v>
      </c>
      <c r="G2889">
        <f t="shared" si="31"/>
        <v>0.67453625632377734</v>
      </c>
      <c r="H2889">
        <f t="shared" si="32"/>
        <v>0</v>
      </c>
      <c r="I2889">
        <v>0.67</v>
      </c>
      <c r="J2889">
        <f t="shared" si="33"/>
        <v>99.325463743676224</v>
      </c>
      <c r="K2889">
        <v>0.8</v>
      </c>
      <c r="L2889">
        <v>0.3</v>
      </c>
      <c r="M2889">
        <v>0.7</v>
      </c>
      <c r="N2889">
        <v>589</v>
      </c>
      <c r="O2889">
        <v>4</v>
      </c>
      <c r="P2889">
        <v>0</v>
      </c>
      <c r="Q2889">
        <v>0.67</v>
      </c>
      <c r="R2889" t="s">
        <v>275</v>
      </c>
      <c r="S2889">
        <v>0.05</v>
      </c>
      <c r="T2889">
        <v>7.0000000000000007E-2</v>
      </c>
    </row>
    <row r="2890" spans="1:20" ht="15" customHeight="1" x14ac:dyDescent="0.25">
      <c r="A2890" s="2">
        <v>45325.610659722224</v>
      </c>
      <c r="B2890" t="s">
        <v>309</v>
      </c>
      <c r="C2890" t="s">
        <v>370</v>
      </c>
      <c r="D2890">
        <v>2</v>
      </c>
      <c r="E2890" t="s">
        <v>97</v>
      </c>
      <c r="F2890" t="s">
        <v>373</v>
      </c>
      <c r="G2890">
        <f t="shared" si="31"/>
        <v>18.530351437699679</v>
      </c>
      <c r="H2890">
        <f t="shared" si="32"/>
        <v>0</v>
      </c>
      <c r="I2890">
        <v>18.53</v>
      </c>
      <c r="J2890">
        <f t="shared" si="33"/>
        <v>81.469648562300321</v>
      </c>
      <c r="K2890">
        <v>0.8</v>
      </c>
      <c r="L2890">
        <v>0.3</v>
      </c>
      <c r="M2890">
        <v>0.7</v>
      </c>
      <c r="N2890">
        <v>510</v>
      </c>
      <c r="O2890">
        <v>116</v>
      </c>
      <c r="P2890">
        <v>0</v>
      </c>
      <c r="Q2890">
        <v>18.53</v>
      </c>
      <c r="R2890" t="s">
        <v>256</v>
      </c>
      <c r="S2890">
        <v>0.57999999999999996</v>
      </c>
      <c r="T2890">
        <v>0.65</v>
      </c>
    </row>
    <row r="2891" spans="1:20" ht="15" customHeight="1" x14ac:dyDescent="0.25">
      <c r="A2891" s="2">
        <v>45325.612083333333</v>
      </c>
      <c r="B2891" t="s">
        <v>309</v>
      </c>
      <c r="C2891" t="s">
        <v>370</v>
      </c>
      <c r="D2891">
        <v>2</v>
      </c>
      <c r="E2891" t="s">
        <v>98</v>
      </c>
      <c r="F2891" t="s">
        <v>373</v>
      </c>
      <c r="G2891">
        <f t="shared" si="31"/>
        <v>53.511705685618729</v>
      </c>
      <c r="H2891">
        <f t="shared" si="32"/>
        <v>0</v>
      </c>
      <c r="I2891">
        <v>53.51</v>
      </c>
      <c r="J2891">
        <f t="shared" si="33"/>
        <v>46.488294314381271</v>
      </c>
      <c r="K2891">
        <v>0.8</v>
      </c>
      <c r="L2891">
        <v>0.3</v>
      </c>
      <c r="M2891">
        <v>0.7</v>
      </c>
      <c r="N2891">
        <v>278</v>
      </c>
      <c r="O2891">
        <v>320</v>
      </c>
      <c r="P2891">
        <v>0</v>
      </c>
      <c r="Q2891">
        <v>53.51</v>
      </c>
      <c r="R2891" t="s">
        <v>230</v>
      </c>
      <c r="S2891">
        <v>1.35</v>
      </c>
      <c r="T2891">
        <v>1.64</v>
      </c>
    </row>
    <row r="2892" spans="1:20" ht="15" customHeight="1" x14ac:dyDescent="0.25">
      <c r="A2892" s="2">
        <v>45325.613749999997</v>
      </c>
      <c r="B2892" t="s">
        <v>309</v>
      </c>
      <c r="C2892" t="s">
        <v>370</v>
      </c>
      <c r="D2892">
        <v>2</v>
      </c>
      <c r="E2892" t="s">
        <v>324</v>
      </c>
      <c r="F2892" t="s">
        <v>373</v>
      </c>
      <c r="G2892">
        <f t="shared" si="31"/>
        <v>24.270353302611365</v>
      </c>
      <c r="H2892">
        <f t="shared" si="32"/>
        <v>0</v>
      </c>
      <c r="I2892">
        <v>24.27</v>
      </c>
      <c r="J2892">
        <f t="shared" si="33"/>
        <v>75.729646697388631</v>
      </c>
      <c r="K2892">
        <v>0.8</v>
      </c>
      <c r="L2892">
        <v>0.3</v>
      </c>
      <c r="M2892">
        <v>0.7</v>
      </c>
      <c r="N2892">
        <v>493</v>
      </c>
      <c r="O2892">
        <v>158</v>
      </c>
      <c r="P2892">
        <v>0</v>
      </c>
      <c r="Q2892">
        <v>24.27</v>
      </c>
      <c r="R2892" t="s">
        <v>347</v>
      </c>
      <c r="S2892">
        <v>0.72</v>
      </c>
      <c r="T2892">
        <v>0.83</v>
      </c>
    </row>
    <row r="2893" spans="1:20" ht="15" customHeight="1" x14ac:dyDescent="0.25">
      <c r="A2893" s="2">
        <v>45325.61513888889</v>
      </c>
      <c r="B2893" t="s">
        <v>309</v>
      </c>
      <c r="C2893" t="s">
        <v>370</v>
      </c>
      <c r="D2893">
        <v>2</v>
      </c>
      <c r="E2893" t="s">
        <v>100</v>
      </c>
      <c r="F2893" t="s">
        <v>373</v>
      </c>
      <c r="G2893">
        <f t="shared" si="31"/>
        <v>78.181818181818187</v>
      </c>
      <c r="H2893">
        <f t="shared" si="32"/>
        <v>0</v>
      </c>
      <c r="I2893">
        <v>78.180000000000007</v>
      </c>
      <c r="J2893">
        <f t="shared" si="33"/>
        <v>21.818181818181817</v>
      </c>
      <c r="K2893">
        <v>0.8</v>
      </c>
      <c r="L2893">
        <v>0.3</v>
      </c>
      <c r="M2893">
        <v>0.7</v>
      </c>
      <c r="N2893">
        <v>144</v>
      </c>
      <c r="O2893">
        <v>516</v>
      </c>
      <c r="P2893">
        <v>0</v>
      </c>
      <c r="Q2893">
        <v>78.180000000000007</v>
      </c>
      <c r="R2893" t="s">
        <v>236</v>
      </c>
      <c r="S2893">
        <v>2.09</v>
      </c>
      <c r="T2893">
        <v>2.48</v>
      </c>
    </row>
    <row r="2894" spans="1:20" ht="15" customHeight="1" x14ac:dyDescent="0.25">
      <c r="A2894" s="2">
        <v>45325.616666666669</v>
      </c>
      <c r="B2894" t="s">
        <v>309</v>
      </c>
      <c r="C2894" t="s">
        <v>370</v>
      </c>
      <c r="D2894">
        <v>2</v>
      </c>
      <c r="E2894" t="s">
        <v>104</v>
      </c>
      <c r="F2894" t="s">
        <v>373</v>
      </c>
      <c r="G2894">
        <f t="shared" si="31"/>
        <v>0.64516129032258063</v>
      </c>
      <c r="H2894">
        <f t="shared" si="32"/>
        <v>0</v>
      </c>
      <c r="I2894">
        <v>0.65</v>
      </c>
      <c r="J2894">
        <f t="shared" si="33"/>
        <v>99.354838709677423</v>
      </c>
      <c r="K2894">
        <v>0.8</v>
      </c>
      <c r="L2894">
        <v>0.3</v>
      </c>
      <c r="M2894">
        <v>0.7</v>
      </c>
      <c r="N2894">
        <v>616</v>
      </c>
      <c r="O2894">
        <v>4</v>
      </c>
      <c r="P2894">
        <v>0</v>
      </c>
      <c r="Q2894">
        <v>0.65</v>
      </c>
      <c r="R2894" t="s">
        <v>277</v>
      </c>
      <c r="S2894">
        <v>0.05</v>
      </c>
      <c r="T2894">
        <v>0.06</v>
      </c>
    </row>
    <row r="2895" spans="1:20" ht="15" customHeight="1" x14ac:dyDescent="0.25">
      <c r="A2895" s="2">
        <v>45325.61791666667</v>
      </c>
      <c r="B2895" t="s">
        <v>309</v>
      </c>
      <c r="C2895" t="s">
        <v>370</v>
      </c>
      <c r="D2895">
        <v>2</v>
      </c>
      <c r="E2895" t="s">
        <v>107</v>
      </c>
      <c r="F2895" t="s">
        <v>373</v>
      </c>
      <c r="G2895">
        <f t="shared" si="31"/>
        <v>7.7363896848137532</v>
      </c>
      <c r="H2895">
        <f t="shared" si="32"/>
        <v>0</v>
      </c>
      <c r="I2895">
        <v>7.74</v>
      </c>
      <c r="J2895">
        <f t="shared" si="33"/>
        <v>92.263610315186256</v>
      </c>
      <c r="K2895">
        <v>0.8</v>
      </c>
      <c r="L2895">
        <v>0.3</v>
      </c>
      <c r="M2895">
        <v>0.7</v>
      </c>
      <c r="N2895">
        <v>644</v>
      </c>
      <c r="O2895">
        <v>54</v>
      </c>
      <c r="P2895">
        <v>0</v>
      </c>
      <c r="Q2895">
        <v>7.74</v>
      </c>
      <c r="R2895" t="s">
        <v>276</v>
      </c>
      <c r="S2895">
        <v>0.22</v>
      </c>
      <c r="T2895">
        <v>0.26</v>
      </c>
    </row>
    <row r="2896" spans="1:20" ht="15" customHeight="1" x14ac:dyDescent="0.25">
      <c r="A2896" s="2">
        <v>45325.619201388887</v>
      </c>
      <c r="B2896" t="s">
        <v>309</v>
      </c>
      <c r="C2896" t="s">
        <v>370</v>
      </c>
      <c r="D2896">
        <v>2</v>
      </c>
      <c r="E2896" t="s">
        <v>108</v>
      </c>
      <c r="F2896" t="s">
        <v>373</v>
      </c>
      <c r="G2896">
        <f t="shared" si="31"/>
        <v>2.0895522388059704</v>
      </c>
      <c r="H2896">
        <f t="shared" si="32"/>
        <v>0</v>
      </c>
      <c r="I2896">
        <v>2.09</v>
      </c>
      <c r="J2896">
        <f t="shared" si="33"/>
        <v>97.910447761194035</v>
      </c>
      <c r="K2896">
        <v>0.8</v>
      </c>
      <c r="L2896">
        <v>0.3</v>
      </c>
      <c r="M2896">
        <v>0.7</v>
      </c>
      <c r="N2896">
        <v>656</v>
      </c>
      <c r="O2896">
        <v>14</v>
      </c>
      <c r="P2896">
        <v>0</v>
      </c>
      <c r="Q2896">
        <v>2.09</v>
      </c>
      <c r="R2896" t="s">
        <v>271</v>
      </c>
      <c r="S2896">
        <v>0.11</v>
      </c>
      <c r="T2896">
        <v>0.13</v>
      </c>
    </row>
    <row r="2897" spans="1:20" ht="15" customHeight="1" x14ac:dyDescent="0.25">
      <c r="A2897" s="2">
        <v>45325.620474537034</v>
      </c>
      <c r="B2897" t="s">
        <v>309</v>
      </c>
      <c r="C2897" t="s">
        <v>370</v>
      </c>
      <c r="D2897">
        <v>2</v>
      </c>
      <c r="E2897" t="s">
        <v>116</v>
      </c>
      <c r="F2897" t="s">
        <v>373</v>
      </c>
      <c r="G2897">
        <f t="shared" si="31"/>
        <v>7.0362473347547976</v>
      </c>
      <c r="H2897">
        <f t="shared" si="32"/>
        <v>0</v>
      </c>
      <c r="I2897">
        <v>7.04</v>
      </c>
      <c r="J2897">
        <f t="shared" si="33"/>
        <v>92.96375266524521</v>
      </c>
      <c r="K2897">
        <v>0.8</v>
      </c>
      <c r="L2897">
        <v>0.3</v>
      </c>
      <c r="M2897">
        <v>0.7</v>
      </c>
      <c r="N2897">
        <v>436</v>
      </c>
      <c r="O2897">
        <v>33</v>
      </c>
      <c r="P2897">
        <v>0</v>
      </c>
      <c r="Q2897">
        <v>7.04</v>
      </c>
      <c r="R2897" t="s">
        <v>359</v>
      </c>
      <c r="S2897">
        <v>0.45</v>
      </c>
      <c r="T2897">
        <v>0.51</v>
      </c>
    </row>
    <row r="2898" spans="1:20" ht="15" customHeight="1" x14ac:dyDescent="0.25">
      <c r="A2898" s="2">
        <v>45325.621782407405</v>
      </c>
      <c r="B2898" t="s">
        <v>309</v>
      </c>
      <c r="C2898" t="s">
        <v>370</v>
      </c>
      <c r="D2898">
        <v>2</v>
      </c>
      <c r="E2898" t="s">
        <v>118</v>
      </c>
      <c r="F2898" t="s">
        <v>373</v>
      </c>
      <c r="G2898">
        <f t="shared" si="31"/>
        <v>6.0790273556231007</v>
      </c>
      <c r="H2898">
        <f t="shared" si="32"/>
        <v>0</v>
      </c>
      <c r="I2898">
        <v>6.08</v>
      </c>
      <c r="J2898">
        <f t="shared" si="33"/>
        <v>93.920972644376903</v>
      </c>
      <c r="K2898">
        <v>0.8</v>
      </c>
      <c r="L2898">
        <v>0.3</v>
      </c>
      <c r="M2898">
        <v>0.7</v>
      </c>
      <c r="N2898">
        <v>618</v>
      </c>
      <c r="O2898">
        <v>40</v>
      </c>
      <c r="P2898">
        <v>0</v>
      </c>
      <c r="Q2898">
        <v>6.08</v>
      </c>
      <c r="R2898" t="s">
        <v>359</v>
      </c>
      <c r="S2898">
        <v>0.21</v>
      </c>
      <c r="T2898">
        <v>0.25</v>
      </c>
    </row>
    <row r="2899" spans="1:20" ht="15" customHeight="1" x14ac:dyDescent="0.25">
      <c r="A2899" s="2">
        <v>45325.623078703706</v>
      </c>
      <c r="B2899" t="s">
        <v>309</v>
      </c>
      <c r="C2899" t="s">
        <v>370</v>
      </c>
      <c r="D2899">
        <v>2</v>
      </c>
      <c r="E2899" t="s">
        <v>120</v>
      </c>
      <c r="F2899" t="s">
        <v>373</v>
      </c>
      <c r="G2899">
        <f t="shared" si="31"/>
        <v>5.6971514242878563</v>
      </c>
      <c r="H2899">
        <f t="shared" si="32"/>
        <v>0</v>
      </c>
      <c r="I2899">
        <v>5.7</v>
      </c>
      <c r="J2899">
        <f t="shared" si="33"/>
        <v>94.302848575712133</v>
      </c>
      <c r="K2899">
        <v>0.8</v>
      </c>
      <c r="L2899">
        <v>0.3</v>
      </c>
      <c r="M2899">
        <v>0.7</v>
      </c>
      <c r="N2899">
        <v>629</v>
      </c>
      <c r="O2899">
        <v>38</v>
      </c>
      <c r="P2899">
        <v>0</v>
      </c>
      <c r="Q2899">
        <v>5.7</v>
      </c>
      <c r="R2899" t="s">
        <v>271</v>
      </c>
      <c r="S2899">
        <v>0.19</v>
      </c>
      <c r="T2899">
        <v>0.22</v>
      </c>
    </row>
    <row r="2900" spans="1:20" ht="15" customHeight="1" x14ac:dyDescent="0.25">
      <c r="A2900" s="2">
        <v>45325.624351851853</v>
      </c>
      <c r="B2900" t="s">
        <v>309</v>
      </c>
      <c r="C2900" t="s">
        <v>370</v>
      </c>
      <c r="D2900">
        <v>2</v>
      </c>
      <c r="E2900" t="s">
        <v>123</v>
      </c>
      <c r="F2900" t="s">
        <v>373</v>
      </c>
      <c r="G2900">
        <f t="shared" si="31"/>
        <v>0.30816640986132515</v>
      </c>
      <c r="H2900">
        <f t="shared" si="32"/>
        <v>0</v>
      </c>
      <c r="I2900">
        <v>0.31</v>
      </c>
      <c r="J2900">
        <f t="shared" si="33"/>
        <v>99.691833590138685</v>
      </c>
      <c r="K2900">
        <v>0.8</v>
      </c>
      <c r="L2900">
        <v>0.3</v>
      </c>
      <c r="M2900">
        <v>0.7</v>
      </c>
      <c r="N2900">
        <v>647</v>
      </c>
      <c r="O2900">
        <v>2</v>
      </c>
      <c r="P2900">
        <v>0</v>
      </c>
      <c r="Q2900">
        <v>0.31</v>
      </c>
      <c r="R2900" t="s">
        <v>252</v>
      </c>
      <c r="S2900">
        <v>0.02</v>
      </c>
      <c r="T2900">
        <v>0.03</v>
      </c>
    </row>
    <row r="2901" spans="1:20" ht="15" customHeight="1" x14ac:dyDescent="0.25">
      <c r="A2901" s="2">
        <v>45325.625532407408</v>
      </c>
      <c r="B2901" t="s">
        <v>309</v>
      </c>
      <c r="C2901" t="s">
        <v>370</v>
      </c>
      <c r="D2901">
        <v>2</v>
      </c>
      <c r="E2901" t="s">
        <v>124</v>
      </c>
      <c r="F2901" t="s">
        <v>373</v>
      </c>
      <c r="G2901">
        <f t="shared" si="31"/>
        <v>80.534918276374441</v>
      </c>
      <c r="H2901">
        <f t="shared" si="32"/>
        <v>0</v>
      </c>
      <c r="I2901">
        <v>80.53</v>
      </c>
      <c r="J2901">
        <f t="shared" si="33"/>
        <v>19.465081723625559</v>
      </c>
      <c r="K2901">
        <v>0.8</v>
      </c>
      <c r="L2901">
        <v>0.3</v>
      </c>
      <c r="M2901">
        <v>0.7</v>
      </c>
      <c r="N2901">
        <v>131</v>
      </c>
      <c r="O2901">
        <v>542</v>
      </c>
      <c r="P2901">
        <v>0</v>
      </c>
      <c r="Q2901">
        <v>80.53</v>
      </c>
      <c r="R2901" t="s">
        <v>288</v>
      </c>
      <c r="S2901">
        <v>2.29</v>
      </c>
      <c r="T2901">
        <v>2.75</v>
      </c>
    </row>
    <row r="2902" spans="1:20" ht="15" customHeight="1" x14ac:dyDescent="0.25">
      <c r="A2902" s="2">
        <v>45325.627152777779</v>
      </c>
      <c r="B2902" t="s">
        <v>309</v>
      </c>
      <c r="C2902" t="s">
        <v>370</v>
      </c>
      <c r="D2902">
        <v>2</v>
      </c>
      <c r="E2902" t="s">
        <v>125</v>
      </c>
      <c r="F2902" t="s">
        <v>373</v>
      </c>
      <c r="G2902">
        <f t="shared" si="31"/>
        <v>68.19852941176471</v>
      </c>
      <c r="H2902">
        <f t="shared" si="32"/>
        <v>0</v>
      </c>
      <c r="I2902">
        <v>68.2</v>
      </c>
      <c r="J2902">
        <f t="shared" si="33"/>
        <v>31.801470588235293</v>
      </c>
      <c r="K2902">
        <v>0.8</v>
      </c>
      <c r="L2902">
        <v>0.3</v>
      </c>
      <c r="M2902">
        <v>0.7</v>
      </c>
      <c r="N2902">
        <v>173</v>
      </c>
      <c r="O2902">
        <v>371</v>
      </c>
      <c r="P2902">
        <v>0</v>
      </c>
      <c r="Q2902">
        <v>68.2</v>
      </c>
      <c r="R2902" t="s">
        <v>260</v>
      </c>
      <c r="S2902">
        <v>1.8</v>
      </c>
      <c r="T2902">
        <v>2.0299999999999998</v>
      </c>
    </row>
    <row r="2903" spans="1:20" ht="15" customHeight="1" x14ac:dyDescent="0.25">
      <c r="A2903" s="2">
        <v>45325.628599537034</v>
      </c>
      <c r="B2903" t="s">
        <v>309</v>
      </c>
      <c r="C2903" t="s">
        <v>370</v>
      </c>
      <c r="D2903">
        <v>2</v>
      </c>
      <c r="E2903" t="s">
        <v>126</v>
      </c>
      <c r="F2903" t="s">
        <v>373</v>
      </c>
      <c r="G2903">
        <f t="shared" si="31"/>
        <v>6.4083457526080485</v>
      </c>
      <c r="H2903">
        <f t="shared" si="32"/>
        <v>0</v>
      </c>
      <c r="I2903">
        <v>6.41</v>
      </c>
      <c r="J2903">
        <f t="shared" si="33"/>
        <v>93.591654247391958</v>
      </c>
      <c r="K2903">
        <v>0.8</v>
      </c>
      <c r="L2903">
        <v>0.3</v>
      </c>
      <c r="M2903">
        <v>0.7</v>
      </c>
      <c r="N2903">
        <v>628</v>
      </c>
      <c r="O2903">
        <v>43</v>
      </c>
      <c r="P2903">
        <v>0</v>
      </c>
      <c r="Q2903">
        <v>6.41</v>
      </c>
      <c r="R2903" t="s">
        <v>275</v>
      </c>
      <c r="S2903">
        <v>0.22</v>
      </c>
      <c r="T2903">
        <v>0.25</v>
      </c>
    </row>
    <row r="2904" spans="1:20" ht="15" customHeight="1" x14ac:dyDescent="0.25">
      <c r="A2904" s="2">
        <v>45325.629918981482</v>
      </c>
      <c r="B2904" t="s">
        <v>309</v>
      </c>
      <c r="C2904" t="s">
        <v>370</v>
      </c>
      <c r="D2904">
        <v>2</v>
      </c>
      <c r="E2904" t="s">
        <v>129</v>
      </c>
      <c r="F2904" t="s">
        <v>373</v>
      </c>
      <c r="G2904">
        <f t="shared" si="31"/>
        <v>0.61538461538461542</v>
      </c>
      <c r="H2904">
        <f t="shared" si="32"/>
        <v>0</v>
      </c>
      <c r="I2904">
        <v>0.62</v>
      </c>
      <c r="J2904">
        <f t="shared" si="33"/>
        <v>99.384615384615387</v>
      </c>
      <c r="K2904">
        <v>0.8</v>
      </c>
      <c r="L2904">
        <v>0.3</v>
      </c>
      <c r="M2904">
        <v>0.7</v>
      </c>
      <c r="N2904">
        <v>646</v>
      </c>
      <c r="O2904">
        <v>4</v>
      </c>
      <c r="P2904">
        <v>0</v>
      </c>
      <c r="Q2904">
        <v>0.62</v>
      </c>
      <c r="R2904" t="s">
        <v>275</v>
      </c>
      <c r="S2904">
        <v>0.02</v>
      </c>
      <c r="T2904">
        <v>0.02</v>
      </c>
    </row>
    <row r="2905" spans="1:20" ht="15" customHeight="1" x14ac:dyDescent="0.25">
      <c r="A2905" s="2">
        <v>45325.631238425929</v>
      </c>
      <c r="B2905" t="s">
        <v>309</v>
      </c>
      <c r="C2905" t="s">
        <v>370</v>
      </c>
      <c r="D2905">
        <v>2</v>
      </c>
      <c r="E2905" t="s">
        <v>130</v>
      </c>
      <c r="F2905" t="s">
        <v>373</v>
      </c>
      <c r="G2905">
        <f t="shared" si="31"/>
        <v>8.2132564841498557</v>
      </c>
      <c r="H2905">
        <f t="shared" si="32"/>
        <v>0</v>
      </c>
      <c r="I2905">
        <v>8.2100000000000009</v>
      </c>
      <c r="J2905">
        <f t="shared" si="33"/>
        <v>91.786743515850148</v>
      </c>
      <c r="K2905">
        <v>0.8</v>
      </c>
      <c r="L2905">
        <v>0.3</v>
      </c>
      <c r="M2905">
        <v>0.7</v>
      </c>
      <c r="N2905">
        <v>637</v>
      </c>
      <c r="O2905">
        <v>57</v>
      </c>
      <c r="P2905">
        <v>0</v>
      </c>
      <c r="Q2905">
        <v>8.2100000000000009</v>
      </c>
      <c r="R2905" t="s">
        <v>369</v>
      </c>
      <c r="S2905">
        <v>0.25</v>
      </c>
      <c r="T2905">
        <v>0.3</v>
      </c>
    </row>
    <row r="2906" spans="1:20" ht="15" customHeight="1" x14ac:dyDescent="0.25">
      <c r="A2906" s="2">
        <v>45325.632569444446</v>
      </c>
      <c r="B2906" t="s">
        <v>309</v>
      </c>
      <c r="C2906" t="s">
        <v>370</v>
      </c>
      <c r="D2906">
        <v>2</v>
      </c>
      <c r="E2906" t="s">
        <v>131</v>
      </c>
      <c r="F2906" t="s">
        <v>373</v>
      </c>
      <c r="G2906">
        <f t="shared" si="31"/>
        <v>38.958707360861759</v>
      </c>
      <c r="H2906">
        <f t="shared" si="32"/>
        <v>0</v>
      </c>
      <c r="I2906">
        <v>38.96</v>
      </c>
      <c r="J2906">
        <f t="shared" si="33"/>
        <v>61.041292639138248</v>
      </c>
      <c r="K2906">
        <v>0.8</v>
      </c>
      <c r="L2906">
        <v>0.3</v>
      </c>
      <c r="M2906">
        <v>0.7</v>
      </c>
      <c r="N2906">
        <v>340</v>
      </c>
      <c r="O2906">
        <v>217</v>
      </c>
      <c r="P2906">
        <v>0</v>
      </c>
      <c r="Q2906">
        <v>38.96</v>
      </c>
      <c r="R2906" t="s">
        <v>260</v>
      </c>
      <c r="S2906">
        <v>1.0900000000000001</v>
      </c>
      <c r="T2906">
        <v>1.24</v>
      </c>
    </row>
    <row r="2907" spans="1:20" ht="15" customHeight="1" x14ac:dyDescent="0.25">
      <c r="A2907" s="2">
        <v>45325.634027777778</v>
      </c>
      <c r="B2907" t="s">
        <v>309</v>
      </c>
      <c r="C2907" t="s">
        <v>370</v>
      </c>
      <c r="D2907">
        <v>2</v>
      </c>
      <c r="E2907" t="s">
        <v>132</v>
      </c>
      <c r="F2907" t="s">
        <v>373</v>
      </c>
      <c r="G2907">
        <f t="shared" si="31"/>
        <v>21.708185053380781</v>
      </c>
      <c r="H2907">
        <f t="shared" si="32"/>
        <v>0</v>
      </c>
      <c r="I2907">
        <v>21.71</v>
      </c>
      <c r="J2907">
        <f t="shared" si="33"/>
        <v>78.291814946619226</v>
      </c>
      <c r="K2907">
        <v>0.8</v>
      </c>
      <c r="L2907">
        <v>0.3</v>
      </c>
      <c r="M2907">
        <v>0.7</v>
      </c>
      <c r="N2907">
        <v>440</v>
      </c>
      <c r="O2907">
        <v>122</v>
      </c>
      <c r="P2907">
        <v>0</v>
      </c>
      <c r="Q2907">
        <v>21.71</v>
      </c>
      <c r="R2907" t="s">
        <v>258</v>
      </c>
      <c r="S2907">
        <v>0.61</v>
      </c>
      <c r="T2907">
        <v>0.7</v>
      </c>
    </row>
    <row r="2908" spans="1:20" ht="15" customHeight="1" x14ac:dyDescent="0.25">
      <c r="A2908" s="2">
        <v>45325.635393518518</v>
      </c>
      <c r="B2908" t="s">
        <v>309</v>
      </c>
      <c r="C2908" t="s">
        <v>370</v>
      </c>
      <c r="D2908">
        <v>2</v>
      </c>
      <c r="E2908" t="s">
        <v>135</v>
      </c>
      <c r="F2908" t="s">
        <v>373</v>
      </c>
      <c r="G2908">
        <f t="shared" si="31"/>
        <v>0.76219512195121952</v>
      </c>
      <c r="H2908">
        <f t="shared" si="32"/>
        <v>0</v>
      </c>
      <c r="I2908">
        <v>0.76</v>
      </c>
      <c r="J2908">
        <f t="shared" si="33"/>
        <v>99.237804878048792</v>
      </c>
      <c r="K2908">
        <v>0.8</v>
      </c>
      <c r="L2908">
        <v>0.3</v>
      </c>
      <c r="M2908">
        <v>0.7</v>
      </c>
      <c r="N2908">
        <v>651</v>
      </c>
      <c r="O2908">
        <v>5</v>
      </c>
      <c r="P2908">
        <v>0</v>
      </c>
      <c r="Q2908">
        <v>0.76</v>
      </c>
      <c r="R2908" t="s">
        <v>284</v>
      </c>
      <c r="S2908">
        <v>0.08</v>
      </c>
      <c r="T2908">
        <v>0.09</v>
      </c>
    </row>
    <row r="2909" spans="1:20" ht="15" customHeight="1" x14ac:dyDescent="0.25">
      <c r="A2909" s="2">
        <v>45325.636828703704</v>
      </c>
      <c r="B2909" t="s">
        <v>309</v>
      </c>
      <c r="C2909" t="s">
        <v>370</v>
      </c>
      <c r="D2909">
        <v>2</v>
      </c>
      <c r="E2909" t="s">
        <v>136</v>
      </c>
      <c r="F2909" t="s">
        <v>373</v>
      </c>
      <c r="G2909">
        <f t="shared" si="31"/>
        <v>1.5600624024960998</v>
      </c>
      <c r="H2909">
        <f t="shared" si="32"/>
        <v>0</v>
      </c>
      <c r="I2909">
        <v>1.56</v>
      </c>
      <c r="J2909">
        <f t="shared" si="33"/>
        <v>98.439937597503899</v>
      </c>
      <c r="K2909">
        <v>0.8</v>
      </c>
      <c r="L2909">
        <v>0.3</v>
      </c>
      <c r="M2909">
        <v>0.7</v>
      </c>
      <c r="N2909">
        <v>631</v>
      </c>
      <c r="O2909">
        <v>10</v>
      </c>
      <c r="P2909">
        <v>0</v>
      </c>
      <c r="Q2909">
        <v>1.56</v>
      </c>
      <c r="R2909" t="s">
        <v>261</v>
      </c>
      <c r="S2909">
        <v>0.11</v>
      </c>
      <c r="T2909">
        <v>0.14000000000000001</v>
      </c>
    </row>
    <row r="2910" spans="1:20" ht="15" customHeight="1" x14ac:dyDescent="0.25">
      <c r="A2910" s="2">
        <v>45325.638229166667</v>
      </c>
      <c r="B2910" t="s">
        <v>309</v>
      </c>
      <c r="C2910" t="s">
        <v>370</v>
      </c>
      <c r="D2910">
        <v>2</v>
      </c>
      <c r="E2910" t="s">
        <v>137</v>
      </c>
      <c r="F2910" t="s">
        <v>373</v>
      </c>
      <c r="G2910">
        <f t="shared" si="31"/>
        <v>83.714285714285722</v>
      </c>
      <c r="H2910">
        <f t="shared" si="32"/>
        <v>0</v>
      </c>
      <c r="I2910">
        <v>83.71</v>
      </c>
      <c r="J2910">
        <f t="shared" si="33"/>
        <v>16.285714285714288</v>
      </c>
      <c r="K2910">
        <v>0.8</v>
      </c>
      <c r="L2910">
        <v>0.3</v>
      </c>
      <c r="M2910">
        <v>0.7</v>
      </c>
      <c r="N2910">
        <v>114</v>
      </c>
      <c r="O2910">
        <v>586</v>
      </c>
      <c r="P2910">
        <v>0</v>
      </c>
      <c r="Q2910">
        <v>83.71</v>
      </c>
      <c r="R2910" t="s">
        <v>341</v>
      </c>
      <c r="S2910">
        <v>2.31</v>
      </c>
      <c r="T2910">
        <v>2.84</v>
      </c>
    </row>
    <row r="2911" spans="1:20" ht="15" customHeight="1" x14ac:dyDescent="0.25">
      <c r="A2911" s="2">
        <v>45325.639907407407</v>
      </c>
      <c r="B2911" t="s">
        <v>309</v>
      </c>
      <c r="C2911" t="s">
        <v>370</v>
      </c>
      <c r="D2911">
        <v>2</v>
      </c>
      <c r="E2911" t="s">
        <v>138</v>
      </c>
      <c r="F2911" t="s">
        <v>373</v>
      </c>
      <c r="G2911">
        <f t="shared" si="31"/>
        <v>0</v>
      </c>
      <c r="H2911">
        <f t="shared" si="32"/>
        <v>0</v>
      </c>
      <c r="I2911">
        <v>0</v>
      </c>
      <c r="J2911">
        <f t="shared" si="33"/>
        <v>100</v>
      </c>
      <c r="K2911">
        <v>0.8</v>
      </c>
      <c r="L2911">
        <v>0.3</v>
      </c>
      <c r="M2911">
        <v>0.7</v>
      </c>
      <c r="N2911">
        <v>669</v>
      </c>
      <c r="O2911">
        <v>0</v>
      </c>
      <c r="P2911">
        <v>0</v>
      </c>
      <c r="Q2911">
        <v>0</v>
      </c>
      <c r="R2911" t="s">
        <v>347</v>
      </c>
      <c r="S2911">
        <v>0.01</v>
      </c>
      <c r="T2911">
        <v>0.01</v>
      </c>
    </row>
    <row r="2912" spans="1:20" ht="15" customHeight="1" x14ac:dyDescent="0.25">
      <c r="A2912" s="2">
        <v>45325.641284722224</v>
      </c>
      <c r="B2912" t="s">
        <v>309</v>
      </c>
      <c r="C2912" t="s">
        <v>370</v>
      </c>
      <c r="D2912">
        <v>2</v>
      </c>
      <c r="E2912" t="s">
        <v>140</v>
      </c>
      <c r="F2912" t="s">
        <v>373</v>
      </c>
      <c r="G2912">
        <f t="shared" ref="G2912:G2975" si="34">(O2912/(N2912+O2912+P2912))*100</f>
        <v>18.380062305295951</v>
      </c>
      <c r="H2912">
        <f t="shared" ref="H2912:H2975" si="35">(P2912/(O2912+P2912+N2912))*100</f>
        <v>0</v>
      </c>
      <c r="I2912">
        <v>18.38</v>
      </c>
      <c r="J2912">
        <f t="shared" ref="J2912:J2975" si="36">(N2912/(P2912+O2912+N2912))*100</f>
        <v>81.619937694704049</v>
      </c>
      <c r="K2912">
        <v>0.8</v>
      </c>
      <c r="L2912">
        <v>0.3</v>
      </c>
      <c r="M2912">
        <v>0.7</v>
      </c>
      <c r="N2912">
        <v>524</v>
      </c>
      <c r="O2912">
        <v>118</v>
      </c>
      <c r="P2912">
        <v>0</v>
      </c>
      <c r="Q2912">
        <v>18.38</v>
      </c>
      <c r="R2912" t="s">
        <v>256</v>
      </c>
      <c r="S2912">
        <v>0.56000000000000005</v>
      </c>
      <c r="T2912">
        <v>0.63</v>
      </c>
    </row>
    <row r="2913" spans="1:20" ht="15" customHeight="1" x14ac:dyDescent="0.25">
      <c r="A2913" s="2">
        <v>45325.642696759256</v>
      </c>
      <c r="B2913" t="s">
        <v>309</v>
      </c>
      <c r="C2913" t="s">
        <v>370</v>
      </c>
      <c r="D2913">
        <v>2</v>
      </c>
      <c r="E2913" t="s">
        <v>141</v>
      </c>
      <c r="F2913" t="s">
        <v>373</v>
      </c>
      <c r="G2913">
        <f t="shared" si="34"/>
        <v>8.931419457735247</v>
      </c>
      <c r="H2913">
        <f t="shared" si="35"/>
        <v>0</v>
      </c>
      <c r="I2913">
        <v>8.93</v>
      </c>
      <c r="J2913">
        <f t="shared" si="36"/>
        <v>91.068580542264755</v>
      </c>
      <c r="K2913">
        <v>0.8</v>
      </c>
      <c r="L2913">
        <v>0.3</v>
      </c>
      <c r="M2913">
        <v>0.7</v>
      </c>
      <c r="N2913">
        <v>571</v>
      </c>
      <c r="O2913">
        <v>56</v>
      </c>
      <c r="P2913">
        <v>0</v>
      </c>
      <c r="Q2913">
        <v>8.93</v>
      </c>
      <c r="R2913" t="s">
        <v>285</v>
      </c>
      <c r="S2913">
        <v>0.31</v>
      </c>
      <c r="T2913">
        <v>0.35</v>
      </c>
    </row>
    <row r="2914" spans="1:20" ht="15" customHeight="1" x14ac:dyDescent="0.25">
      <c r="A2914" s="2">
        <v>45325.644074074073</v>
      </c>
      <c r="B2914" t="s">
        <v>309</v>
      </c>
      <c r="C2914" t="s">
        <v>370</v>
      </c>
      <c r="D2914">
        <v>2</v>
      </c>
      <c r="E2914" t="s">
        <v>146</v>
      </c>
      <c r="F2914" t="s">
        <v>373</v>
      </c>
      <c r="G2914">
        <f t="shared" si="34"/>
        <v>0.14836795252225521</v>
      </c>
      <c r="H2914">
        <f t="shared" si="35"/>
        <v>0</v>
      </c>
      <c r="I2914">
        <v>0.15</v>
      </c>
      <c r="J2914">
        <f t="shared" si="36"/>
        <v>99.85163204747775</v>
      </c>
      <c r="K2914">
        <v>0.8</v>
      </c>
      <c r="L2914">
        <v>0.3</v>
      </c>
      <c r="M2914">
        <v>0.7</v>
      </c>
      <c r="N2914">
        <v>673</v>
      </c>
      <c r="O2914">
        <v>1</v>
      </c>
      <c r="P2914">
        <v>0</v>
      </c>
      <c r="Q2914">
        <v>0.15</v>
      </c>
      <c r="R2914" t="s">
        <v>264</v>
      </c>
      <c r="S2914">
        <v>0.03</v>
      </c>
      <c r="T2914">
        <v>0.03</v>
      </c>
    </row>
    <row r="2915" spans="1:20" ht="15" customHeight="1" x14ac:dyDescent="0.25">
      <c r="A2915" s="2">
        <v>45325.645370370374</v>
      </c>
      <c r="B2915" t="s">
        <v>309</v>
      </c>
      <c r="C2915" t="s">
        <v>370</v>
      </c>
      <c r="D2915">
        <v>2</v>
      </c>
      <c r="E2915" t="s">
        <v>148</v>
      </c>
      <c r="F2915" t="s">
        <v>373</v>
      </c>
      <c r="G2915">
        <f t="shared" si="34"/>
        <v>2.3364485981308412</v>
      </c>
      <c r="H2915">
        <f t="shared" si="35"/>
        <v>0</v>
      </c>
      <c r="I2915">
        <v>2.34</v>
      </c>
      <c r="J2915">
        <f t="shared" si="36"/>
        <v>97.663551401869171</v>
      </c>
      <c r="K2915">
        <v>0.8</v>
      </c>
      <c r="L2915">
        <v>0.3</v>
      </c>
      <c r="M2915">
        <v>0.7</v>
      </c>
      <c r="N2915">
        <v>627</v>
      </c>
      <c r="O2915">
        <v>15</v>
      </c>
      <c r="P2915">
        <v>0</v>
      </c>
      <c r="Q2915">
        <v>2.34</v>
      </c>
      <c r="R2915" t="s">
        <v>249</v>
      </c>
      <c r="S2915">
        <v>0.08</v>
      </c>
      <c r="T2915">
        <v>0.09</v>
      </c>
    </row>
    <row r="2916" spans="1:20" ht="15" customHeight="1" x14ac:dyDescent="0.25">
      <c r="A2916" s="2">
        <v>45325.646597222221</v>
      </c>
      <c r="B2916" t="s">
        <v>309</v>
      </c>
      <c r="C2916" t="s">
        <v>370</v>
      </c>
      <c r="D2916">
        <v>2</v>
      </c>
      <c r="E2916" t="s">
        <v>149</v>
      </c>
      <c r="F2916" t="s">
        <v>373</v>
      </c>
      <c r="G2916">
        <f t="shared" si="34"/>
        <v>6.3703703703703702</v>
      </c>
      <c r="H2916">
        <f t="shared" si="35"/>
        <v>0</v>
      </c>
      <c r="I2916">
        <v>6.37</v>
      </c>
      <c r="J2916">
        <f t="shared" si="36"/>
        <v>93.629629629629633</v>
      </c>
      <c r="K2916">
        <v>0.8</v>
      </c>
      <c r="L2916">
        <v>0.3</v>
      </c>
      <c r="M2916">
        <v>0.7</v>
      </c>
      <c r="N2916">
        <v>632</v>
      </c>
      <c r="O2916">
        <v>43</v>
      </c>
      <c r="P2916">
        <v>0</v>
      </c>
      <c r="Q2916">
        <v>6.37</v>
      </c>
      <c r="R2916" t="s">
        <v>276</v>
      </c>
      <c r="S2916">
        <v>0.25</v>
      </c>
      <c r="T2916">
        <v>0.32</v>
      </c>
    </row>
    <row r="2917" spans="1:20" ht="15" customHeight="1" x14ac:dyDescent="0.25">
      <c r="A2917" s="2">
        <v>45325.647881944446</v>
      </c>
      <c r="B2917" t="s">
        <v>309</v>
      </c>
      <c r="C2917" t="s">
        <v>370</v>
      </c>
      <c r="D2917">
        <v>2</v>
      </c>
      <c r="E2917" t="s">
        <v>150</v>
      </c>
      <c r="F2917" t="s">
        <v>373</v>
      </c>
      <c r="G2917">
        <f t="shared" si="34"/>
        <v>48.900169204737729</v>
      </c>
      <c r="H2917">
        <f t="shared" si="35"/>
        <v>0</v>
      </c>
      <c r="I2917">
        <v>48.9</v>
      </c>
      <c r="J2917">
        <f t="shared" si="36"/>
        <v>51.099830795262271</v>
      </c>
      <c r="K2917">
        <v>0.8</v>
      </c>
      <c r="L2917">
        <v>0.3</v>
      </c>
      <c r="M2917">
        <v>0.7</v>
      </c>
      <c r="N2917">
        <v>302</v>
      </c>
      <c r="O2917">
        <v>289</v>
      </c>
      <c r="P2917">
        <v>0</v>
      </c>
      <c r="Q2917">
        <v>48.9</v>
      </c>
      <c r="R2917" t="s">
        <v>265</v>
      </c>
      <c r="S2917">
        <v>1.37</v>
      </c>
      <c r="T2917">
        <v>1.55</v>
      </c>
    </row>
    <row r="2918" spans="1:20" ht="15" customHeight="1" x14ac:dyDescent="0.25">
      <c r="A2918" s="2">
        <v>45325.649351851855</v>
      </c>
      <c r="B2918" t="s">
        <v>309</v>
      </c>
      <c r="C2918" t="s">
        <v>370</v>
      </c>
      <c r="D2918">
        <v>2</v>
      </c>
      <c r="E2918" t="s">
        <v>155</v>
      </c>
      <c r="F2918" t="s">
        <v>373</v>
      </c>
      <c r="G2918">
        <f t="shared" si="34"/>
        <v>1.6778523489932886</v>
      </c>
      <c r="H2918">
        <f t="shared" si="35"/>
        <v>0</v>
      </c>
      <c r="I2918">
        <v>1.68</v>
      </c>
      <c r="J2918">
        <f t="shared" si="36"/>
        <v>98.322147651006702</v>
      </c>
      <c r="K2918">
        <v>0.8</v>
      </c>
      <c r="L2918">
        <v>0.3</v>
      </c>
      <c r="M2918">
        <v>0.7</v>
      </c>
      <c r="N2918">
        <v>586</v>
      </c>
      <c r="O2918">
        <v>10</v>
      </c>
      <c r="P2918">
        <v>0</v>
      </c>
      <c r="Q2918">
        <v>1.68</v>
      </c>
      <c r="R2918" t="s">
        <v>271</v>
      </c>
      <c r="S2918">
        <v>0.09</v>
      </c>
      <c r="T2918">
        <v>0.11</v>
      </c>
    </row>
    <row r="2919" spans="1:20" ht="15" customHeight="1" x14ac:dyDescent="0.25">
      <c r="A2919" s="2">
        <v>45325.650636574072</v>
      </c>
      <c r="B2919" t="s">
        <v>309</v>
      </c>
      <c r="C2919" t="s">
        <v>370</v>
      </c>
      <c r="D2919">
        <v>2</v>
      </c>
      <c r="E2919" t="s">
        <v>156</v>
      </c>
      <c r="F2919" t="s">
        <v>373</v>
      </c>
      <c r="G2919">
        <f t="shared" si="34"/>
        <v>79.26136363636364</v>
      </c>
      <c r="H2919">
        <f t="shared" si="35"/>
        <v>0</v>
      </c>
      <c r="I2919">
        <v>79.260000000000005</v>
      </c>
      <c r="J2919">
        <f t="shared" si="36"/>
        <v>20.738636363636363</v>
      </c>
      <c r="K2919">
        <v>0.8</v>
      </c>
      <c r="L2919">
        <v>0.3</v>
      </c>
      <c r="M2919">
        <v>0.7</v>
      </c>
      <c r="N2919">
        <v>146</v>
      </c>
      <c r="O2919">
        <v>558</v>
      </c>
      <c r="P2919">
        <v>0</v>
      </c>
      <c r="Q2919">
        <v>79.260000000000005</v>
      </c>
      <c r="R2919" t="s">
        <v>330</v>
      </c>
      <c r="S2919">
        <v>2.27</v>
      </c>
      <c r="T2919">
        <v>2.71</v>
      </c>
    </row>
    <row r="2920" spans="1:20" ht="15" customHeight="1" x14ac:dyDescent="0.25">
      <c r="A2920" s="2">
        <v>45325.652280092596</v>
      </c>
      <c r="B2920" t="s">
        <v>309</v>
      </c>
      <c r="C2920" t="s">
        <v>370</v>
      </c>
      <c r="D2920">
        <v>2</v>
      </c>
      <c r="E2920" t="s">
        <v>157</v>
      </c>
      <c r="F2920" t="s">
        <v>373</v>
      </c>
      <c r="G2920">
        <f t="shared" si="34"/>
        <v>33.109243697478988</v>
      </c>
      <c r="H2920">
        <f t="shared" si="35"/>
        <v>0</v>
      </c>
      <c r="I2920">
        <v>33.11</v>
      </c>
      <c r="J2920">
        <f t="shared" si="36"/>
        <v>66.890756302520998</v>
      </c>
      <c r="K2920">
        <v>0.8</v>
      </c>
      <c r="L2920">
        <v>0.3</v>
      </c>
      <c r="M2920">
        <v>0.7</v>
      </c>
      <c r="N2920">
        <v>398</v>
      </c>
      <c r="O2920">
        <v>197</v>
      </c>
      <c r="P2920">
        <v>0</v>
      </c>
      <c r="Q2920">
        <v>33.11</v>
      </c>
      <c r="R2920" t="s">
        <v>248</v>
      </c>
      <c r="S2920">
        <v>1</v>
      </c>
      <c r="T2920">
        <v>1.1599999999999999</v>
      </c>
    </row>
    <row r="2921" spans="1:20" ht="15" customHeight="1" x14ac:dyDescent="0.25">
      <c r="A2921" s="2">
        <v>45325.653749999998</v>
      </c>
      <c r="B2921" t="s">
        <v>309</v>
      </c>
      <c r="C2921" t="s">
        <v>370</v>
      </c>
      <c r="D2921">
        <v>2</v>
      </c>
      <c r="E2921" t="s">
        <v>161</v>
      </c>
      <c r="F2921" t="s">
        <v>373</v>
      </c>
      <c r="G2921">
        <f t="shared" si="34"/>
        <v>6.4335664335664333</v>
      </c>
      <c r="H2921">
        <f t="shared" si="35"/>
        <v>0</v>
      </c>
      <c r="I2921">
        <v>6.43</v>
      </c>
      <c r="J2921">
        <f t="shared" si="36"/>
        <v>93.566433566433574</v>
      </c>
      <c r="K2921">
        <v>0.8</v>
      </c>
      <c r="L2921">
        <v>0.3</v>
      </c>
      <c r="M2921">
        <v>0.7</v>
      </c>
      <c r="N2921">
        <v>669</v>
      </c>
      <c r="O2921">
        <v>46</v>
      </c>
      <c r="P2921">
        <v>0</v>
      </c>
      <c r="Q2921">
        <v>6.43</v>
      </c>
      <c r="R2921" t="s">
        <v>369</v>
      </c>
      <c r="S2921">
        <v>0.2</v>
      </c>
      <c r="T2921">
        <v>0.23</v>
      </c>
    </row>
    <row r="2922" spans="1:20" ht="15" customHeight="1" x14ac:dyDescent="0.25">
      <c r="A2922" s="2">
        <v>45325.655092592591</v>
      </c>
      <c r="B2922" t="s">
        <v>309</v>
      </c>
      <c r="C2922" t="s">
        <v>370</v>
      </c>
      <c r="D2922">
        <v>2</v>
      </c>
      <c r="E2922" t="s">
        <v>162</v>
      </c>
      <c r="F2922" t="s">
        <v>373</v>
      </c>
      <c r="G2922">
        <f t="shared" si="34"/>
        <v>0.44117647058823528</v>
      </c>
      <c r="H2922">
        <f t="shared" si="35"/>
        <v>0</v>
      </c>
      <c r="I2922">
        <v>0.44</v>
      </c>
      <c r="J2922">
        <f t="shared" si="36"/>
        <v>99.558823529411768</v>
      </c>
      <c r="K2922">
        <v>0.8</v>
      </c>
      <c r="L2922">
        <v>0.3</v>
      </c>
      <c r="M2922">
        <v>0.7</v>
      </c>
      <c r="N2922">
        <v>677</v>
      </c>
      <c r="O2922">
        <v>3</v>
      </c>
      <c r="P2922">
        <v>0</v>
      </c>
      <c r="Q2922">
        <v>0.44</v>
      </c>
      <c r="R2922" t="s">
        <v>359</v>
      </c>
      <c r="S2922">
        <v>0.03</v>
      </c>
      <c r="T2922">
        <v>0.04</v>
      </c>
    </row>
    <row r="2923" spans="1:20" ht="15" customHeight="1" x14ac:dyDescent="0.25">
      <c r="A2923" s="2">
        <v>45325.656400462962</v>
      </c>
      <c r="B2923" t="s">
        <v>309</v>
      </c>
      <c r="C2923" t="s">
        <v>370</v>
      </c>
      <c r="D2923">
        <v>2</v>
      </c>
      <c r="E2923" t="s">
        <v>163</v>
      </c>
      <c r="F2923" t="s">
        <v>373</v>
      </c>
      <c r="G2923">
        <f t="shared" si="34"/>
        <v>9.7731239092495628</v>
      </c>
      <c r="H2923">
        <f t="shared" si="35"/>
        <v>0</v>
      </c>
      <c r="I2923">
        <v>9.77</v>
      </c>
      <c r="J2923">
        <f t="shared" si="36"/>
        <v>90.226876090750437</v>
      </c>
      <c r="K2923">
        <v>0.8</v>
      </c>
      <c r="L2923">
        <v>0.3</v>
      </c>
      <c r="M2923">
        <v>0.7</v>
      </c>
      <c r="N2923">
        <v>517</v>
      </c>
      <c r="O2923">
        <v>56</v>
      </c>
      <c r="P2923">
        <v>0</v>
      </c>
      <c r="Q2923">
        <v>9.77</v>
      </c>
      <c r="R2923" t="s">
        <v>258</v>
      </c>
      <c r="S2923">
        <v>0.27</v>
      </c>
      <c r="T2923">
        <v>0.31</v>
      </c>
    </row>
    <row r="2924" spans="1:20" ht="15" customHeight="1" x14ac:dyDescent="0.25">
      <c r="A2924" s="2">
        <v>45325.657777777778</v>
      </c>
      <c r="B2924" t="s">
        <v>309</v>
      </c>
      <c r="C2924" t="s">
        <v>370</v>
      </c>
      <c r="D2924">
        <v>2</v>
      </c>
      <c r="E2924" t="s">
        <v>325</v>
      </c>
      <c r="F2924" t="s">
        <v>373</v>
      </c>
      <c r="G2924">
        <f t="shared" si="34"/>
        <v>1.0822510822510822</v>
      </c>
      <c r="H2924">
        <f t="shared" si="35"/>
        <v>0</v>
      </c>
      <c r="I2924">
        <v>1.08</v>
      </c>
      <c r="J2924">
        <f t="shared" si="36"/>
        <v>98.917748917748909</v>
      </c>
      <c r="K2924">
        <v>0.8</v>
      </c>
      <c r="L2924">
        <v>0.3</v>
      </c>
      <c r="M2924">
        <v>0.7</v>
      </c>
      <c r="N2924">
        <v>457</v>
      </c>
      <c r="O2924">
        <v>5</v>
      </c>
      <c r="P2924">
        <v>0</v>
      </c>
      <c r="Q2924">
        <v>1.08</v>
      </c>
      <c r="R2924" t="s">
        <v>249</v>
      </c>
      <c r="S2924">
        <v>7.0000000000000007E-2</v>
      </c>
      <c r="T2924">
        <v>0.08</v>
      </c>
    </row>
    <row r="2925" spans="1:20" ht="15" customHeight="1" x14ac:dyDescent="0.25">
      <c r="A2925" s="2">
        <v>45325.659004629626</v>
      </c>
      <c r="B2925" t="s">
        <v>309</v>
      </c>
      <c r="C2925" t="s">
        <v>370</v>
      </c>
      <c r="D2925">
        <v>2</v>
      </c>
      <c r="E2925" t="s">
        <v>164</v>
      </c>
      <c r="F2925" t="s">
        <v>373</v>
      </c>
      <c r="G2925">
        <f t="shared" si="34"/>
        <v>8.5867620751341676</v>
      </c>
      <c r="H2925">
        <f t="shared" si="35"/>
        <v>0</v>
      </c>
      <c r="I2925">
        <v>8.59</v>
      </c>
      <c r="J2925">
        <f t="shared" si="36"/>
        <v>91.413237924865825</v>
      </c>
      <c r="K2925">
        <v>0.8</v>
      </c>
      <c r="L2925">
        <v>0.3</v>
      </c>
      <c r="M2925">
        <v>0.7</v>
      </c>
      <c r="N2925">
        <v>511</v>
      </c>
      <c r="O2925">
        <v>48</v>
      </c>
      <c r="P2925">
        <v>0</v>
      </c>
      <c r="Q2925">
        <v>8.59</v>
      </c>
      <c r="R2925" t="s">
        <v>347</v>
      </c>
      <c r="S2925">
        <v>0.37</v>
      </c>
      <c r="T2925">
        <v>0.43</v>
      </c>
    </row>
    <row r="2926" spans="1:20" ht="15" customHeight="1" x14ac:dyDescent="0.25">
      <c r="A2926" s="2">
        <v>45325.660393518519</v>
      </c>
      <c r="B2926" t="s">
        <v>309</v>
      </c>
      <c r="C2926" t="s">
        <v>370</v>
      </c>
      <c r="D2926">
        <v>2</v>
      </c>
      <c r="E2926" t="s">
        <v>167</v>
      </c>
      <c r="F2926" t="s">
        <v>373</v>
      </c>
      <c r="G2926">
        <f t="shared" si="34"/>
        <v>16.141732283464567</v>
      </c>
      <c r="H2926">
        <f t="shared" si="35"/>
        <v>0</v>
      </c>
      <c r="I2926">
        <v>16.14</v>
      </c>
      <c r="J2926">
        <f t="shared" si="36"/>
        <v>83.858267716535423</v>
      </c>
      <c r="K2926">
        <v>0.8</v>
      </c>
      <c r="L2926">
        <v>0.3</v>
      </c>
      <c r="M2926">
        <v>0.7</v>
      </c>
      <c r="N2926">
        <v>426</v>
      </c>
      <c r="O2926">
        <v>82</v>
      </c>
      <c r="P2926">
        <v>0</v>
      </c>
      <c r="Q2926">
        <v>16.14</v>
      </c>
      <c r="R2926" t="s">
        <v>256</v>
      </c>
      <c r="S2926">
        <v>0.54</v>
      </c>
      <c r="T2926">
        <v>0.66</v>
      </c>
    </row>
    <row r="2927" spans="1:20" ht="15" customHeight="1" x14ac:dyDescent="0.25">
      <c r="A2927" s="2">
        <v>45325.661805555559</v>
      </c>
      <c r="B2927" t="s">
        <v>309</v>
      </c>
      <c r="C2927" t="s">
        <v>370</v>
      </c>
      <c r="D2927">
        <v>2</v>
      </c>
      <c r="E2927" t="s">
        <v>168</v>
      </c>
      <c r="F2927" t="s">
        <v>373</v>
      </c>
      <c r="G2927">
        <f t="shared" si="34"/>
        <v>85.177453027139876</v>
      </c>
      <c r="H2927">
        <f t="shared" si="35"/>
        <v>0</v>
      </c>
      <c r="I2927">
        <v>85.18</v>
      </c>
      <c r="J2927">
        <f t="shared" si="36"/>
        <v>14.822546972860126</v>
      </c>
      <c r="K2927">
        <v>0.8</v>
      </c>
      <c r="L2927">
        <v>0.3</v>
      </c>
      <c r="M2927">
        <v>0.7</v>
      </c>
      <c r="N2927">
        <v>71</v>
      </c>
      <c r="O2927">
        <v>408</v>
      </c>
      <c r="P2927">
        <v>0</v>
      </c>
      <c r="Q2927">
        <v>85.18</v>
      </c>
      <c r="R2927" t="s">
        <v>343</v>
      </c>
      <c r="S2927">
        <v>2.15</v>
      </c>
      <c r="T2927">
        <v>2.4700000000000002</v>
      </c>
    </row>
    <row r="2928" spans="1:20" ht="15" customHeight="1" x14ac:dyDescent="0.25">
      <c r="A2928" s="2">
        <v>45325.663495370369</v>
      </c>
      <c r="B2928" t="s">
        <v>309</v>
      </c>
      <c r="C2928" t="s">
        <v>370</v>
      </c>
      <c r="D2928">
        <v>2</v>
      </c>
      <c r="E2928" t="s">
        <v>326</v>
      </c>
      <c r="F2928" t="s">
        <v>373</v>
      </c>
      <c r="G2928">
        <f t="shared" si="34"/>
        <v>0.55096418732782371</v>
      </c>
      <c r="H2928">
        <f t="shared" si="35"/>
        <v>0</v>
      </c>
      <c r="I2928">
        <v>0.55000000000000004</v>
      </c>
      <c r="J2928">
        <f t="shared" si="36"/>
        <v>99.449035812672179</v>
      </c>
      <c r="K2928">
        <v>0.8</v>
      </c>
      <c r="L2928">
        <v>0.3</v>
      </c>
      <c r="M2928">
        <v>0.7</v>
      </c>
      <c r="N2928">
        <v>722</v>
      </c>
      <c r="O2928">
        <v>4</v>
      </c>
      <c r="P2928">
        <v>0</v>
      </c>
      <c r="Q2928">
        <v>0.55000000000000004</v>
      </c>
      <c r="R2928" t="s">
        <v>268</v>
      </c>
      <c r="S2928">
        <v>0.06</v>
      </c>
      <c r="T2928">
        <v>7.0000000000000007E-2</v>
      </c>
    </row>
    <row r="2929" spans="1:20" ht="15" customHeight="1" x14ac:dyDescent="0.25">
      <c r="A2929" s="2">
        <v>45325.664814814816</v>
      </c>
      <c r="B2929" t="s">
        <v>309</v>
      </c>
      <c r="C2929" t="s">
        <v>370</v>
      </c>
      <c r="D2929">
        <v>2</v>
      </c>
      <c r="E2929" t="s">
        <v>171</v>
      </c>
      <c r="F2929" t="s">
        <v>373</v>
      </c>
      <c r="G2929">
        <f t="shared" si="34"/>
        <v>2.753872633390706</v>
      </c>
      <c r="H2929">
        <f t="shared" si="35"/>
        <v>0</v>
      </c>
      <c r="I2929">
        <v>2.75</v>
      </c>
      <c r="J2929">
        <f t="shared" si="36"/>
        <v>97.246127366609286</v>
      </c>
      <c r="K2929">
        <v>0.8</v>
      </c>
      <c r="L2929">
        <v>0.3</v>
      </c>
      <c r="M2929">
        <v>0.7</v>
      </c>
      <c r="N2929">
        <v>565</v>
      </c>
      <c r="O2929">
        <v>16</v>
      </c>
      <c r="P2929">
        <v>0</v>
      </c>
      <c r="Q2929">
        <v>2.75</v>
      </c>
      <c r="R2929" t="s">
        <v>268</v>
      </c>
      <c r="S2929">
        <v>0.09</v>
      </c>
      <c r="T2929">
        <v>0.11</v>
      </c>
    </row>
    <row r="2930" spans="1:20" ht="15" customHeight="1" x14ac:dyDescent="0.25">
      <c r="A2930" s="2">
        <v>45325.666145833333</v>
      </c>
      <c r="B2930" t="s">
        <v>309</v>
      </c>
      <c r="C2930" t="s">
        <v>370</v>
      </c>
      <c r="D2930">
        <v>2</v>
      </c>
      <c r="E2930" t="s">
        <v>173</v>
      </c>
      <c r="F2930" t="s">
        <v>373</v>
      </c>
      <c r="G2930">
        <f t="shared" si="34"/>
        <v>6.359300476947535</v>
      </c>
      <c r="H2930">
        <f t="shared" si="35"/>
        <v>0</v>
      </c>
      <c r="I2930">
        <v>6.36</v>
      </c>
      <c r="J2930">
        <f t="shared" si="36"/>
        <v>93.640699523052461</v>
      </c>
      <c r="K2930">
        <v>0.8</v>
      </c>
      <c r="L2930">
        <v>0.3</v>
      </c>
      <c r="M2930">
        <v>0.7</v>
      </c>
      <c r="N2930">
        <v>589</v>
      </c>
      <c r="O2930">
        <v>40</v>
      </c>
      <c r="P2930">
        <v>0</v>
      </c>
      <c r="Q2930">
        <v>6.36</v>
      </c>
      <c r="R2930" t="s">
        <v>275</v>
      </c>
      <c r="S2930">
        <v>0.19</v>
      </c>
      <c r="T2930">
        <v>0.22</v>
      </c>
    </row>
    <row r="2931" spans="1:20" ht="15" customHeight="1" x14ac:dyDescent="0.25">
      <c r="A2931" s="2">
        <v>45325.667453703703</v>
      </c>
      <c r="B2931" t="s">
        <v>309</v>
      </c>
      <c r="C2931" t="s">
        <v>370</v>
      </c>
      <c r="D2931">
        <v>2</v>
      </c>
      <c r="E2931" t="s">
        <v>174</v>
      </c>
      <c r="F2931" t="s">
        <v>373</v>
      </c>
      <c r="G2931">
        <f t="shared" si="34"/>
        <v>3.3946251768033946</v>
      </c>
      <c r="H2931">
        <f t="shared" si="35"/>
        <v>0</v>
      </c>
      <c r="I2931">
        <v>3.39</v>
      </c>
      <c r="J2931">
        <f t="shared" si="36"/>
        <v>96.605374823196613</v>
      </c>
      <c r="K2931">
        <v>0.8</v>
      </c>
      <c r="L2931">
        <v>0.3</v>
      </c>
      <c r="M2931">
        <v>0.7</v>
      </c>
      <c r="N2931">
        <v>683</v>
      </c>
      <c r="O2931">
        <v>24</v>
      </c>
      <c r="P2931">
        <v>0</v>
      </c>
      <c r="Q2931">
        <v>3.39</v>
      </c>
      <c r="R2931" t="s">
        <v>246</v>
      </c>
      <c r="S2931">
        <v>0.15</v>
      </c>
      <c r="T2931">
        <v>0.16</v>
      </c>
    </row>
    <row r="2932" spans="1:20" ht="15" customHeight="1" x14ac:dyDescent="0.25">
      <c r="A2932" s="2">
        <v>45325.668888888889</v>
      </c>
      <c r="B2932" t="s">
        <v>309</v>
      </c>
      <c r="C2932" t="s">
        <v>370</v>
      </c>
      <c r="D2932">
        <v>2</v>
      </c>
      <c r="E2932" t="s">
        <v>175</v>
      </c>
      <c r="F2932" t="s">
        <v>373</v>
      </c>
      <c r="G2932">
        <f t="shared" si="34"/>
        <v>68.905950095969288</v>
      </c>
      <c r="H2932">
        <f t="shared" si="35"/>
        <v>0</v>
      </c>
      <c r="I2932">
        <v>68.91</v>
      </c>
      <c r="J2932">
        <f t="shared" si="36"/>
        <v>31.094049904030712</v>
      </c>
      <c r="K2932">
        <v>0.8</v>
      </c>
      <c r="L2932">
        <v>0.3</v>
      </c>
      <c r="M2932">
        <v>0.7</v>
      </c>
      <c r="N2932">
        <v>162</v>
      </c>
      <c r="O2932">
        <v>359</v>
      </c>
      <c r="P2932">
        <v>0</v>
      </c>
      <c r="Q2932">
        <v>68.91</v>
      </c>
      <c r="R2932" t="s">
        <v>289</v>
      </c>
      <c r="S2932">
        <v>1.88</v>
      </c>
      <c r="T2932">
        <v>2.15</v>
      </c>
    </row>
    <row r="2933" spans="1:20" ht="15" customHeight="1" x14ac:dyDescent="0.25">
      <c r="A2933" s="2">
        <v>45325.670439814814</v>
      </c>
      <c r="B2933" t="s">
        <v>309</v>
      </c>
      <c r="C2933" t="s">
        <v>370</v>
      </c>
      <c r="D2933">
        <v>2</v>
      </c>
      <c r="E2933" t="s">
        <v>178</v>
      </c>
      <c r="F2933" t="s">
        <v>373</v>
      </c>
      <c r="G2933">
        <f t="shared" si="34"/>
        <v>0.40214477211796246</v>
      </c>
      <c r="H2933">
        <f t="shared" si="35"/>
        <v>0</v>
      </c>
      <c r="I2933">
        <v>0.4</v>
      </c>
      <c r="J2933">
        <f t="shared" si="36"/>
        <v>99.597855227882036</v>
      </c>
      <c r="K2933">
        <v>0.8</v>
      </c>
      <c r="L2933">
        <v>0.3</v>
      </c>
      <c r="M2933">
        <v>0.7</v>
      </c>
      <c r="N2933">
        <v>743</v>
      </c>
      <c r="O2933">
        <v>3</v>
      </c>
      <c r="P2933">
        <v>0</v>
      </c>
      <c r="Q2933">
        <v>0.4</v>
      </c>
      <c r="R2933" t="s">
        <v>258</v>
      </c>
      <c r="S2933">
        <v>0.03</v>
      </c>
      <c r="T2933">
        <v>0.03</v>
      </c>
    </row>
    <row r="2934" spans="1:20" ht="15" customHeight="1" x14ac:dyDescent="0.25">
      <c r="A2934" s="2">
        <v>45325.671805555554</v>
      </c>
      <c r="B2934" t="s">
        <v>309</v>
      </c>
      <c r="C2934" t="s">
        <v>370</v>
      </c>
      <c r="D2934">
        <v>2</v>
      </c>
      <c r="E2934" t="s">
        <v>179</v>
      </c>
      <c r="F2934" t="s">
        <v>373</v>
      </c>
      <c r="G2934">
        <f t="shared" si="34"/>
        <v>21.48936170212766</v>
      </c>
      <c r="H2934">
        <f t="shared" si="35"/>
        <v>0</v>
      </c>
      <c r="I2934">
        <v>21.49</v>
      </c>
      <c r="J2934">
        <f t="shared" si="36"/>
        <v>78.510638297872333</v>
      </c>
      <c r="K2934">
        <v>0.8</v>
      </c>
      <c r="L2934">
        <v>0.3</v>
      </c>
      <c r="M2934">
        <v>0.7</v>
      </c>
      <c r="N2934">
        <v>369</v>
      </c>
      <c r="O2934">
        <v>101</v>
      </c>
      <c r="P2934">
        <v>0</v>
      </c>
      <c r="Q2934">
        <v>21.49</v>
      </c>
      <c r="R2934" t="s">
        <v>246</v>
      </c>
      <c r="S2934">
        <v>0.78</v>
      </c>
      <c r="T2934">
        <v>0.89</v>
      </c>
    </row>
    <row r="2935" spans="1:20" ht="15" customHeight="1" x14ac:dyDescent="0.25">
      <c r="A2935" s="2">
        <v>45325.67324074074</v>
      </c>
      <c r="B2935" t="s">
        <v>309</v>
      </c>
      <c r="C2935" t="s">
        <v>370</v>
      </c>
      <c r="D2935">
        <v>2</v>
      </c>
      <c r="E2935" t="s">
        <v>180</v>
      </c>
      <c r="F2935" t="s">
        <v>373</v>
      </c>
      <c r="G2935">
        <f t="shared" si="34"/>
        <v>2.2988505747126435</v>
      </c>
      <c r="H2935">
        <f t="shared" si="35"/>
        <v>0</v>
      </c>
      <c r="I2935">
        <v>2.2999999999999998</v>
      </c>
      <c r="J2935">
        <f t="shared" si="36"/>
        <v>97.701149425287355</v>
      </c>
      <c r="K2935">
        <v>0.8</v>
      </c>
      <c r="L2935">
        <v>0.3</v>
      </c>
      <c r="M2935">
        <v>0.7</v>
      </c>
      <c r="N2935">
        <v>595</v>
      </c>
      <c r="O2935">
        <v>14</v>
      </c>
      <c r="P2935">
        <v>0</v>
      </c>
      <c r="Q2935">
        <v>2.2999999999999998</v>
      </c>
      <c r="R2935" t="s">
        <v>359</v>
      </c>
      <c r="S2935">
        <v>0.1</v>
      </c>
      <c r="T2935">
        <v>0.11</v>
      </c>
    </row>
    <row r="2936" spans="1:20" ht="15" customHeight="1" x14ac:dyDescent="0.25">
      <c r="A2936" s="2">
        <v>45325.674537037034</v>
      </c>
      <c r="B2936" t="s">
        <v>309</v>
      </c>
      <c r="C2936" t="s">
        <v>370</v>
      </c>
      <c r="D2936">
        <v>2</v>
      </c>
      <c r="E2936" t="s">
        <v>185</v>
      </c>
      <c r="F2936" t="s">
        <v>373</v>
      </c>
      <c r="G2936">
        <f t="shared" si="34"/>
        <v>0.16051364365971107</v>
      </c>
      <c r="H2936">
        <f t="shared" si="35"/>
        <v>0</v>
      </c>
      <c r="I2936">
        <v>0.16</v>
      </c>
      <c r="J2936">
        <f t="shared" si="36"/>
        <v>99.839486356340288</v>
      </c>
      <c r="K2936">
        <v>0.8</v>
      </c>
      <c r="L2936">
        <v>0.3</v>
      </c>
      <c r="M2936">
        <v>0.7</v>
      </c>
      <c r="N2936">
        <v>622</v>
      </c>
      <c r="O2936">
        <v>1</v>
      </c>
      <c r="P2936">
        <v>0</v>
      </c>
      <c r="Q2936">
        <v>0.16</v>
      </c>
      <c r="R2936" t="s">
        <v>277</v>
      </c>
      <c r="S2936">
        <v>0.03</v>
      </c>
      <c r="T2936">
        <v>0.04</v>
      </c>
    </row>
    <row r="2937" spans="1:20" ht="15" customHeight="1" x14ac:dyDescent="0.25">
      <c r="A2937" s="2">
        <v>45325.675798611112</v>
      </c>
      <c r="B2937" t="s">
        <v>309</v>
      </c>
      <c r="C2937" t="s">
        <v>370</v>
      </c>
      <c r="D2937">
        <v>2</v>
      </c>
      <c r="E2937" t="s">
        <v>188</v>
      </c>
      <c r="F2937" t="s">
        <v>373</v>
      </c>
      <c r="G2937">
        <f t="shared" si="34"/>
        <v>0.29282576866764276</v>
      </c>
      <c r="H2937">
        <f t="shared" si="35"/>
        <v>0</v>
      </c>
      <c r="I2937">
        <v>0.28999999999999998</v>
      </c>
      <c r="J2937">
        <f t="shared" si="36"/>
        <v>99.70717423133236</v>
      </c>
      <c r="K2937">
        <v>0.8</v>
      </c>
      <c r="L2937">
        <v>0.3</v>
      </c>
      <c r="M2937">
        <v>0.7</v>
      </c>
      <c r="N2937">
        <v>681</v>
      </c>
      <c r="O2937">
        <v>2</v>
      </c>
      <c r="P2937">
        <v>0</v>
      </c>
      <c r="Q2937">
        <v>0.28999999999999998</v>
      </c>
      <c r="R2937" t="s">
        <v>259</v>
      </c>
      <c r="S2937">
        <v>0.03</v>
      </c>
      <c r="T2937">
        <v>0.04</v>
      </c>
    </row>
    <row r="2938" spans="1:20" ht="15" customHeight="1" x14ac:dyDescent="0.25">
      <c r="A2938" s="2">
        <v>45325.677060185182</v>
      </c>
      <c r="B2938" t="s">
        <v>309</v>
      </c>
      <c r="C2938" t="s">
        <v>370</v>
      </c>
      <c r="D2938">
        <v>2</v>
      </c>
      <c r="E2938" t="s">
        <v>189</v>
      </c>
      <c r="F2938" t="s">
        <v>373</v>
      </c>
      <c r="G2938">
        <f t="shared" si="34"/>
        <v>28.281250000000004</v>
      </c>
      <c r="H2938">
        <f t="shared" si="35"/>
        <v>0</v>
      </c>
      <c r="I2938">
        <v>28.28</v>
      </c>
      <c r="J2938">
        <f t="shared" si="36"/>
        <v>71.71875</v>
      </c>
      <c r="K2938">
        <v>0.8</v>
      </c>
      <c r="L2938">
        <v>0.3</v>
      </c>
      <c r="M2938">
        <v>0.7</v>
      </c>
      <c r="N2938">
        <v>459</v>
      </c>
      <c r="O2938">
        <v>181</v>
      </c>
      <c r="P2938">
        <v>0</v>
      </c>
      <c r="Q2938">
        <v>28.28</v>
      </c>
      <c r="R2938" t="s">
        <v>255</v>
      </c>
      <c r="S2938">
        <v>0.76</v>
      </c>
      <c r="T2938">
        <v>0.91</v>
      </c>
    </row>
    <row r="2939" spans="1:20" ht="15" customHeight="1" x14ac:dyDescent="0.25">
      <c r="A2939" s="2">
        <v>45325.678611111114</v>
      </c>
      <c r="B2939" t="s">
        <v>309</v>
      </c>
      <c r="C2939" t="s">
        <v>370</v>
      </c>
      <c r="D2939">
        <v>2</v>
      </c>
      <c r="E2939" t="s">
        <v>327</v>
      </c>
      <c r="F2939" t="s">
        <v>373</v>
      </c>
      <c r="G2939">
        <f t="shared" si="34"/>
        <v>35.143769968051117</v>
      </c>
      <c r="H2939">
        <f t="shared" si="35"/>
        <v>0</v>
      </c>
      <c r="I2939">
        <v>35.14</v>
      </c>
      <c r="J2939">
        <f t="shared" si="36"/>
        <v>64.856230031948883</v>
      </c>
      <c r="K2939">
        <v>0.8</v>
      </c>
      <c r="L2939">
        <v>0.3</v>
      </c>
      <c r="M2939">
        <v>0.7</v>
      </c>
      <c r="N2939">
        <v>406</v>
      </c>
      <c r="O2939">
        <v>220</v>
      </c>
      <c r="P2939">
        <v>0</v>
      </c>
      <c r="Q2939">
        <v>35.14</v>
      </c>
      <c r="R2939" t="s">
        <v>236</v>
      </c>
      <c r="S2939">
        <v>1</v>
      </c>
      <c r="T2939">
        <v>1.1299999999999999</v>
      </c>
    </row>
    <row r="2940" spans="1:20" ht="15" customHeight="1" x14ac:dyDescent="0.25">
      <c r="A2940" s="2">
        <v>45325.680138888885</v>
      </c>
      <c r="B2940" t="s">
        <v>309</v>
      </c>
      <c r="C2940" t="s">
        <v>370</v>
      </c>
      <c r="D2940">
        <v>2</v>
      </c>
      <c r="E2940" t="s">
        <v>190</v>
      </c>
      <c r="F2940" t="s">
        <v>373</v>
      </c>
      <c r="G2940">
        <f t="shared" si="34"/>
        <v>11.095100864553315</v>
      </c>
      <c r="H2940">
        <f t="shared" si="35"/>
        <v>0</v>
      </c>
      <c r="I2940">
        <v>11.1</v>
      </c>
      <c r="J2940">
        <f t="shared" si="36"/>
        <v>88.904899135446698</v>
      </c>
      <c r="K2940">
        <v>0.8</v>
      </c>
      <c r="L2940">
        <v>0.3</v>
      </c>
      <c r="M2940">
        <v>0.7</v>
      </c>
      <c r="N2940">
        <v>617</v>
      </c>
      <c r="O2940">
        <v>77</v>
      </c>
      <c r="P2940">
        <v>0</v>
      </c>
      <c r="Q2940">
        <v>11.1</v>
      </c>
      <c r="R2940" t="s">
        <v>253</v>
      </c>
      <c r="S2940">
        <v>0.37</v>
      </c>
      <c r="T2940">
        <v>0.43</v>
      </c>
    </row>
    <row r="2941" spans="1:20" ht="15" customHeight="1" x14ac:dyDescent="0.25">
      <c r="A2941" s="2">
        <v>45325.681689814817</v>
      </c>
      <c r="B2941" t="s">
        <v>309</v>
      </c>
      <c r="C2941" t="s">
        <v>370</v>
      </c>
      <c r="D2941">
        <v>2</v>
      </c>
      <c r="E2941" t="s">
        <v>193</v>
      </c>
      <c r="F2941" t="s">
        <v>373</v>
      </c>
      <c r="G2941">
        <f t="shared" si="34"/>
        <v>7.0351758793969852</v>
      </c>
      <c r="H2941">
        <f t="shared" si="35"/>
        <v>0</v>
      </c>
      <c r="I2941">
        <v>7.04</v>
      </c>
      <c r="J2941">
        <f t="shared" si="36"/>
        <v>92.964824120603012</v>
      </c>
      <c r="K2941">
        <v>0.8</v>
      </c>
      <c r="L2941">
        <v>0.3</v>
      </c>
      <c r="M2941">
        <v>0.7</v>
      </c>
      <c r="N2941">
        <v>555</v>
      </c>
      <c r="O2941">
        <v>42</v>
      </c>
      <c r="P2941">
        <v>0</v>
      </c>
      <c r="Q2941">
        <v>7.04</v>
      </c>
      <c r="R2941" t="s">
        <v>258</v>
      </c>
      <c r="S2941">
        <v>0.24</v>
      </c>
      <c r="T2941">
        <v>0.3</v>
      </c>
    </row>
    <row r="2942" spans="1:20" ht="15" customHeight="1" x14ac:dyDescent="0.25">
      <c r="A2942" s="2">
        <v>45325.683078703703</v>
      </c>
      <c r="B2942" t="s">
        <v>309</v>
      </c>
      <c r="C2942" t="s">
        <v>370</v>
      </c>
      <c r="D2942">
        <v>2</v>
      </c>
      <c r="E2942" t="s">
        <v>194</v>
      </c>
      <c r="F2942" t="s">
        <v>373</v>
      </c>
      <c r="G2942">
        <f t="shared" si="34"/>
        <v>37.272727272727273</v>
      </c>
      <c r="H2942">
        <f t="shared" si="35"/>
        <v>0</v>
      </c>
      <c r="I2942">
        <v>37.270000000000003</v>
      </c>
      <c r="J2942">
        <f t="shared" si="36"/>
        <v>62.727272727272734</v>
      </c>
      <c r="K2942">
        <v>0.8</v>
      </c>
      <c r="L2942">
        <v>0.3</v>
      </c>
      <c r="M2942">
        <v>0.7</v>
      </c>
      <c r="N2942">
        <v>345</v>
      </c>
      <c r="O2942">
        <v>205</v>
      </c>
      <c r="P2942">
        <v>0</v>
      </c>
      <c r="Q2942">
        <v>37.270000000000003</v>
      </c>
      <c r="R2942" t="s">
        <v>245</v>
      </c>
      <c r="S2942">
        <v>1.06</v>
      </c>
      <c r="T2942">
        <v>1.22</v>
      </c>
    </row>
    <row r="2943" spans="1:20" ht="15" customHeight="1" x14ac:dyDescent="0.25">
      <c r="A2943" s="2">
        <v>45325.684652777774</v>
      </c>
      <c r="B2943" t="s">
        <v>309</v>
      </c>
      <c r="C2943" t="s">
        <v>370</v>
      </c>
      <c r="D2943">
        <v>2</v>
      </c>
      <c r="E2943" t="s">
        <v>197</v>
      </c>
      <c r="F2943" t="s">
        <v>373</v>
      </c>
      <c r="G2943">
        <f t="shared" si="34"/>
        <v>2.0066889632107023</v>
      </c>
      <c r="H2943">
        <f t="shared" si="35"/>
        <v>0</v>
      </c>
      <c r="I2943">
        <v>2.0099999999999998</v>
      </c>
      <c r="J2943">
        <f t="shared" si="36"/>
        <v>97.993311036789294</v>
      </c>
      <c r="K2943">
        <v>0.8</v>
      </c>
      <c r="L2943">
        <v>0.3</v>
      </c>
      <c r="M2943">
        <v>0.7</v>
      </c>
      <c r="N2943">
        <v>586</v>
      </c>
      <c r="O2943">
        <v>12</v>
      </c>
      <c r="P2943">
        <v>0</v>
      </c>
      <c r="Q2943">
        <v>2.0099999999999998</v>
      </c>
      <c r="R2943" t="s">
        <v>347</v>
      </c>
      <c r="S2943">
        <v>0.15</v>
      </c>
      <c r="T2943">
        <v>0.17</v>
      </c>
    </row>
    <row r="2944" spans="1:20" ht="15" customHeight="1" x14ac:dyDescent="0.25">
      <c r="A2944" s="2">
        <v>45325.686064814814</v>
      </c>
      <c r="B2944" t="s">
        <v>309</v>
      </c>
      <c r="C2944" t="s">
        <v>370</v>
      </c>
      <c r="D2944">
        <v>2</v>
      </c>
      <c r="E2944" t="s">
        <v>198</v>
      </c>
      <c r="F2944" t="s">
        <v>373</v>
      </c>
      <c r="G2944">
        <f t="shared" si="34"/>
        <v>98.540145985401466</v>
      </c>
      <c r="H2944">
        <f t="shared" si="35"/>
        <v>0</v>
      </c>
      <c r="I2944">
        <v>98.54</v>
      </c>
      <c r="J2944">
        <f t="shared" si="36"/>
        <v>1.4598540145985401</v>
      </c>
      <c r="K2944">
        <v>0.8</v>
      </c>
      <c r="L2944">
        <v>0.3</v>
      </c>
      <c r="M2944">
        <v>0.7</v>
      </c>
      <c r="N2944">
        <v>10</v>
      </c>
      <c r="O2944">
        <v>675</v>
      </c>
      <c r="P2944">
        <v>0</v>
      </c>
      <c r="Q2944">
        <v>98.54</v>
      </c>
      <c r="R2944" t="s">
        <v>353</v>
      </c>
      <c r="S2944">
        <v>3.02</v>
      </c>
      <c r="T2944">
        <v>3.63</v>
      </c>
    </row>
    <row r="2945" spans="1:20" ht="15" customHeight="1" x14ac:dyDescent="0.25">
      <c r="A2945" s="2">
        <v>45325.687835648147</v>
      </c>
      <c r="B2945" t="s">
        <v>309</v>
      </c>
      <c r="C2945" t="s">
        <v>370</v>
      </c>
      <c r="D2945">
        <v>2</v>
      </c>
      <c r="E2945" t="s">
        <v>200</v>
      </c>
      <c r="F2945" t="s">
        <v>373</v>
      </c>
      <c r="G2945">
        <f t="shared" si="34"/>
        <v>12.936046511627907</v>
      </c>
      <c r="H2945">
        <f t="shared" si="35"/>
        <v>0</v>
      </c>
      <c r="I2945">
        <v>12.94</v>
      </c>
      <c r="J2945">
        <f t="shared" si="36"/>
        <v>87.063953488372093</v>
      </c>
      <c r="K2945">
        <v>0.8</v>
      </c>
      <c r="L2945">
        <v>0.3</v>
      </c>
      <c r="M2945">
        <v>0.7</v>
      </c>
      <c r="N2945">
        <v>599</v>
      </c>
      <c r="O2945">
        <v>89</v>
      </c>
      <c r="P2945">
        <v>0</v>
      </c>
      <c r="Q2945">
        <v>12.94</v>
      </c>
      <c r="R2945" t="s">
        <v>258</v>
      </c>
      <c r="S2945">
        <v>0.38</v>
      </c>
      <c r="T2945">
        <v>0.45</v>
      </c>
    </row>
    <row r="2946" spans="1:20" ht="15" customHeight="1" x14ac:dyDescent="0.25">
      <c r="A2946" s="2">
        <v>45325.689201388886</v>
      </c>
      <c r="B2946" t="s">
        <v>309</v>
      </c>
      <c r="C2946" t="s">
        <v>370</v>
      </c>
      <c r="D2946">
        <v>2</v>
      </c>
      <c r="E2946" t="s">
        <v>202</v>
      </c>
      <c r="F2946" t="s">
        <v>373</v>
      </c>
      <c r="G2946">
        <f t="shared" si="34"/>
        <v>81.804281345565755</v>
      </c>
      <c r="H2946">
        <f t="shared" si="35"/>
        <v>0</v>
      </c>
      <c r="I2946">
        <v>81.8</v>
      </c>
      <c r="J2946">
        <f t="shared" si="36"/>
        <v>18.195718654434252</v>
      </c>
      <c r="K2946">
        <v>0.8</v>
      </c>
      <c r="L2946">
        <v>0.3</v>
      </c>
      <c r="M2946">
        <v>0.7</v>
      </c>
      <c r="N2946">
        <v>119</v>
      </c>
      <c r="O2946">
        <v>535</v>
      </c>
      <c r="P2946">
        <v>0</v>
      </c>
      <c r="Q2946">
        <v>81.8</v>
      </c>
      <c r="R2946" t="s">
        <v>287</v>
      </c>
      <c r="S2946">
        <v>2.35</v>
      </c>
      <c r="T2946">
        <v>2.72</v>
      </c>
    </row>
    <row r="2947" spans="1:20" ht="15" customHeight="1" x14ac:dyDescent="0.25">
      <c r="A2947" s="2">
        <v>45325.690810185188</v>
      </c>
      <c r="B2947" t="s">
        <v>309</v>
      </c>
      <c r="C2947" t="s">
        <v>370</v>
      </c>
      <c r="D2947">
        <v>2</v>
      </c>
      <c r="E2947" t="s">
        <v>204</v>
      </c>
      <c r="F2947" t="s">
        <v>373</v>
      </c>
      <c r="G2947">
        <f t="shared" si="34"/>
        <v>0</v>
      </c>
      <c r="H2947">
        <f t="shared" si="35"/>
        <v>0</v>
      </c>
      <c r="I2947">
        <v>0</v>
      </c>
      <c r="J2947">
        <f t="shared" si="36"/>
        <v>100</v>
      </c>
      <c r="K2947">
        <v>0.8</v>
      </c>
      <c r="L2947">
        <v>0.3</v>
      </c>
      <c r="M2947">
        <v>0.7</v>
      </c>
      <c r="N2947">
        <v>546</v>
      </c>
      <c r="O2947">
        <v>0</v>
      </c>
      <c r="P2947">
        <v>0</v>
      </c>
      <c r="Q2947">
        <v>0</v>
      </c>
      <c r="R2947" t="s">
        <v>346</v>
      </c>
      <c r="S2947">
        <v>0.03</v>
      </c>
      <c r="T2947">
        <v>0.04</v>
      </c>
    </row>
    <row r="2948" spans="1:20" ht="15" customHeight="1" x14ac:dyDescent="0.25">
      <c r="A2948" s="2">
        <v>45325.692037037035</v>
      </c>
      <c r="B2948" t="s">
        <v>309</v>
      </c>
      <c r="C2948" t="s">
        <v>370</v>
      </c>
      <c r="D2948">
        <v>2</v>
      </c>
      <c r="E2948" t="s">
        <v>207</v>
      </c>
      <c r="F2948" t="s">
        <v>373</v>
      </c>
      <c r="G2948">
        <f t="shared" si="34"/>
        <v>2.903225806451613</v>
      </c>
      <c r="H2948">
        <f t="shared" si="35"/>
        <v>0</v>
      </c>
      <c r="I2948">
        <v>2.9</v>
      </c>
      <c r="J2948">
        <f t="shared" si="36"/>
        <v>97.096774193548384</v>
      </c>
      <c r="K2948">
        <v>0.8</v>
      </c>
      <c r="L2948">
        <v>0.3</v>
      </c>
      <c r="M2948">
        <v>0.7</v>
      </c>
      <c r="N2948">
        <v>602</v>
      </c>
      <c r="O2948">
        <v>18</v>
      </c>
      <c r="P2948">
        <v>0</v>
      </c>
      <c r="Q2948">
        <v>2.9</v>
      </c>
      <c r="R2948" t="s">
        <v>258</v>
      </c>
      <c r="S2948">
        <v>0.09</v>
      </c>
      <c r="T2948">
        <v>0.1</v>
      </c>
    </row>
    <row r="2949" spans="1:20" ht="15" customHeight="1" x14ac:dyDescent="0.25">
      <c r="A2949" s="2">
        <v>45325.693414351852</v>
      </c>
      <c r="B2949" t="s">
        <v>309</v>
      </c>
      <c r="C2949" t="s">
        <v>370</v>
      </c>
      <c r="D2949">
        <v>2</v>
      </c>
      <c r="E2949" t="s">
        <v>211</v>
      </c>
      <c r="F2949" t="s">
        <v>373</v>
      </c>
      <c r="G2949">
        <f t="shared" si="34"/>
        <v>0.33222591362126247</v>
      </c>
      <c r="H2949">
        <f t="shared" si="35"/>
        <v>0</v>
      </c>
      <c r="I2949">
        <v>0.33</v>
      </c>
      <c r="J2949">
        <f t="shared" si="36"/>
        <v>99.667774086378742</v>
      </c>
      <c r="K2949">
        <v>0.8</v>
      </c>
      <c r="L2949">
        <v>0.3</v>
      </c>
      <c r="M2949">
        <v>0.7</v>
      </c>
      <c r="N2949">
        <v>600</v>
      </c>
      <c r="O2949">
        <v>2</v>
      </c>
      <c r="P2949">
        <v>0</v>
      </c>
      <c r="Q2949">
        <v>0.33</v>
      </c>
      <c r="R2949" t="s">
        <v>284</v>
      </c>
      <c r="S2949">
        <v>0.06</v>
      </c>
      <c r="T2949">
        <v>0.08</v>
      </c>
    </row>
    <row r="2950" spans="1:20" ht="15" customHeight="1" x14ac:dyDescent="0.25">
      <c r="A2950" s="2">
        <v>45325.694861111115</v>
      </c>
      <c r="B2950" t="s">
        <v>309</v>
      </c>
      <c r="C2950" t="s">
        <v>370</v>
      </c>
      <c r="D2950">
        <v>2</v>
      </c>
      <c r="E2950" t="s">
        <v>212</v>
      </c>
      <c r="F2950" t="s">
        <v>373</v>
      </c>
      <c r="G2950">
        <f t="shared" si="34"/>
        <v>39.498432601880879</v>
      </c>
      <c r="H2950">
        <f t="shared" si="35"/>
        <v>0</v>
      </c>
      <c r="I2950">
        <v>39.5</v>
      </c>
      <c r="J2950">
        <f t="shared" si="36"/>
        <v>60.501567398119128</v>
      </c>
      <c r="K2950">
        <v>0.8</v>
      </c>
      <c r="L2950">
        <v>0.3</v>
      </c>
      <c r="M2950">
        <v>0.7</v>
      </c>
      <c r="N2950">
        <v>386</v>
      </c>
      <c r="O2950">
        <v>252</v>
      </c>
      <c r="P2950">
        <v>0</v>
      </c>
      <c r="Q2950">
        <v>39.5</v>
      </c>
      <c r="R2950" t="s">
        <v>260</v>
      </c>
      <c r="S2950">
        <v>1.05</v>
      </c>
      <c r="T2950">
        <v>1.23</v>
      </c>
    </row>
    <row r="2951" spans="1:20" ht="15" customHeight="1" x14ac:dyDescent="0.25">
      <c r="A2951" s="2">
        <v>45325.400381944448</v>
      </c>
      <c r="B2951" t="s">
        <v>309</v>
      </c>
      <c r="C2951" t="s">
        <v>370</v>
      </c>
      <c r="D2951">
        <v>2</v>
      </c>
      <c r="E2951" t="s">
        <v>21</v>
      </c>
      <c r="F2951" t="s">
        <v>388</v>
      </c>
      <c r="G2951">
        <f t="shared" si="34"/>
        <v>0.46728971962616817</v>
      </c>
      <c r="H2951">
        <f t="shared" si="35"/>
        <v>0</v>
      </c>
      <c r="I2951">
        <v>0.47</v>
      </c>
      <c r="J2951">
        <f t="shared" si="36"/>
        <v>99.532710280373834</v>
      </c>
      <c r="K2951">
        <v>0.8</v>
      </c>
      <c r="L2951">
        <v>0.3</v>
      </c>
      <c r="M2951">
        <v>0.7</v>
      </c>
      <c r="N2951">
        <v>639</v>
      </c>
      <c r="O2951">
        <v>3</v>
      </c>
      <c r="P2951">
        <v>0</v>
      </c>
      <c r="Q2951">
        <v>0.47</v>
      </c>
      <c r="R2951" t="s">
        <v>369</v>
      </c>
      <c r="S2951">
        <v>0.04</v>
      </c>
      <c r="T2951">
        <v>0.05</v>
      </c>
    </row>
    <row r="2952" spans="1:20" ht="15" customHeight="1" x14ac:dyDescent="0.25">
      <c r="A2952" s="2">
        <v>45325.401712962965</v>
      </c>
      <c r="B2952" t="s">
        <v>309</v>
      </c>
      <c r="C2952" t="s">
        <v>370</v>
      </c>
      <c r="D2952">
        <v>2</v>
      </c>
      <c r="E2952" t="s">
        <v>25</v>
      </c>
      <c r="F2952" t="s">
        <v>388</v>
      </c>
      <c r="G2952">
        <f t="shared" si="34"/>
        <v>1.129032258064516</v>
      </c>
      <c r="H2952">
        <f t="shared" si="35"/>
        <v>0</v>
      </c>
      <c r="I2952">
        <v>1.1299999999999999</v>
      </c>
      <c r="J2952">
        <f t="shared" si="36"/>
        <v>98.870967741935488</v>
      </c>
      <c r="K2952">
        <v>0.8</v>
      </c>
      <c r="L2952">
        <v>0.3</v>
      </c>
      <c r="M2952">
        <v>0.7</v>
      </c>
      <c r="N2952">
        <v>613</v>
      </c>
      <c r="O2952">
        <v>7</v>
      </c>
      <c r="P2952">
        <v>0</v>
      </c>
      <c r="Q2952">
        <v>1.1299999999999999</v>
      </c>
      <c r="R2952" t="s">
        <v>369</v>
      </c>
      <c r="S2952">
        <v>0.04</v>
      </c>
      <c r="T2952">
        <v>0.05</v>
      </c>
    </row>
    <row r="2953" spans="1:20" ht="15" customHeight="1" x14ac:dyDescent="0.25">
      <c r="A2953" s="2">
        <v>45325.403032407405</v>
      </c>
      <c r="B2953" t="s">
        <v>309</v>
      </c>
      <c r="C2953" t="s">
        <v>370</v>
      </c>
      <c r="D2953">
        <v>2</v>
      </c>
      <c r="E2953" t="s">
        <v>26</v>
      </c>
      <c r="F2953" t="s">
        <v>388</v>
      </c>
      <c r="G2953">
        <f t="shared" si="34"/>
        <v>36.40483383685801</v>
      </c>
      <c r="H2953">
        <f t="shared" si="35"/>
        <v>0</v>
      </c>
      <c r="I2953">
        <v>36.4</v>
      </c>
      <c r="J2953">
        <f t="shared" si="36"/>
        <v>63.59516616314199</v>
      </c>
      <c r="K2953">
        <v>0.8</v>
      </c>
      <c r="L2953">
        <v>0.3</v>
      </c>
      <c r="M2953">
        <v>0.7</v>
      </c>
      <c r="N2953">
        <v>421</v>
      </c>
      <c r="O2953">
        <v>241</v>
      </c>
      <c r="P2953">
        <v>0</v>
      </c>
      <c r="Q2953">
        <v>36.4</v>
      </c>
      <c r="R2953" t="s">
        <v>255</v>
      </c>
      <c r="S2953">
        <v>1.02</v>
      </c>
      <c r="T2953">
        <v>1.27</v>
      </c>
    </row>
    <row r="2954" spans="1:20" ht="15" customHeight="1" x14ac:dyDescent="0.25">
      <c r="A2954" s="2">
        <v>45325.404606481483</v>
      </c>
      <c r="B2954" t="s">
        <v>309</v>
      </c>
      <c r="C2954" t="s">
        <v>370</v>
      </c>
      <c r="D2954">
        <v>2</v>
      </c>
      <c r="E2954" t="s">
        <v>30</v>
      </c>
      <c r="F2954" t="s">
        <v>388</v>
      </c>
      <c r="G2954">
        <f t="shared" si="34"/>
        <v>0</v>
      </c>
      <c r="H2954">
        <f t="shared" si="35"/>
        <v>0</v>
      </c>
      <c r="I2954">
        <v>0</v>
      </c>
      <c r="J2954">
        <f t="shared" si="36"/>
        <v>100</v>
      </c>
      <c r="K2954">
        <v>0.8</v>
      </c>
      <c r="L2954">
        <v>0.3</v>
      </c>
      <c r="M2954">
        <v>0.7</v>
      </c>
      <c r="N2954">
        <v>674</v>
      </c>
      <c r="O2954">
        <v>0</v>
      </c>
      <c r="P2954">
        <v>0</v>
      </c>
      <c r="Q2954">
        <v>0</v>
      </c>
      <c r="R2954" t="s">
        <v>246</v>
      </c>
      <c r="S2954">
        <v>0</v>
      </c>
      <c r="T2954">
        <v>0</v>
      </c>
    </row>
    <row r="2955" spans="1:20" ht="15" customHeight="1" x14ac:dyDescent="0.25">
      <c r="A2955" s="2">
        <v>45325.406041666669</v>
      </c>
      <c r="B2955" t="s">
        <v>309</v>
      </c>
      <c r="C2955" t="s">
        <v>370</v>
      </c>
      <c r="D2955">
        <v>2</v>
      </c>
      <c r="E2955" t="s">
        <v>31</v>
      </c>
      <c r="F2955" t="s">
        <v>388</v>
      </c>
      <c r="G2955">
        <f t="shared" si="34"/>
        <v>4.5999999999999996</v>
      </c>
      <c r="H2955">
        <f t="shared" si="35"/>
        <v>0</v>
      </c>
      <c r="I2955">
        <v>4.5999999999999996</v>
      </c>
      <c r="J2955">
        <f t="shared" si="36"/>
        <v>95.399999999999991</v>
      </c>
      <c r="K2955">
        <v>0.8</v>
      </c>
      <c r="L2955">
        <v>0.3</v>
      </c>
      <c r="M2955">
        <v>0.7</v>
      </c>
      <c r="N2955">
        <v>477</v>
      </c>
      <c r="O2955">
        <v>23</v>
      </c>
      <c r="P2955">
        <v>0</v>
      </c>
      <c r="Q2955">
        <v>4.5999999999999996</v>
      </c>
      <c r="R2955" t="s">
        <v>236</v>
      </c>
      <c r="S2955">
        <v>0.24</v>
      </c>
      <c r="T2955">
        <v>0.28999999999999998</v>
      </c>
    </row>
    <row r="2956" spans="1:20" ht="15" customHeight="1" x14ac:dyDescent="0.25">
      <c r="A2956" s="2">
        <v>45325.407569444447</v>
      </c>
      <c r="B2956" t="s">
        <v>309</v>
      </c>
      <c r="C2956" t="s">
        <v>370</v>
      </c>
      <c r="D2956">
        <v>2</v>
      </c>
      <c r="E2956" t="s">
        <v>33</v>
      </c>
      <c r="F2956" t="s">
        <v>388</v>
      </c>
      <c r="G2956">
        <f t="shared" si="34"/>
        <v>24.447949526813879</v>
      </c>
      <c r="H2956">
        <f t="shared" si="35"/>
        <v>0</v>
      </c>
      <c r="I2956">
        <v>24.45</v>
      </c>
      <c r="J2956">
        <f t="shared" si="36"/>
        <v>75.552050473186114</v>
      </c>
      <c r="K2956">
        <v>0.8</v>
      </c>
      <c r="L2956">
        <v>0.3</v>
      </c>
      <c r="M2956">
        <v>0.7</v>
      </c>
      <c r="N2956">
        <v>479</v>
      </c>
      <c r="O2956">
        <v>155</v>
      </c>
      <c r="P2956">
        <v>0</v>
      </c>
      <c r="Q2956">
        <v>24.45</v>
      </c>
      <c r="R2956" t="s">
        <v>238</v>
      </c>
      <c r="S2956">
        <v>0.75</v>
      </c>
      <c r="T2956">
        <v>0.94</v>
      </c>
    </row>
    <row r="2957" spans="1:20" ht="15" customHeight="1" x14ac:dyDescent="0.25">
      <c r="A2957" s="2">
        <v>45325.409050925926</v>
      </c>
      <c r="B2957" t="s">
        <v>309</v>
      </c>
      <c r="C2957" t="s">
        <v>370</v>
      </c>
      <c r="D2957">
        <v>2</v>
      </c>
      <c r="E2957" t="s">
        <v>35</v>
      </c>
      <c r="F2957" t="s">
        <v>388</v>
      </c>
      <c r="G2957">
        <f t="shared" si="34"/>
        <v>2.4482109227871938</v>
      </c>
      <c r="H2957">
        <f t="shared" si="35"/>
        <v>0</v>
      </c>
      <c r="I2957">
        <v>2.4500000000000002</v>
      </c>
      <c r="J2957">
        <f t="shared" si="36"/>
        <v>97.551789077212803</v>
      </c>
      <c r="K2957">
        <v>0.8</v>
      </c>
      <c r="L2957">
        <v>0.3</v>
      </c>
      <c r="M2957">
        <v>0.7</v>
      </c>
      <c r="N2957">
        <v>518</v>
      </c>
      <c r="O2957">
        <v>13</v>
      </c>
      <c r="P2957">
        <v>0</v>
      </c>
      <c r="Q2957">
        <v>2.4500000000000002</v>
      </c>
      <c r="R2957" t="s">
        <v>268</v>
      </c>
      <c r="S2957">
        <v>0.1</v>
      </c>
      <c r="T2957">
        <v>0.13</v>
      </c>
    </row>
    <row r="2958" spans="1:20" ht="15" customHeight="1" x14ac:dyDescent="0.25">
      <c r="A2958" s="2">
        <v>45325.410381944443</v>
      </c>
      <c r="B2958" t="s">
        <v>309</v>
      </c>
      <c r="C2958" t="s">
        <v>370</v>
      </c>
      <c r="D2958">
        <v>2</v>
      </c>
      <c r="E2958" t="s">
        <v>38</v>
      </c>
      <c r="F2958" t="s">
        <v>388</v>
      </c>
      <c r="G2958">
        <f t="shared" si="34"/>
        <v>0</v>
      </c>
      <c r="H2958">
        <f t="shared" si="35"/>
        <v>0</v>
      </c>
      <c r="I2958">
        <v>0</v>
      </c>
      <c r="J2958">
        <f t="shared" si="36"/>
        <v>100</v>
      </c>
      <c r="K2958">
        <v>0.8</v>
      </c>
      <c r="L2958">
        <v>0.3</v>
      </c>
      <c r="M2958">
        <v>0.7</v>
      </c>
      <c r="N2958">
        <v>690</v>
      </c>
      <c r="O2958">
        <v>0</v>
      </c>
      <c r="P2958">
        <v>0</v>
      </c>
      <c r="Q2958">
        <v>0</v>
      </c>
      <c r="R2958" t="s">
        <v>271</v>
      </c>
      <c r="S2958">
        <v>0.01</v>
      </c>
      <c r="T2958">
        <v>0.01</v>
      </c>
    </row>
    <row r="2959" spans="1:20" ht="15" customHeight="1" x14ac:dyDescent="0.25">
      <c r="A2959" s="2">
        <v>45325.411643518521</v>
      </c>
      <c r="B2959" t="s">
        <v>309</v>
      </c>
      <c r="C2959" t="s">
        <v>370</v>
      </c>
      <c r="D2959">
        <v>2</v>
      </c>
      <c r="E2959" t="s">
        <v>39</v>
      </c>
      <c r="F2959" t="s">
        <v>388</v>
      </c>
      <c r="G2959">
        <f t="shared" si="34"/>
        <v>2.6033690658499236</v>
      </c>
      <c r="H2959">
        <f t="shared" si="35"/>
        <v>0</v>
      </c>
      <c r="I2959">
        <v>2.6</v>
      </c>
      <c r="J2959">
        <f t="shared" si="36"/>
        <v>97.396630934150068</v>
      </c>
      <c r="K2959">
        <v>0.8</v>
      </c>
      <c r="L2959">
        <v>0.3</v>
      </c>
      <c r="M2959">
        <v>0.7</v>
      </c>
      <c r="N2959">
        <v>636</v>
      </c>
      <c r="O2959">
        <v>17</v>
      </c>
      <c r="P2959">
        <v>0</v>
      </c>
      <c r="Q2959">
        <v>2.6</v>
      </c>
      <c r="R2959" t="s">
        <v>285</v>
      </c>
      <c r="S2959">
        <v>0.19</v>
      </c>
      <c r="T2959">
        <v>0.24</v>
      </c>
    </row>
    <row r="2960" spans="1:20" ht="15" customHeight="1" x14ac:dyDescent="0.25">
      <c r="A2960" s="2">
        <v>45325.41300925926</v>
      </c>
      <c r="B2960" t="s">
        <v>309</v>
      </c>
      <c r="C2960" t="s">
        <v>370</v>
      </c>
      <c r="D2960">
        <v>2</v>
      </c>
      <c r="E2960" t="s">
        <v>40</v>
      </c>
      <c r="F2960" t="s">
        <v>388</v>
      </c>
      <c r="G2960">
        <f t="shared" si="34"/>
        <v>0</v>
      </c>
      <c r="H2960">
        <f t="shared" si="35"/>
        <v>0</v>
      </c>
      <c r="I2960">
        <v>0</v>
      </c>
      <c r="J2960">
        <f t="shared" si="36"/>
        <v>100</v>
      </c>
      <c r="K2960">
        <v>0.8</v>
      </c>
      <c r="L2960">
        <v>0.3</v>
      </c>
      <c r="M2960">
        <v>0.7</v>
      </c>
      <c r="N2960">
        <v>662</v>
      </c>
      <c r="O2960">
        <v>0</v>
      </c>
      <c r="P2960">
        <v>0</v>
      </c>
      <c r="Q2960">
        <v>0</v>
      </c>
      <c r="R2960" t="s">
        <v>369</v>
      </c>
      <c r="S2960">
        <v>0.02</v>
      </c>
      <c r="T2960">
        <v>0.02</v>
      </c>
    </row>
    <row r="2961" spans="1:20" ht="15" customHeight="1" x14ac:dyDescent="0.25">
      <c r="A2961" s="2">
        <v>45325.414340277777</v>
      </c>
      <c r="B2961" t="s">
        <v>309</v>
      </c>
      <c r="C2961" t="s">
        <v>370</v>
      </c>
      <c r="D2961">
        <v>2</v>
      </c>
      <c r="E2961" t="s">
        <v>46</v>
      </c>
      <c r="F2961" t="s">
        <v>388</v>
      </c>
      <c r="G2961">
        <f t="shared" si="34"/>
        <v>83.384146341463421</v>
      </c>
      <c r="H2961">
        <f t="shared" si="35"/>
        <v>0</v>
      </c>
      <c r="I2961">
        <v>83.38</v>
      </c>
      <c r="J2961">
        <f t="shared" si="36"/>
        <v>16.615853658536587</v>
      </c>
      <c r="K2961">
        <v>0.8</v>
      </c>
      <c r="L2961">
        <v>0.3</v>
      </c>
      <c r="M2961">
        <v>0.7</v>
      </c>
      <c r="N2961">
        <v>109</v>
      </c>
      <c r="O2961">
        <v>547</v>
      </c>
      <c r="P2961">
        <v>0</v>
      </c>
      <c r="Q2961">
        <v>83.38</v>
      </c>
      <c r="R2961" t="s">
        <v>339</v>
      </c>
      <c r="S2961">
        <v>2.42</v>
      </c>
      <c r="T2961">
        <v>2.97</v>
      </c>
    </row>
    <row r="2962" spans="1:20" ht="15" customHeight="1" x14ac:dyDescent="0.25">
      <c r="A2962" s="2">
        <v>45325.416006944448</v>
      </c>
      <c r="B2962" t="s">
        <v>309</v>
      </c>
      <c r="C2962" t="s">
        <v>370</v>
      </c>
      <c r="D2962">
        <v>2</v>
      </c>
      <c r="E2962" t="s">
        <v>48</v>
      </c>
      <c r="F2962" t="s">
        <v>388</v>
      </c>
      <c r="G2962">
        <f t="shared" si="34"/>
        <v>0.13679890560875513</v>
      </c>
      <c r="H2962">
        <f t="shared" si="35"/>
        <v>0</v>
      </c>
      <c r="I2962">
        <v>0.14000000000000001</v>
      </c>
      <c r="J2962">
        <f t="shared" si="36"/>
        <v>99.863201094391243</v>
      </c>
      <c r="K2962">
        <v>0.8</v>
      </c>
      <c r="L2962">
        <v>0.3</v>
      </c>
      <c r="M2962">
        <v>0.7</v>
      </c>
      <c r="N2962">
        <v>730</v>
      </c>
      <c r="O2962">
        <v>1</v>
      </c>
      <c r="P2962">
        <v>0</v>
      </c>
      <c r="Q2962">
        <v>0.14000000000000001</v>
      </c>
      <c r="R2962" t="s">
        <v>259</v>
      </c>
      <c r="S2962">
        <v>0.02</v>
      </c>
      <c r="T2962">
        <v>0.02</v>
      </c>
    </row>
    <row r="2963" spans="1:20" ht="15" customHeight="1" x14ac:dyDescent="0.25">
      <c r="A2963" s="2">
        <v>45325.417256944442</v>
      </c>
      <c r="B2963" t="s">
        <v>309</v>
      </c>
      <c r="C2963" t="s">
        <v>370</v>
      </c>
      <c r="D2963">
        <v>2</v>
      </c>
      <c r="E2963" t="s">
        <v>49</v>
      </c>
      <c r="F2963" t="s">
        <v>388</v>
      </c>
      <c r="G2963">
        <f t="shared" si="34"/>
        <v>53.035143769968052</v>
      </c>
      <c r="H2963">
        <f t="shared" si="35"/>
        <v>0</v>
      </c>
      <c r="I2963">
        <v>53.04</v>
      </c>
      <c r="J2963">
        <f t="shared" si="36"/>
        <v>46.964856230031948</v>
      </c>
      <c r="K2963">
        <v>0.8</v>
      </c>
      <c r="L2963">
        <v>0.3</v>
      </c>
      <c r="M2963">
        <v>0.7</v>
      </c>
      <c r="N2963">
        <v>294</v>
      </c>
      <c r="O2963">
        <v>332</v>
      </c>
      <c r="P2963">
        <v>0</v>
      </c>
      <c r="Q2963">
        <v>53.04</v>
      </c>
      <c r="R2963" t="s">
        <v>265</v>
      </c>
      <c r="S2963">
        <v>1.41</v>
      </c>
      <c r="T2963">
        <v>1.71</v>
      </c>
    </row>
    <row r="2964" spans="1:20" ht="15" customHeight="1" x14ac:dyDescent="0.25">
      <c r="A2964" s="2">
        <v>45325.418726851851</v>
      </c>
      <c r="B2964" t="s">
        <v>309</v>
      </c>
      <c r="C2964" t="s">
        <v>370</v>
      </c>
      <c r="D2964">
        <v>2</v>
      </c>
      <c r="E2964" t="s">
        <v>50</v>
      </c>
      <c r="F2964" t="s">
        <v>388</v>
      </c>
      <c r="G2964">
        <f t="shared" si="34"/>
        <v>19.785276073619631</v>
      </c>
      <c r="H2964">
        <f t="shared" si="35"/>
        <v>0</v>
      </c>
      <c r="I2964">
        <v>19.79</v>
      </c>
      <c r="J2964">
        <f t="shared" si="36"/>
        <v>80.214723926380373</v>
      </c>
      <c r="K2964">
        <v>0.8</v>
      </c>
      <c r="L2964">
        <v>0.3</v>
      </c>
      <c r="M2964">
        <v>0.7</v>
      </c>
      <c r="N2964">
        <v>523</v>
      </c>
      <c r="O2964">
        <v>129</v>
      </c>
      <c r="P2964">
        <v>0</v>
      </c>
      <c r="Q2964">
        <v>19.79</v>
      </c>
      <c r="R2964" t="s">
        <v>367</v>
      </c>
      <c r="S2964">
        <v>0.53</v>
      </c>
      <c r="T2964">
        <v>0.67</v>
      </c>
    </row>
    <row r="2965" spans="1:20" ht="15" customHeight="1" x14ac:dyDescent="0.25">
      <c r="A2965" s="2">
        <v>45325.420069444444</v>
      </c>
      <c r="B2965" t="s">
        <v>309</v>
      </c>
      <c r="C2965" t="s">
        <v>370</v>
      </c>
      <c r="D2965">
        <v>2</v>
      </c>
      <c r="E2965" t="s">
        <v>51</v>
      </c>
      <c r="F2965" t="s">
        <v>388</v>
      </c>
      <c r="G2965">
        <f t="shared" si="34"/>
        <v>56.729131175468481</v>
      </c>
      <c r="H2965">
        <f t="shared" si="35"/>
        <v>0</v>
      </c>
      <c r="I2965">
        <v>56.73</v>
      </c>
      <c r="J2965">
        <f t="shared" si="36"/>
        <v>43.270868824531519</v>
      </c>
      <c r="K2965">
        <v>0.8</v>
      </c>
      <c r="L2965">
        <v>0.3</v>
      </c>
      <c r="M2965">
        <v>0.7</v>
      </c>
      <c r="N2965">
        <v>254</v>
      </c>
      <c r="O2965">
        <v>333</v>
      </c>
      <c r="P2965">
        <v>0</v>
      </c>
      <c r="Q2965">
        <v>56.73</v>
      </c>
      <c r="R2965" t="s">
        <v>253</v>
      </c>
      <c r="S2965">
        <v>1.51</v>
      </c>
      <c r="T2965">
        <v>1.79</v>
      </c>
    </row>
    <row r="2966" spans="1:20" ht="15" customHeight="1" x14ac:dyDescent="0.25">
      <c r="A2966" s="2">
        <v>45325.421631944446</v>
      </c>
      <c r="B2966" t="s">
        <v>309</v>
      </c>
      <c r="C2966" t="s">
        <v>370</v>
      </c>
      <c r="D2966">
        <v>2</v>
      </c>
      <c r="E2966" t="s">
        <v>55</v>
      </c>
      <c r="F2966" t="s">
        <v>388</v>
      </c>
      <c r="G2966">
        <f t="shared" si="34"/>
        <v>0.31645569620253167</v>
      </c>
      <c r="H2966">
        <f t="shared" si="35"/>
        <v>0</v>
      </c>
      <c r="I2966">
        <v>0.32</v>
      </c>
      <c r="J2966">
        <f t="shared" si="36"/>
        <v>99.683544303797461</v>
      </c>
      <c r="K2966">
        <v>0.8</v>
      </c>
      <c r="L2966">
        <v>0.3</v>
      </c>
      <c r="M2966">
        <v>0.7</v>
      </c>
      <c r="N2966">
        <v>630</v>
      </c>
      <c r="O2966">
        <v>2</v>
      </c>
      <c r="P2966">
        <v>0</v>
      </c>
      <c r="Q2966">
        <v>0.32</v>
      </c>
      <c r="R2966" t="s">
        <v>276</v>
      </c>
      <c r="S2966">
        <v>0.03</v>
      </c>
      <c r="T2966">
        <v>0.03</v>
      </c>
    </row>
    <row r="2967" spans="1:20" ht="15" customHeight="1" x14ac:dyDescent="0.25">
      <c r="A2967" s="2">
        <v>45325.42291666667</v>
      </c>
      <c r="B2967" t="s">
        <v>309</v>
      </c>
      <c r="C2967" t="s">
        <v>370</v>
      </c>
      <c r="D2967">
        <v>2</v>
      </c>
      <c r="E2967" t="s">
        <v>56</v>
      </c>
      <c r="F2967" t="s">
        <v>388</v>
      </c>
      <c r="G2967">
        <f t="shared" si="34"/>
        <v>88.49407783417935</v>
      </c>
      <c r="H2967">
        <f t="shared" si="35"/>
        <v>0</v>
      </c>
      <c r="I2967">
        <v>88.49</v>
      </c>
      <c r="J2967">
        <f t="shared" si="36"/>
        <v>11.505922165820643</v>
      </c>
      <c r="K2967">
        <v>0.8</v>
      </c>
      <c r="L2967">
        <v>0.3</v>
      </c>
      <c r="M2967">
        <v>0.7</v>
      </c>
      <c r="N2967">
        <v>68</v>
      </c>
      <c r="O2967">
        <v>523</v>
      </c>
      <c r="P2967">
        <v>0</v>
      </c>
      <c r="Q2967">
        <v>88.49</v>
      </c>
      <c r="R2967" t="s">
        <v>287</v>
      </c>
      <c r="S2967">
        <v>2.41</v>
      </c>
      <c r="T2967">
        <v>2.93</v>
      </c>
    </row>
    <row r="2968" spans="1:20" ht="15" customHeight="1" x14ac:dyDescent="0.25">
      <c r="A2968" s="2">
        <v>45325.424525462964</v>
      </c>
      <c r="B2968" t="s">
        <v>309</v>
      </c>
      <c r="C2968" t="s">
        <v>370</v>
      </c>
      <c r="D2968">
        <v>2</v>
      </c>
      <c r="E2968" t="s">
        <v>58</v>
      </c>
      <c r="F2968" t="s">
        <v>388</v>
      </c>
      <c r="G2968">
        <f t="shared" si="34"/>
        <v>11.092715231788079</v>
      </c>
      <c r="H2968">
        <f t="shared" si="35"/>
        <v>0</v>
      </c>
      <c r="I2968">
        <v>11.09</v>
      </c>
      <c r="J2968">
        <f t="shared" si="36"/>
        <v>88.907284768211923</v>
      </c>
      <c r="K2968">
        <v>0.8</v>
      </c>
      <c r="L2968">
        <v>0.3</v>
      </c>
      <c r="M2968">
        <v>0.7</v>
      </c>
      <c r="N2968">
        <v>537</v>
      </c>
      <c r="O2968">
        <v>67</v>
      </c>
      <c r="P2968">
        <v>0</v>
      </c>
      <c r="Q2968">
        <v>11.09</v>
      </c>
      <c r="R2968" t="s">
        <v>279</v>
      </c>
      <c r="S2968">
        <v>0.37</v>
      </c>
      <c r="T2968">
        <v>0.45</v>
      </c>
    </row>
    <row r="2969" spans="1:20" ht="15" customHeight="1" x14ac:dyDescent="0.25">
      <c r="A2969" s="2">
        <v>45325.425937499997</v>
      </c>
      <c r="B2969" t="s">
        <v>309</v>
      </c>
      <c r="C2969" t="s">
        <v>370</v>
      </c>
      <c r="D2969">
        <v>2</v>
      </c>
      <c r="E2969" t="s">
        <v>62</v>
      </c>
      <c r="F2969" t="s">
        <v>388</v>
      </c>
      <c r="G2969">
        <f t="shared" si="34"/>
        <v>3.0721966205837172</v>
      </c>
      <c r="H2969">
        <f t="shared" si="35"/>
        <v>0</v>
      </c>
      <c r="I2969">
        <v>3.07</v>
      </c>
      <c r="J2969">
        <f t="shared" si="36"/>
        <v>96.927803379416275</v>
      </c>
      <c r="K2969">
        <v>0.8</v>
      </c>
      <c r="L2969">
        <v>0.3</v>
      </c>
      <c r="M2969">
        <v>0.7</v>
      </c>
      <c r="N2969">
        <v>631</v>
      </c>
      <c r="O2969">
        <v>20</v>
      </c>
      <c r="P2969">
        <v>0</v>
      </c>
      <c r="Q2969">
        <v>3.07</v>
      </c>
      <c r="R2969" t="s">
        <v>285</v>
      </c>
      <c r="S2969">
        <v>0.1</v>
      </c>
      <c r="T2969">
        <v>0.12</v>
      </c>
    </row>
    <row r="2970" spans="1:20" ht="15" customHeight="1" x14ac:dyDescent="0.25">
      <c r="A2970" s="2">
        <v>45325.427291666667</v>
      </c>
      <c r="B2970" t="s">
        <v>309</v>
      </c>
      <c r="C2970" t="s">
        <v>370</v>
      </c>
      <c r="D2970">
        <v>2</v>
      </c>
      <c r="E2970" t="s">
        <v>65</v>
      </c>
      <c r="F2970" t="s">
        <v>388</v>
      </c>
      <c r="G2970">
        <f t="shared" si="34"/>
        <v>27.796052631578949</v>
      </c>
      <c r="H2970">
        <f t="shared" si="35"/>
        <v>0</v>
      </c>
      <c r="I2970">
        <v>27.8</v>
      </c>
      <c r="J2970">
        <f t="shared" si="36"/>
        <v>72.203947368421055</v>
      </c>
      <c r="K2970">
        <v>0.8</v>
      </c>
      <c r="L2970">
        <v>0.3</v>
      </c>
      <c r="M2970">
        <v>0.7</v>
      </c>
      <c r="N2970">
        <v>439</v>
      </c>
      <c r="O2970">
        <v>169</v>
      </c>
      <c r="P2970">
        <v>0</v>
      </c>
      <c r="Q2970">
        <v>27.8</v>
      </c>
      <c r="R2970" t="s">
        <v>223</v>
      </c>
      <c r="S2970">
        <v>0.79</v>
      </c>
      <c r="T2970">
        <v>0.94</v>
      </c>
    </row>
    <row r="2971" spans="1:20" ht="15" customHeight="1" x14ac:dyDescent="0.25">
      <c r="A2971" s="2">
        <v>45325.428807870368</v>
      </c>
      <c r="B2971" t="s">
        <v>309</v>
      </c>
      <c r="C2971" t="s">
        <v>370</v>
      </c>
      <c r="D2971">
        <v>2</v>
      </c>
      <c r="E2971" t="s">
        <v>66</v>
      </c>
      <c r="F2971" t="s">
        <v>388</v>
      </c>
      <c r="G2971">
        <f t="shared" si="34"/>
        <v>0.145985401459854</v>
      </c>
      <c r="H2971">
        <f t="shared" si="35"/>
        <v>0</v>
      </c>
      <c r="I2971">
        <v>0.15</v>
      </c>
      <c r="J2971">
        <f t="shared" si="36"/>
        <v>99.854014598540147</v>
      </c>
      <c r="K2971">
        <v>0.8</v>
      </c>
      <c r="L2971">
        <v>0.3</v>
      </c>
      <c r="M2971">
        <v>0.7</v>
      </c>
      <c r="N2971">
        <v>684</v>
      </c>
      <c r="O2971">
        <v>1</v>
      </c>
      <c r="P2971">
        <v>0</v>
      </c>
      <c r="Q2971">
        <v>0.15</v>
      </c>
      <c r="R2971" t="s">
        <v>347</v>
      </c>
      <c r="S2971">
        <v>0.04</v>
      </c>
      <c r="T2971">
        <v>0.05</v>
      </c>
    </row>
    <row r="2972" spans="1:20" ht="15" customHeight="1" x14ac:dyDescent="0.25">
      <c r="A2972" s="2">
        <v>45325.430219907408</v>
      </c>
      <c r="B2972" t="s">
        <v>309</v>
      </c>
      <c r="C2972" t="s">
        <v>370</v>
      </c>
      <c r="D2972">
        <v>2</v>
      </c>
      <c r="E2972" t="s">
        <v>67</v>
      </c>
      <c r="F2972" t="s">
        <v>388</v>
      </c>
      <c r="G2972">
        <f t="shared" si="34"/>
        <v>86.752136752136749</v>
      </c>
      <c r="H2972">
        <f t="shared" si="35"/>
        <v>0</v>
      </c>
      <c r="I2972">
        <v>86.75</v>
      </c>
      <c r="J2972">
        <f t="shared" si="36"/>
        <v>13.247863247863249</v>
      </c>
      <c r="K2972">
        <v>0.8</v>
      </c>
      <c r="L2972">
        <v>0.3</v>
      </c>
      <c r="M2972">
        <v>0.7</v>
      </c>
      <c r="N2972">
        <v>93</v>
      </c>
      <c r="O2972">
        <v>609</v>
      </c>
      <c r="P2972">
        <v>0</v>
      </c>
      <c r="Q2972">
        <v>86.75</v>
      </c>
      <c r="R2972" t="s">
        <v>332</v>
      </c>
      <c r="S2972">
        <v>2.35</v>
      </c>
      <c r="T2972">
        <v>2.82</v>
      </c>
    </row>
    <row r="2973" spans="1:20" ht="15" customHeight="1" x14ac:dyDescent="0.25">
      <c r="A2973" s="2">
        <v>45325.431944444441</v>
      </c>
      <c r="B2973" t="s">
        <v>309</v>
      </c>
      <c r="C2973" t="s">
        <v>370</v>
      </c>
      <c r="D2973">
        <v>2</v>
      </c>
      <c r="E2973" t="s">
        <v>68</v>
      </c>
      <c r="F2973" t="s">
        <v>388</v>
      </c>
      <c r="G2973">
        <f t="shared" si="34"/>
        <v>29.131652661064429</v>
      </c>
      <c r="H2973">
        <f t="shared" si="35"/>
        <v>0</v>
      </c>
      <c r="I2973">
        <v>29.13</v>
      </c>
      <c r="J2973">
        <f t="shared" si="36"/>
        <v>70.868347338935578</v>
      </c>
      <c r="K2973">
        <v>0.8</v>
      </c>
      <c r="L2973">
        <v>0.3</v>
      </c>
      <c r="M2973">
        <v>0.7</v>
      </c>
      <c r="N2973">
        <v>506</v>
      </c>
      <c r="O2973">
        <v>208</v>
      </c>
      <c r="P2973">
        <v>0</v>
      </c>
      <c r="Q2973">
        <v>29.13</v>
      </c>
      <c r="R2973" t="s">
        <v>236</v>
      </c>
      <c r="S2973">
        <v>0.87</v>
      </c>
      <c r="T2973">
        <v>1.06</v>
      </c>
    </row>
    <row r="2974" spans="1:20" ht="15" customHeight="1" x14ac:dyDescent="0.25">
      <c r="A2974" s="2">
        <v>45325.43346064815</v>
      </c>
      <c r="B2974" t="s">
        <v>309</v>
      </c>
      <c r="C2974" t="s">
        <v>370</v>
      </c>
      <c r="D2974">
        <v>2</v>
      </c>
      <c r="E2974" t="s">
        <v>73</v>
      </c>
      <c r="F2974" t="s">
        <v>388</v>
      </c>
      <c r="G2974">
        <f t="shared" si="34"/>
        <v>3.8664323374340945</v>
      </c>
      <c r="H2974">
        <f t="shared" si="35"/>
        <v>0</v>
      </c>
      <c r="I2974">
        <v>3.87</v>
      </c>
      <c r="J2974">
        <f t="shared" si="36"/>
        <v>96.133567662565895</v>
      </c>
      <c r="K2974">
        <v>0.8</v>
      </c>
      <c r="L2974">
        <v>0.3</v>
      </c>
      <c r="M2974">
        <v>0.7</v>
      </c>
      <c r="N2974">
        <v>547</v>
      </c>
      <c r="O2974">
        <v>22</v>
      </c>
      <c r="P2974">
        <v>0</v>
      </c>
      <c r="Q2974">
        <v>3.87</v>
      </c>
      <c r="R2974" t="s">
        <v>261</v>
      </c>
      <c r="S2974">
        <v>0.23</v>
      </c>
      <c r="T2974">
        <v>0.27</v>
      </c>
    </row>
    <row r="2975" spans="1:20" ht="15" customHeight="1" x14ac:dyDescent="0.25">
      <c r="A2975" s="2">
        <v>45325.434907407405</v>
      </c>
      <c r="B2975" t="s">
        <v>309</v>
      </c>
      <c r="C2975" t="s">
        <v>370</v>
      </c>
      <c r="D2975">
        <v>2</v>
      </c>
      <c r="E2975" t="s">
        <v>323</v>
      </c>
      <c r="F2975" t="s">
        <v>388</v>
      </c>
      <c r="G2975">
        <f t="shared" si="34"/>
        <v>12.159709618874773</v>
      </c>
      <c r="H2975">
        <f t="shared" si="35"/>
        <v>0</v>
      </c>
      <c r="I2975">
        <v>12.16</v>
      </c>
      <c r="J2975">
        <f t="shared" si="36"/>
        <v>87.840290381125229</v>
      </c>
      <c r="K2975">
        <v>0.8</v>
      </c>
      <c r="L2975">
        <v>0.3</v>
      </c>
      <c r="M2975">
        <v>0.7</v>
      </c>
      <c r="N2975">
        <v>484</v>
      </c>
      <c r="O2975">
        <v>67</v>
      </c>
      <c r="P2975">
        <v>0</v>
      </c>
      <c r="Q2975">
        <v>12.16</v>
      </c>
      <c r="R2975" t="s">
        <v>248</v>
      </c>
      <c r="S2975">
        <v>0.47</v>
      </c>
      <c r="T2975">
        <v>0.6</v>
      </c>
    </row>
    <row r="2976" spans="1:20" ht="15" customHeight="1" x14ac:dyDescent="0.25">
      <c r="A2976" s="2">
        <v>45325.436400462961</v>
      </c>
      <c r="B2976" t="s">
        <v>309</v>
      </c>
      <c r="C2976" t="s">
        <v>370</v>
      </c>
      <c r="D2976">
        <v>2</v>
      </c>
      <c r="E2976" t="s">
        <v>76</v>
      </c>
      <c r="F2976" t="s">
        <v>388</v>
      </c>
      <c r="G2976">
        <f t="shared" ref="G2976:G3039" si="37">(O2976/(N2976+O2976+P2976))*100</f>
        <v>54.591836734693878</v>
      </c>
      <c r="H2976">
        <f t="shared" ref="H2976:H3039" si="38">(P2976/(O2976+P2976+N2976))*100</f>
        <v>0</v>
      </c>
      <c r="I2976">
        <v>54.59</v>
      </c>
      <c r="J2976">
        <f t="shared" ref="J2976:J3039" si="39">(N2976/(P2976+O2976+N2976))*100</f>
        <v>45.408163265306122</v>
      </c>
      <c r="K2976">
        <v>0.8</v>
      </c>
      <c r="L2976">
        <v>0.3</v>
      </c>
      <c r="M2976">
        <v>0.7</v>
      </c>
      <c r="N2976">
        <v>267</v>
      </c>
      <c r="O2976">
        <v>321</v>
      </c>
      <c r="P2976">
        <v>0</v>
      </c>
      <c r="Q2976">
        <v>54.59</v>
      </c>
      <c r="R2976" t="s">
        <v>342</v>
      </c>
      <c r="S2976">
        <v>1.47</v>
      </c>
      <c r="T2976">
        <v>1.86</v>
      </c>
    </row>
    <row r="2977" spans="1:20" ht="15" customHeight="1" x14ac:dyDescent="0.25">
      <c r="A2977" s="2">
        <v>45325.438113425924</v>
      </c>
      <c r="B2977" t="s">
        <v>309</v>
      </c>
      <c r="C2977" t="s">
        <v>370</v>
      </c>
      <c r="D2977">
        <v>2</v>
      </c>
      <c r="E2977" t="s">
        <v>77</v>
      </c>
      <c r="F2977" t="s">
        <v>388</v>
      </c>
      <c r="G2977">
        <f t="shared" si="37"/>
        <v>52.848101265822791</v>
      </c>
      <c r="H2977">
        <f t="shared" si="38"/>
        <v>0</v>
      </c>
      <c r="I2977">
        <v>52.85</v>
      </c>
      <c r="J2977">
        <f t="shared" si="39"/>
        <v>47.151898734177216</v>
      </c>
      <c r="K2977">
        <v>0.8</v>
      </c>
      <c r="L2977">
        <v>0.3</v>
      </c>
      <c r="M2977">
        <v>0.7</v>
      </c>
      <c r="N2977">
        <v>298</v>
      </c>
      <c r="O2977">
        <v>334</v>
      </c>
      <c r="P2977">
        <v>0</v>
      </c>
      <c r="Q2977">
        <v>52.85</v>
      </c>
      <c r="R2977" t="s">
        <v>245</v>
      </c>
      <c r="S2977">
        <v>1.41</v>
      </c>
      <c r="T2977">
        <v>1.76</v>
      </c>
    </row>
    <row r="2978" spans="1:20" ht="15" customHeight="1" x14ac:dyDescent="0.25">
      <c r="A2978" s="2">
        <v>45325.439687500002</v>
      </c>
      <c r="B2978" t="s">
        <v>309</v>
      </c>
      <c r="C2978" t="s">
        <v>370</v>
      </c>
      <c r="D2978">
        <v>2</v>
      </c>
      <c r="E2978" t="s">
        <v>78</v>
      </c>
      <c r="F2978" t="s">
        <v>388</v>
      </c>
      <c r="G2978">
        <f t="shared" si="37"/>
        <v>53.801169590643269</v>
      </c>
      <c r="H2978">
        <f t="shared" si="38"/>
        <v>0</v>
      </c>
      <c r="I2978">
        <v>53.8</v>
      </c>
      <c r="J2978">
        <f t="shared" si="39"/>
        <v>46.198830409356724</v>
      </c>
      <c r="K2978">
        <v>0.8</v>
      </c>
      <c r="L2978">
        <v>0.3</v>
      </c>
      <c r="M2978">
        <v>0.7</v>
      </c>
      <c r="N2978">
        <v>237</v>
      </c>
      <c r="O2978">
        <v>276</v>
      </c>
      <c r="P2978">
        <v>0</v>
      </c>
      <c r="Q2978">
        <v>53.8</v>
      </c>
      <c r="R2978" t="s">
        <v>258</v>
      </c>
      <c r="S2978">
        <v>1.38</v>
      </c>
      <c r="T2978">
        <v>1.7</v>
      </c>
    </row>
    <row r="2979" spans="1:20" ht="15" customHeight="1" x14ac:dyDescent="0.25">
      <c r="A2979" s="2">
        <v>45325.441053240742</v>
      </c>
      <c r="B2979" t="s">
        <v>309</v>
      </c>
      <c r="C2979" t="s">
        <v>370</v>
      </c>
      <c r="D2979">
        <v>2</v>
      </c>
      <c r="E2979" t="s">
        <v>79</v>
      </c>
      <c r="F2979" t="s">
        <v>388</v>
      </c>
      <c r="G2979">
        <f t="shared" si="37"/>
        <v>36.97996918335901</v>
      </c>
      <c r="H2979">
        <f t="shared" si="38"/>
        <v>0</v>
      </c>
      <c r="I2979">
        <v>36.979999999999997</v>
      </c>
      <c r="J2979">
        <f t="shared" si="39"/>
        <v>63.020030816640983</v>
      </c>
      <c r="K2979">
        <v>0.8</v>
      </c>
      <c r="L2979">
        <v>0.3</v>
      </c>
      <c r="M2979">
        <v>0.7</v>
      </c>
      <c r="N2979">
        <v>409</v>
      </c>
      <c r="O2979">
        <v>240</v>
      </c>
      <c r="P2979">
        <v>0</v>
      </c>
      <c r="Q2979">
        <v>36.979999999999997</v>
      </c>
      <c r="R2979" t="s">
        <v>256</v>
      </c>
      <c r="S2979">
        <v>0.97</v>
      </c>
      <c r="T2979">
        <v>1.23</v>
      </c>
    </row>
    <row r="2980" spans="1:20" ht="15" customHeight="1" x14ac:dyDescent="0.25">
      <c r="A2980" s="2">
        <v>45325.442465277774</v>
      </c>
      <c r="B2980" t="s">
        <v>309</v>
      </c>
      <c r="C2980" t="s">
        <v>370</v>
      </c>
      <c r="D2980">
        <v>2</v>
      </c>
      <c r="E2980" t="s">
        <v>80</v>
      </c>
      <c r="F2980" t="s">
        <v>388</v>
      </c>
      <c r="G2980">
        <f t="shared" si="37"/>
        <v>10.692771084337348</v>
      </c>
      <c r="H2980">
        <f t="shared" si="38"/>
        <v>0</v>
      </c>
      <c r="I2980">
        <v>10.69</v>
      </c>
      <c r="J2980">
        <f t="shared" si="39"/>
        <v>89.307228915662648</v>
      </c>
      <c r="K2980">
        <v>0.8</v>
      </c>
      <c r="L2980">
        <v>0.3</v>
      </c>
      <c r="M2980">
        <v>0.7</v>
      </c>
      <c r="N2980">
        <v>593</v>
      </c>
      <c r="O2980">
        <v>71</v>
      </c>
      <c r="P2980">
        <v>0</v>
      </c>
      <c r="Q2980">
        <v>10.69</v>
      </c>
      <c r="R2980" t="s">
        <v>275</v>
      </c>
      <c r="S2980">
        <v>0.32</v>
      </c>
      <c r="T2980">
        <v>0.4</v>
      </c>
    </row>
    <row r="2981" spans="1:20" ht="15" customHeight="1" x14ac:dyDescent="0.25">
      <c r="A2981" s="2">
        <v>45325.443784722222</v>
      </c>
      <c r="B2981" t="s">
        <v>309</v>
      </c>
      <c r="C2981" t="s">
        <v>370</v>
      </c>
      <c r="D2981">
        <v>2</v>
      </c>
      <c r="E2981" t="s">
        <v>82</v>
      </c>
      <c r="F2981" t="s">
        <v>388</v>
      </c>
      <c r="G2981">
        <f t="shared" si="37"/>
        <v>42.077464788732392</v>
      </c>
      <c r="H2981">
        <f t="shared" si="38"/>
        <v>0</v>
      </c>
      <c r="I2981">
        <v>42.08</v>
      </c>
      <c r="J2981">
        <f t="shared" si="39"/>
        <v>57.922535211267601</v>
      </c>
      <c r="K2981">
        <v>0.8</v>
      </c>
      <c r="L2981">
        <v>0.3</v>
      </c>
      <c r="M2981">
        <v>0.7</v>
      </c>
      <c r="N2981">
        <v>329</v>
      </c>
      <c r="O2981">
        <v>239</v>
      </c>
      <c r="P2981">
        <v>0</v>
      </c>
      <c r="Q2981">
        <v>42.08</v>
      </c>
      <c r="R2981" t="s">
        <v>284</v>
      </c>
      <c r="S2981">
        <v>1.28</v>
      </c>
      <c r="T2981">
        <v>1.58</v>
      </c>
    </row>
    <row r="2982" spans="1:20" ht="15" customHeight="1" x14ac:dyDescent="0.25">
      <c r="A2982" s="2">
        <v>45325.445219907408</v>
      </c>
      <c r="B2982" t="s">
        <v>309</v>
      </c>
      <c r="C2982" t="s">
        <v>370</v>
      </c>
      <c r="D2982">
        <v>2</v>
      </c>
      <c r="E2982" t="s">
        <v>85</v>
      </c>
      <c r="F2982" t="s">
        <v>388</v>
      </c>
      <c r="G2982">
        <f t="shared" si="37"/>
        <v>93.156424581005581</v>
      </c>
      <c r="H2982">
        <f t="shared" si="38"/>
        <v>0</v>
      </c>
      <c r="I2982">
        <v>93.16</v>
      </c>
      <c r="J2982">
        <f t="shared" si="39"/>
        <v>6.8435754189944129</v>
      </c>
      <c r="K2982">
        <v>0.8</v>
      </c>
      <c r="L2982">
        <v>0.3</v>
      </c>
      <c r="M2982">
        <v>0.7</v>
      </c>
      <c r="N2982">
        <v>49</v>
      </c>
      <c r="O2982">
        <v>667</v>
      </c>
      <c r="P2982">
        <v>0</v>
      </c>
      <c r="Q2982">
        <v>93.16</v>
      </c>
      <c r="R2982" t="s">
        <v>230</v>
      </c>
      <c r="S2982">
        <v>2.67</v>
      </c>
      <c r="T2982">
        <v>3.23</v>
      </c>
    </row>
    <row r="2983" spans="1:20" ht="15" customHeight="1" x14ac:dyDescent="0.25">
      <c r="A2983" s="2">
        <v>45325.446898148148</v>
      </c>
      <c r="B2983" t="s">
        <v>309</v>
      </c>
      <c r="C2983" t="s">
        <v>370</v>
      </c>
      <c r="D2983">
        <v>2</v>
      </c>
      <c r="E2983" t="s">
        <v>88</v>
      </c>
      <c r="F2983" t="s">
        <v>388</v>
      </c>
      <c r="G2983">
        <f t="shared" si="37"/>
        <v>90.175953079178882</v>
      </c>
      <c r="H2983">
        <f t="shared" si="38"/>
        <v>0</v>
      </c>
      <c r="I2983">
        <v>90.18</v>
      </c>
      <c r="J2983">
        <f t="shared" si="39"/>
        <v>9.8240469208211145</v>
      </c>
      <c r="K2983">
        <v>0.8</v>
      </c>
      <c r="L2983">
        <v>0.3</v>
      </c>
      <c r="M2983">
        <v>0.7</v>
      </c>
      <c r="N2983">
        <v>67</v>
      </c>
      <c r="O2983">
        <v>615</v>
      </c>
      <c r="P2983">
        <v>0</v>
      </c>
      <c r="Q2983">
        <v>90.18</v>
      </c>
      <c r="R2983" t="s">
        <v>339</v>
      </c>
      <c r="S2983">
        <v>2.54</v>
      </c>
      <c r="T2983">
        <v>3.02</v>
      </c>
    </row>
    <row r="2984" spans="1:20" ht="15" customHeight="1" x14ac:dyDescent="0.25">
      <c r="A2984" s="2">
        <v>45325.448564814818</v>
      </c>
      <c r="B2984" t="s">
        <v>309</v>
      </c>
      <c r="C2984" t="s">
        <v>370</v>
      </c>
      <c r="D2984">
        <v>2</v>
      </c>
      <c r="E2984" t="s">
        <v>90</v>
      </c>
      <c r="F2984" t="s">
        <v>388</v>
      </c>
      <c r="G2984">
        <f t="shared" si="37"/>
        <v>0.26990553306342779</v>
      </c>
      <c r="H2984">
        <f t="shared" si="38"/>
        <v>0</v>
      </c>
      <c r="I2984">
        <v>0.27</v>
      </c>
      <c r="J2984">
        <f t="shared" si="39"/>
        <v>99.730094466936563</v>
      </c>
      <c r="K2984">
        <v>0.8</v>
      </c>
      <c r="L2984">
        <v>0.3</v>
      </c>
      <c r="M2984">
        <v>0.7</v>
      </c>
      <c r="N2984">
        <v>739</v>
      </c>
      <c r="O2984">
        <v>2</v>
      </c>
      <c r="P2984">
        <v>0</v>
      </c>
      <c r="Q2984">
        <v>0.27</v>
      </c>
      <c r="R2984" t="s">
        <v>264</v>
      </c>
      <c r="S2984">
        <v>0.01</v>
      </c>
      <c r="T2984">
        <v>0.01</v>
      </c>
    </row>
    <row r="2985" spans="1:20" ht="15" customHeight="1" x14ac:dyDescent="0.25">
      <c r="A2985" s="2">
        <v>45325.449849537035</v>
      </c>
      <c r="B2985" t="s">
        <v>309</v>
      </c>
      <c r="C2985" t="s">
        <v>370</v>
      </c>
      <c r="D2985">
        <v>2</v>
      </c>
      <c r="E2985" t="s">
        <v>91</v>
      </c>
      <c r="F2985" t="s">
        <v>388</v>
      </c>
      <c r="G2985">
        <f t="shared" si="37"/>
        <v>10.54481546572935</v>
      </c>
      <c r="H2985">
        <f t="shared" si="38"/>
        <v>0</v>
      </c>
      <c r="I2985">
        <v>10.54</v>
      </c>
      <c r="J2985">
        <f t="shared" si="39"/>
        <v>89.455184534270643</v>
      </c>
      <c r="K2985">
        <v>0.8</v>
      </c>
      <c r="L2985">
        <v>0.3</v>
      </c>
      <c r="M2985">
        <v>0.7</v>
      </c>
      <c r="N2985">
        <v>509</v>
      </c>
      <c r="O2985">
        <v>60</v>
      </c>
      <c r="P2985">
        <v>0</v>
      </c>
      <c r="Q2985">
        <v>10.54</v>
      </c>
      <c r="R2985" t="s">
        <v>359</v>
      </c>
      <c r="S2985">
        <v>0.39</v>
      </c>
      <c r="T2985">
        <v>0.51</v>
      </c>
    </row>
    <row r="2986" spans="1:20" ht="15" customHeight="1" x14ac:dyDescent="0.25">
      <c r="A2986" s="2">
        <v>45325.451157407406</v>
      </c>
      <c r="B2986" t="s">
        <v>309</v>
      </c>
      <c r="C2986" t="s">
        <v>370</v>
      </c>
      <c r="D2986">
        <v>2</v>
      </c>
      <c r="E2986" t="s">
        <v>93</v>
      </c>
      <c r="F2986" t="s">
        <v>388</v>
      </c>
      <c r="G2986">
        <f t="shared" si="37"/>
        <v>6.4646464646464645</v>
      </c>
      <c r="H2986">
        <f t="shared" si="38"/>
        <v>0</v>
      </c>
      <c r="I2986">
        <v>6.46</v>
      </c>
      <c r="J2986">
        <f t="shared" si="39"/>
        <v>93.535353535353536</v>
      </c>
      <c r="K2986">
        <v>0.8</v>
      </c>
      <c r="L2986">
        <v>0.3</v>
      </c>
      <c r="M2986">
        <v>0.7</v>
      </c>
      <c r="N2986">
        <v>463</v>
      </c>
      <c r="O2986">
        <v>32</v>
      </c>
      <c r="P2986">
        <v>0</v>
      </c>
      <c r="Q2986">
        <v>6.46</v>
      </c>
      <c r="R2986" t="s">
        <v>347</v>
      </c>
      <c r="S2986">
        <v>0.33</v>
      </c>
      <c r="T2986">
        <v>0.4</v>
      </c>
    </row>
    <row r="2987" spans="1:20" ht="15" customHeight="1" x14ac:dyDescent="0.25">
      <c r="A2987" s="2">
        <v>45325.452546296299</v>
      </c>
      <c r="B2987" t="s">
        <v>309</v>
      </c>
      <c r="C2987" t="s">
        <v>370</v>
      </c>
      <c r="D2987">
        <v>2</v>
      </c>
      <c r="E2987" t="s">
        <v>95</v>
      </c>
      <c r="F2987" t="s">
        <v>388</v>
      </c>
      <c r="G2987">
        <f t="shared" si="37"/>
        <v>86.257309941520461</v>
      </c>
      <c r="H2987">
        <f t="shared" si="38"/>
        <v>0</v>
      </c>
      <c r="I2987">
        <v>86.26</v>
      </c>
      <c r="J2987">
        <f t="shared" si="39"/>
        <v>13.742690058479532</v>
      </c>
      <c r="K2987">
        <v>0.8</v>
      </c>
      <c r="L2987">
        <v>0.3</v>
      </c>
      <c r="M2987">
        <v>0.7</v>
      </c>
      <c r="N2987">
        <v>94</v>
      </c>
      <c r="O2987">
        <v>590</v>
      </c>
      <c r="P2987">
        <v>0</v>
      </c>
      <c r="Q2987">
        <v>86.26</v>
      </c>
      <c r="R2987" t="s">
        <v>334</v>
      </c>
      <c r="S2987">
        <v>2.4300000000000002</v>
      </c>
      <c r="T2987">
        <v>3.01</v>
      </c>
    </row>
    <row r="2988" spans="1:20" ht="15" customHeight="1" x14ac:dyDescent="0.25">
      <c r="A2988" s="2">
        <v>45325.454421296294</v>
      </c>
      <c r="B2988" t="s">
        <v>309</v>
      </c>
      <c r="C2988" t="s">
        <v>370</v>
      </c>
      <c r="D2988">
        <v>2</v>
      </c>
      <c r="E2988" t="s">
        <v>96</v>
      </c>
      <c r="F2988" t="s">
        <v>388</v>
      </c>
      <c r="G2988">
        <f t="shared" si="37"/>
        <v>100</v>
      </c>
      <c r="H2988">
        <f t="shared" si="38"/>
        <v>0</v>
      </c>
      <c r="I2988">
        <v>100</v>
      </c>
      <c r="J2988">
        <f t="shared" si="39"/>
        <v>0</v>
      </c>
      <c r="K2988">
        <v>0.8</v>
      </c>
      <c r="L2988">
        <v>0.3</v>
      </c>
      <c r="M2988">
        <v>0.7</v>
      </c>
      <c r="N2988">
        <v>0</v>
      </c>
      <c r="O2988">
        <v>554</v>
      </c>
      <c r="P2988">
        <v>0</v>
      </c>
      <c r="Q2988">
        <v>100</v>
      </c>
      <c r="R2988" t="s">
        <v>245</v>
      </c>
      <c r="S2988">
        <v>2.83</v>
      </c>
      <c r="T2988">
        <v>3.53</v>
      </c>
    </row>
    <row r="2989" spans="1:20" ht="15" customHeight="1" x14ac:dyDescent="0.25">
      <c r="A2989" s="2">
        <v>45325.455995370372</v>
      </c>
      <c r="B2989" t="s">
        <v>309</v>
      </c>
      <c r="C2989" t="s">
        <v>370</v>
      </c>
      <c r="D2989">
        <v>2</v>
      </c>
      <c r="E2989" t="s">
        <v>99</v>
      </c>
      <c r="F2989" t="s">
        <v>388</v>
      </c>
      <c r="G2989">
        <f t="shared" si="37"/>
        <v>79.510703363914374</v>
      </c>
      <c r="H2989">
        <f t="shared" si="38"/>
        <v>0</v>
      </c>
      <c r="I2989">
        <v>79.510000000000005</v>
      </c>
      <c r="J2989">
        <f t="shared" si="39"/>
        <v>20.489296636085626</v>
      </c>
      <c r="K2989">
        <v>0.8</v>
      </c>
      <c r="L2989">
        <v>0.3</v>
      </c>
      <c r="M2989">
        <v>0.7</v>
      </c>
      <c r="N2989">
        <v>134</v>
      </c>
      <c r="O2989">
        <v>520</v>
      </c>
      <c r="P2989">
        <v>0</v>
      </c>
      <c r="Q2989">
        <v>79.510000000000005</v>
      </c>
      <c r="R2989" t="s">
        <v>296</v>
      </c>
      <c r="S2989">
        <v>2.11</v>
      </c>
      <c r="T2989">
        <v>2.63</v>
      </c>
    </row>
    <row r="2990" spans="1:20" ht="15" customHeight="1" x14ac:dyDescent="0.25">
      <c r="A2990" s="2">
        <v>45325.457615740743</v>
      </c>
      <c r="B2990" t="s">
        <v>309</v>
      </c>
      <c r="C2990" t="s">
        <v>370</v>
      </c>
      <c r="D2990">
        <v>2</v>
      </c>
      <c r="E2990" t="s">
        <v>324</v>
      </c>
      <c r="F2990" t="s">
        <v>388</v>
      </c>
      <c r="G2990">
        <f t="shared" si="37"/>
        <v>26.440177252584935</v>
      </c>
      <c r="H2990">
        <f t="shared" si="38"/>
        <v>0</v>
      </c>
      <c r="I2990">
        <v>26.44</v>
      </c>
      <c r="J2990">
        <f t="shared" si="39"/>
        <v>73.559822747415069</v>
      </c>
      <c r="K2990">
        <v>0.8</v>
      </c>
      <c r="L2990">
        <v>0.3</v>
      </c>
      <c r="M2990">
        <v>0.7</v>
      </c>
      <c r="N2990">
        <v>498</v>
      </c>
      <c r="O2990">
        <v>179</v>
      </c>
      <c r="P2990">
        <v>0</v>
      </c>
      <c r="Q2990">
        <v>26.44</v>
      </c>
      <c r="R2990" t="s">
        <v>347</v>
      </c>
      <c r="S2990">
        <v>0.77</v>
      </c>
      <c r="T2990">
        <v>0.92</v>
      </c>
    </row>
    <row r="2991" spans="1:20" ht="15" customHeight="1" x14ac:dyDescent="0.25">
      <c r="A2991" s="2">
        <v>45325.459004629629</v>
      </c>
      <c r="B2991" t="s">
        <v>309</v>
      </c>
      <c r="C2991" t="s">
        <v>370</v>
      </c>
      <c r="D2991">
        <v>2</v>
      </c>
      <c r="E2991" t="s">
        <v>101</v>
      </c>
      <c r="F2991" t="s">
        <v>388</v>
      </c>
      <c r="G2991">
        <f t="shared" si="37"/>
        <v>90.410958904109577</v>
      </c>
      <c r="H2991">
        <f t="shared" si="38"/>
        <v>0</v>
      </c>
      <c r="I2991">
        <v>90.41</v>
      </c>
      <c r="J2991">
        <f t="shared" si="39"/>
        <v>9.5890410958904102</v>
      </c>
      <c r="K2991">
        <v>0.8</v>
      </c>
      <c r="L2991">
        <v>0.3</v>
      </c>
      <c r="M2991">
        <v>0.7</v>
      </c>
      <c r="N2991">
        <v>56</v>
      </c>
      <c r="O2991">
        <v>528</v>
      </c>
      <c r="P2991">
        <v>0</v>
      </c>
      <c r="Q2991">
        <v>90.41</v>
      </c>
      <c r="R2991" t="s">
        <v>296</v>
      </c>
      <c r="S2991">
        <v>2.4</v>
      </c>
      <c r="T2991">
        <v>2.98</v>
      </c>
    </row>
    <row r="2992" spans="1:20" ht="15" customHeight="1" x14ac:dyDescent="0.25">
      <c r="A2992" s="2">
        <v>45325.460625</v>
      </c>
      <c r="B2992" t="s">
        <v>309</v>
      </c>
      <c r="C2992" t="s">
        <v>370</v>
      </c>
      <c r="D2992">
        <v>2</v>
      </c>
      <c r="E2992" t="s">
        <v>102</v>
      </c>
      <c r="F2992" t="s">
        <v>388</v>
      </c>
      <c r="G2992">
        <f t="shared" si="37"/>
        <v>44.350758853288362</v>
      </c>
      <c r="H2992">
        <f t="shared" si="38"/>
        <v>0</v>
      </c>
      <c r="I2992">
        <v>44.35</v>
      </c>
      <c r="J2992">
        <f t="shared" si="39"/>
        <v>55.649241146711638</v>
      </c>
      <c r="K2992">
        <v>0.8</v>
      </c>
      <c r="L2992">
        <v>0.3</v>
      </c>
      <c r="M2992">
        <v>0.7</v>
      </c>
      <c r="N2992">
        <v>330</v>
      </c>
      <c r="O2992">
        <v>263</v>
      </c>
      <c r="P2992">
        <v>0</v>
      </c>
      <c r="Q2992">
        <v>44.35</v>
      </c>
      <c r="R2992" t="s">
        <v>284</v>
      </c>
      <c r="S2992">
        <v>1.32</v>
      </c>
      <c r="T2992">
        <v>1.56</v>
      </c>
    </row>
    <row r="2993" spans="1:20" ht="15" customHeight="1" x14ac:dyDescent="0.25">
      <c r="A2993" s="2">
        <v>45325.462071759262</v>
      </c>
      <c r="B2993" t="s">
        <v>309</v>
      </c>
      <c r="C2993" t="s">
        <v>370</v>
      </c>
      <c r="D2993">
        <v>2</v>
      </c>
      <c r="E2993" t="s">
        <v>103</v>
      </c>
      <c r="F2993" t="s">
        <v>388</v>
      </c>
      <c r="G2993">
        <f t="shared" si="37"/>
        <v>60</v>
      </c>
      <c r="H2993">
        <f t="shared" si="38"/>
        <v>0</v>
      </c>
      <c r="I2993">
        <v>60</v>
      </c>
      <c r="J2993">
        <f t="shared" si="39"/>
        <v>40</v>
      </c>
      <c r="K2993">
        <v>0.8</v>
      </c>
      <c r="L2993">
        <v>0.3</v>
      </c>
      <c r="M2993">
        <v>0.7</v>
      </c>
      <c r="N2993">
        <v>224</v>
      </c>
      <c r="O2993">
        <v>336</v>
      </c>
      <c r="P2993">
        <v>0</v>
      </c>
      <c r="Q2993">
        <v>60</v>
      </c>
      <c r="R2993" t="s">
        <v>253</v>
      </c>
      <c r="S2993">
        <v>1.62</v>
      </c>
      <c r="T2993">
        <v>2.0699999999999998</v>
      </c>
    </row>
    <row r="2994" spans="1:20" ht="15" customHeight="1" x14ac:dyDescent="0.25">
      <c r="A2994" s="2">
        <v>45325.463634259257</v>
      </c>
      <c r="B2994" t="s">
        <v>309</v>
      </c>
      <c r="C2994" t="s">
        <v>370</v>
      </c>
      <c r="D2994">
        <v>2</v>
      </c>
      <c r="E2994" t="s">
        <v>105</v>
      </c>
      <c r="F2994" t="s">
        <v>388</v>
      </c>
      <c r="G2994">
        <f t="shared" si="37"/>
        <v>12.012012012012011</v>
      </c>
      <c r="H2994">
        <f t="shared" si="38"/>
        <v>0</v>
      </c>
      <c r="I2994">
        <v>12.01</v>
      </c>
      <c r="J2994">
        <f t="shared" si="39"/>
        <v>87.987987987987992</v>
      </c>
      <c r="K2994">
        <v>0.8</v>
      </c>
      <c r="L2994">
        <v>0.3</v>
      </c>
      <c r="M2994">
        <v>0.7</v>
      </c>
      <c r="N2994">
        <v>586</v>
      </c>
      <c r="O2994">
        <v>80</v>
      </c>
      <c r="P2994">
        <v>0</v>
      </c>
      <c r="Q2994">
        <v>12.01</v>
      </c>
      <c r="R2994" t="s">
        <v>276</v>
      </c>
      <c r="S2994">
        <v>0.36</v>
      </c>
      <c r="T2994">
        <v>0.46</v>
      </c>
    </row>
    <row r="2995" spans="1:20" ht="15" customHeight="1" x14ac:dyDescent="0.25">
      <c r="A2995" s="2">
        <v>45325.464930555558</v>
      </c>
      <c r="B2995" t="s">
        <v>309</v>
      </c>
      <c r="C2995" t="s">
        <v>370</v>
      </c>
      <c r="D2995">
        <v>2</v>
      </c>
      <c r="E2995" t="s">
        <v>106</v>
      </c>
      <c r="F2995" t="s">
        <v>388</v>
      </c>
      <c r="G2995">
        <f t="shared" si="37"/>
        <v>94.927536231884062</v>
      </c>
      <c r="H2995">
        <f t="shared" si="38"/>
        <v>0</v>
      </c>
      <c r="I2995">
        <v>94.93</v>
      </c>
      <c r="J2995">
        <f t="shared" si="39"/>
        <v>5.0724637681159424</v>
      </c>
      <c r="K2995">
        <v>0.8</v>
      </c>
      <c r="L2995">
        <v>0.3</v>
      </c>
      <c r="M2995">
        <v>0.7</v>
      </c>
      <c r="N2995">
        <v>35</v>
      </c>
      <c r="O2995">
        <v>655</v>
      </c>
      <c r="P2995">
        <v>0</v>
      </c>
      <c r="Q2995">
        <v>94.93</v>
      </c>
      <c r="R2995" t="s">
        <v>352</v>
      </c>
      <c r="S2995">
        <v>2.77</v>
      </c>
      <c r="T2995">
        <v>3.38</v>
      </c>
    </row>
    <row r="2996" spans="1:20" ht="15" customHeight="1" x14ac:dyDescent="0.25">
      <c r="A2996" s="2">
        <v>45325.466747685183</v>
      </c>
      <c r="B2996" t="s">
        <v>309</v>
      </c>
      <c r="C2996" t="s">
        <v>370</v>
      </c>
      <c r="D2996">
        <v>2</v>
      </c>
      <c r="E2996" t="s">
        <v>109</v>
      </c>
      <c r="F2996" t="s">
        <v>388</v>
      </c>
      <c r="G2996">
        <f t="shared" si="37"/>
        <v>2.0472440944881889</v>
      </c>
      <c r="H2996">
        <f t="shared" si="38"/>
        <v>0</v>
      </c>
      <c r="I2996">
        <v>2.0499999999999998</v>
      </c>
      <c r="J2996">
        <f t="shared" si="39"/>
        <v>97.952755905511808</v>
      </c>
      <c r="K2996">
        <v>0.8</v>
      </c>
      <c r="L2996">
        <v>0.3</v>
      </c>
      <c r="M2996">
        <v>0.7</v>
      </c>
      <c r="N2996">
        <v>622</v>
      </c>
      <c r="O2996">
        <v>13</v>
      </c>
      <c r="P2996">
        <v>0</v>
      </c>
      <c r="Q2996">
        <v>2.0499999999999998</v>
      </c>
      <c r="R2996" t="s">
        <v>268</v>
      </c>
      <c r="S2996">
        <v>0.11</v>
      </c>
      <c r="T2996">
        <v>0.14000000000000001</v>
      </c>
    </row>
    <row r="2997" spans="1:20" ht="15" customHeight="1" x14ac:dyDescent="0.25">
      <c r="A2997" s="2">
        <v>45325.468078703707</v>
      </c>
      <c r="B2997" t="s">
        <v>309</v>
      </c>
      <c r="C2997" t="s">
        <v>370</v>
      </c>
      <c r="D2997">
        <v>2</v>
      </c>
      <c r="E2997" t="s">
        <v>110</v>
      </c>
      <c r="F2997" t="s">
        <v>388</v>
      </c>
      <c r="G2997">
        <f t="shared" si="37"/>
        <v>13.82488479262673</v>
      </c>
      <c r="H2997">
        <f t="shared" si="38"/>
        <v>0</v>
      </c>
      <c r="I2997">
        <v>13.82</v>
      </c>
      <c r="J2997">
        <f t="shared" si="39"/>
        <v>86.175115207373281</v>
      </c>
      <c r="K2997">
        <v>0.8</v>
      </c>
      <c r="L2997">
        <v>0.3</v>
      </c>
      <c r="M2997">
        <v>0.7</v>
      </c>
      <c r="N2997">
        <v>561</v>
      </c>
      <c r="O2997">
        <v>90</v>
      </c>
      <c r="P2997">
        <v>0</v>
      </c>
      <c r="Q2997">
        <v>13.82</v>
      </c>
      <c r="R2997" t="s">
        <v>359</v>
      </c>
      <c r="S2997">
        <v>0.37</v>
      </c>
      <c r="T2997">
        <v>0.46</v>
      </c>
    </row>
    <row r="2998" spans="1:20" ht="15" customHeight="1" x14ac:dyDescent="0.25">
      <c r="A2998" s="2">
        <v>45325.469375000001</v>
      </c>
      <c r="B2998" t="s">
        <v>309</v>
      </c>
      <c r="C2998" t="s">
        <v>370</v>
      </c>
      <c r="D2998">
        <v>2</v>
      </c>
      <c r="E2998" t="s">
        <v>111</v>
      </c>
      <c r="F2998" t="s">
        <v>388</v>
      </c>
      <c r="G2998">
        <f t="shared" si="37"/>
        <v>50.420168067226889</v>
      </c>
      <c r="H2998">
        <f t="shared" si="38"/>
        <v>0</v>
      </c>
      <c r="I2998">
        <v>50.42</v>
      </c>
      <c r="J2998">
        <f t="shared" si="39"/>
        <v>49.579831932773111</v>
      </c>
      <c r="K2998">
        <v>0.8</v>
      </c>
      <c r="L2998">
        <v>0.3</v>
      </c>
      <c r="M2998">
        <v>0.7</v>
      </c>
      <c r="N2998">
        <v>295</v>
      </c>
      <c r="O2998">
        <v>300</v>
      </c>
      <c r="P2998">
        <v>0</v>
      </c>
      <c r="Q2998">
        <v>50.42</v>
      </c>
      <c r="R2998" t="s">
        <v>248</v>
      </c>
      <c r="S2998">
        <v>1.32</v>
      </c>
      <c r="T2998">
        <v>1.65</v>
      </c>
    </row>
    <row r="2999" spans="1:20" ht="15" customHeight="1" x14ac:dyDescent="0.25">
      <c r="A2999" s="2">
        <v>45325.470856481479</v>
      </c>
      <c r="B2999" t="s">
        <v>309</v>
      </c>
      <c r="C2999" t="s">
        <v>370</v>
      </c>
      <c r="D2999">
        <v>2</v>
      </c>
      <c r="E2999" t="s">
        <v>112</v>
      </c>
      <c r="F2999" t="s">
        <v>388</v>
      </c>
      <c r="G2999">
        <f t="shared" si="37"/>
        <v>4.0783034257748776</v>
      </c>
      <c r="H2999">
        <f t="shared" si="38"/>
        <v>0</v>
      </c>
      <c r="I2999">
        <v>4.08</v>
      </c>
      <c r="J2999">
        <f t="shared" si="39"/>
        <v>95.921696574225123</v>
      </c>
      <c r="K2999">
        <v>0.8</v>
      </c>
      <c r="L2999">
        <v>0.3</v>
      </c>
      <c r="M2999">
        <v>0.7</v>
      </c>
      <c r="N2999">
        <v>588</v>
      </c>
      <c r="O2999">
        <v>25</v>
      </c>
      <c r="P2999">
        <v>0</v>
      </c>
      <c r="Q2999">
        <v>4.08</v>
      </c>
      <c r="R2999" t="s">
        <v>369</v>
      </c>
      <c r="S2999">
        <v>0.27</v>
      </c>
      <c r="T2999">
        <v>0.32</v>
      </c>
    </row>
    <row r="3000" spans="1:20" ht="15" customHeight="1" x14ac:dyDescent="0.25">
      <c r="A3000" s="2">
        <v>45325.472187500003</v>
      </c>
      <c r="B3000" t="s">
        <v>309</v>
      </c>
      <c r="C3000" t="s">
        <v>370</v>
      </c>
      <c r="D3000">
        <v>2</v>
      </c>
      <c r="E3000" t="s">
        <v>113</v>
      </c>
      <c r="F3000" t="s">
        <v>388</v>
      </c>
      <c r="G3000">
        <f t="shared" si="37"/>
        <v>3.1096563011456628</v>
      </c>
      <c r="H3000">
        <f t="shared" si="38"/>
        <v>0</v>
      </c>
      <c r="I3000">
        <v>3.11</v>
      </c>
      <c r="J3000">
        <f t="shared" si="39"/>
        <v>96.890343698854338</v>
      </c>
      <c r="K3000">
        <v>0.8</v>
      </c>
      <c r="L3000">
        <v>0.3</v>
      </c>
      <c r="M3000">
        <v>0.7</v>
      </c>
      <c r="N3000">
        <v>592</v>
      </c>
      <c r="O3000">
        <v>19</v>
      </c>
      <c r="P3000">
        <v>0</v>
      </c>
      <c r="Q3000">
        <v>3.11</v>
      </c>
      <c r="R3000" t="s">
        <v>285</v>
      </c>
      <c r="S3000">
        <v>0.18</v>
      </c>
      <c r="T3000">
        <v>0.22</v>
      </c>
    </row>
    <row r="3001" spans="1:20" ht="15" customHeight="1" x14ac:dyDescent="0.25">
      <c r="A3001" s="2">
        <v>45325.473541666666</v>
      </c>
      <c r="B3001" t="s">
        <v>309</v>
      </c>
      <c r="C3001" t="s">
        <v>370</v>
      </c>
      <c r="D3001">
        <v>2</v>
      </c>
      <c r="E3001" t="s">
        <v>114</v>
      </c>
      <c r="F3001" t="s">
        <v>388</v>
      </c>
      <c r="G3001">
        <f t="shared" si="37"/>
        <v>29.116117850953206</v>
      </c>
      <c r="H3001">
        <f t="shared" si="38"/>
        <v>0</v>
      </c>
      <c r="I3001">
        <v>29.12</v>
      </c>
      <c r="J3001">
        <f t="shared" si="39"/>
        <v>70.883882149046798</v>
      </c>
      <c r="K3001">
        <v>0.8</v>
      </c>
      <c r="L3001">
        <v>0.3</v>
      </c>
      <c r="M3001">
        <v>0.7</v>
      </c>
      <c r="N3001">
        <v>409</v>
      </c>
      <c r="O3001">
        <v>168</v>
      </c>
      <c r="P3001">
        <v>0</v>
      </c>
      <c r="Q3001">
        <v>29.12</v>
      </c>
      <c r="R3001" t="s">
        <v>236</v>
      </c>
      <c r="S3001">
        <v>0.8</v>
      </c>
      <c r="T3001">
        <v>1.02</v>
      </c>
    </row>
    <row r="3002" spans="1:20" ht="15" customHeight="1" x14ac:dyDescent="0.25">
      <c r="A3002" s="2">
        <v>45325.475057870368</v>
      </c>
      <c r="B3002" t="s">
        <v>309</v>
      </c>
      <c r="C3002" t="s">
        <v>370</v>
      </c>
      <c r="D3002">
        <v>2</v>
      </c>
      <c r="E3002" t="s">
        <v>115</v>
      </c>
      <c r="F3002" t="s">
        <v>388</v>
      </c>
      <c r="G3002">
        <f t="shared" si="37"/>
        <v>74.706867671691796</v>
      </c>
      <c r="H3002">
        <f t="shared" si="38"/>
        <v>0</v>
      </c>
      <c r="I3002">
        <v>74.709999999999994</v>
      </c>
      <c r="J3002">
        <f t="shared" si="39"/>
        <v>25.293132328308211</v>
      </c>
      <c r="K3002">
        <v>0.8</v>
      </c>
      <c r="L3002">
        <v>0.3</v>
      </c>
      <c r="M3002">
        <v>0.7</v>
      </c>
      <c r="N3002">
        <v>151</v>
      </c>
      <c r="O3002">
        <v>446</v>
      </c>
      <c r="P3002">
        <v>0</v>
      </c>
      <c r="Q3002">
        <v>74.709999999999994</v>
      </c>
      <c r="R3002" t="s">
        <v>363</v>
      </c>
      <c r="S3002">
        <v>1.94</v>
      </c>
      <c r="T3002">
        <v>2.37</v>
      </c>
    </row>
    <row r="3003" spans="1:20" ht="15" customHeight="1" x14ac:dyDescent="0.25">
      <c r="A3003" s="2">
        <v>45325.476956018516</v>
      </c>
      <c r="B3003" t="s">
        <v>309</v>
      </c>
      <c r="C3003" t="s">
        <v>370</v>
      </c>
      <c r="D3003">
        <v>2</v>
      </c>
      <c r="E3003" t="s">
        <v>117</v>
      </c>
      <c r="F3003" t="s">
        <v>388</v>
      </c>
      <c r="G3003">
        <f t="shared" si="37"/>
        <v>1.2949640287769784</v>
      </c>
      <c r="H3003">
        <f t="shared" si="38"/>
        <v>0</v>
      </c>
      <c r="I3003">
        <v>1.29</v>
      </c>
      <c r="J3003">
        <f t="shared" si="39"/>
        <v>98.705035971223026</v>
      </c>
      <c r="K3003">
        <v>0.8</v>
      </c>
      <c r="L3003">
        <v>0.3</v>
      </c>
      <c r="M3003">
        <v>0.7</v>
      </c>
      <c r="N3003">
        <v>686</v>
      </c>
      <c r="O3003">
        <v>9</v>
      </c>
      <c r="P3003">
        <v>0</v>
      </c>
      <c r="Q3003">
        <v>1.29</v>
      </c>
      <c r="R3003" t="s">
        <v>367</v>
      </c>
      <c r="S3003">
        <v>0.06</v>
      </c>
      <c r="T3003">
        <v>7.0000000000000007E-2</v>
      </c>
    </row>
    <row r="3004" spans="1:20" ht="15" customHeight="1" x14ac:dyDescent="0.25">
      <c r="A3004" s="2">
        <v>45325.478518518517</v>
      </c>
      <c r="B3004" t="s">
        <v>309</v>
      </c>
      <c r="C3004" t="s">
        <v>370</v>
      </c>
      <c r="D3004">
        <v>2</v>
      </c>
      <c r="E3004" t="s">
        <v>121</v>
      </c>
      <c r="F3004" t="s">
        <v>388</v>
      </c>
      <c r="G3004">
        <f t="shared" si="37"/>
        <v>35.09700176366843</v>
      </c>
      <c r="H3004">
        <f t="shared" si="38"/>
        <v>0</v>
      </c>
      <c r="I3004">
        <v>35.1</v>
      </c>
      <c r="J3004">
        <f t="shared" si="39"/>
        <v>64.90299823633157</v>
      </c>
      <c r="K3004">
        <v>0.8</v>
      </c>
      <c r="L3004">
        <v>0.3</v>
      </c>
      <c r="M3004">
        <v>0.7</v>
      </c>
      <c r="N3004">
        <v>368</v>
      </c>
      <c r="O3004">
        <v>199</v>
      </c>
      <c r="P3004">
        <v>0</v>
      </c>
      <c r="Q3004">
        <v>35.1</v>
      </c>
      <c r="R3004" t="s">
        <v>258</v>
      </c>
      <c r="S3004">
        <v>1</v>
      </c>
      <c r="T3004">
        <v>1.22</v>
      </c>
    </row>
    <row r="3005" spans="1:20" ht="15" customHeight="1" x14ac:dyDescent="0.25">
      <c r="A3005" s="2">
        <v>45325.479872685188</v>
      </c>
      <c r="B3005" t="s">
        <v>309</v>
      </c>
      <c r="C3005" t="s">
        <v>370</v>
      </c>
      <c r="D3005">
        <v>2</v>
      </c>
      <c r="E3005" t="s">
        <v>122</v>
      </c>
      <c r="F3005" t="s">
        <v>388</v>
      </c>
      <c r="G3005">
        <f t="shared" si="37"/>
        <v>39.375928677563152</v>
      </c>
      <c r="H3005">
        <f t="shared" si="38"/>
        <v>0</v>
      </c>
      <c r="I3005">
        <v>39.380000000000003</v>
      </c>
      <c r="J3005">
        <f t="shared" si="39"/>
        <v>60.624071322436848</v>
      </c>
      <c r="K3005">
        <v>0.8</v>
      </c>
      <c r="L3005">
        <v>0.3</v>
      </c>
      <c r="M3005">
        <v>0.7</v>
      </c>
      <c r="N3005">
        <v>408</v>
      </c>
      <c r="O3005">
        <v>265</v>
      </c>
      <c r="P3005">
        <v>0</v>
      </c>
      <c r="Q3005">
        <v>39.380000000000003</v>
      </c>
      <c r="R3005" t="s">
        <v>347</v>
      </c>
      <c r="S3005">
        <v>1.1599999999999999</v>
      </c>
      <c r="T3005">
        <v>1.43</v>
      </c>
    </row>
    <row r="3006" spans="1:20" ht="15" customHeight="1" x14ac:dyDescent="0.25">
      <c r="A3006" s="2">
        <v>45325.481249999997</v>
      </c>
      <c r="B3006" t="s">
        <v>309</v>
      </c>
      <c r="C3006" t="s">
        <v>370</v>
      </c>
      <c r="D3006">
        <v>2</v>
      </c>
      <c r="E3006" t="s">
        <v>127</v>
      </c>
      <c r="F3006" t="s">
        <v>388</v>
      </c>
      <c r="G3006">
        <f t="shared" si="37"/>
        <v>5.8236272878535766</v>
      </c>
      <c r="H3006">
        <f t="shared" si="38"/>
        <v>0</v>
      </c>
      <c r="I3006">
        <v>5.82</v>
      </c>
      <c r="J3006">
        <f t="shared" si="39"/>
        <v>94.176372712146431</v>
      </c>
      <c r="K3006">
        <v>0.8</v>
      </c>
      <c r="L3006">
        <v>0.3</v>
      </c>
      <c r="M3006">
        <v>0.7</v>
      </c>
      <c r="N3006">
        <v>566</v>
      </c>
      <c r="O3006">
        <v>35</v>
      </c>
      <c r="P3006">
        <v>0</v>
      </c>
      <c r="Q3006">
        <v>5.82</v>
      </c>
      <c r="R3006" t="s">
        <v>271</v>
      </c>
      <c r="S3006">
        <v>0.17</v>
      </c>
      <c r="T3006">
        <v>0.21</v>
      </c>
    </row>
    <row r="3007" spans="1:20" ht="15" customHeight="1" x14ac:dyDescent="0.25">
      <c r="A3007" s="2">
        <v>45325.482511574075</v>
      </c>
      <c r="B3007" t="s">
        <v>309</v>
      </c>
      <c r="C3007" t="s">
        <v>370</v>
      </c>
      <c r="D3007">
        <v>2</v>
      </c>
      <c r="E3007" t="s">
        <v>128</v>
      </c>
      <c r="F3007" t="s">
        <v>388</v>
      </c>
      <c r="G3007">
        <f t="shared" si="37"/>
        <v>0.31007751937984496</v>
      </c>
      <c r="H3007">
        <f t="shared" si="38"/>
        <v>0</v>
      </c>
      <c r="I3007">
        <v>0.31</v>
      </c>
      <c r="J3007">
        <f t="shared" si="39"/>
        <v>99.689922480620154</v>
      </c>
      <c r="K3007">
        <v>0.8</v>
      </c>
      <c r="L3007">
        <v>0.3</v>
      </c>
      <c r="M3007">
        <v>0.7</v>
      </c>
      <c r="N3007">
        <v>643</v>
      </c>
      <c r="O3007">
        <v>2</v>
      </c>
      <c r="P3007">
        <v>0</v>
      </c>
      <c r="Q3007">
        <v>0.31</v>
      </c>
      <c r="R3007" t="s">
        <v>275</v>
      </c>
      <c r="S3007">
        <v>0.02</v>
      </c>
      <c r="T3007">
        <v>0.03</v>
      </c>
    </row>
    <row r="3008" spans="1:20" ht="15" customHeight="1" x14ac:dyDescent="0.25">
      <c r="A3008" s="2">
        <v>45325.483831018515</v>
      </c>
      <c r="B3008" t="s">
        <v>309</v>
      </c>
      <c r="C3008" t="s">
        <v>370</v>
      </c>
      <c r="D3008">
        <v>2</v>
      </c>
      <c r="E3008" t="s">
        <v>133</v>
      </c>
      <c r="F3008" t="s">
        <v>388</v>
      </c>
      <c r="G3008">
        <f t="shared" si="37"/>
        <v>35.225375626043402</v>
      </c>
      <c r="H3008">
        <f t="shared" si="38"/>
        <v>0</v>
      </c>
      <c r="I3008">
        <v>35.229999999999997</v>
      </c>
      <c r="J3008">
        <f t="shared" si="39"/>
        <v>64.774624373956584</v>
      </c>
      <c r="K3008">
        <v>0.8</v>
      </c>
      <c r="L3008">
        <v>0.3</v>
      </c>
      <c r="M3008">
        <v>0.7</v>
      </c>
      <c r="N3008">
        <v>388</v>
      </c>
      <c r="O3008">
        <v>211</v>
      </c>
      <c r="P3008">
        <v>0</v>
      </c>
      <c r="Q3008">
        <v>35.229999999999997</v>
      </c>
      <c r="R3008" t="s">
        <v>260</v>
      </c>
      <c r="S3008">
        <v>0.99</v>
      </c>
      <c r="T3008">
        <v>1.22</v>
      </c>
    </row>
    <row r="3009" spans="1:20" ht="15" customHeight="1" x14ac:dyDescent="0.25">
      <c r="A3009" s="2">
        <v>45325.485277777778</v>
      </c>
      <c r="B3009" t="s">
        <v>309</v>
      </c>
      <c r="C3009" t="s">
        <v>370</v>
      </c>
      <c r="D3009">
        <v>2</v>
      </c>
      <c r="E3009" t="s">
        <v>134</v>
      </c>
      <c r="F3009" t="s">
        <v>388</v>
      </c>
      <c r="G3009">
        <f t="shared" si="37"/>
        <v>91.731669266770666</v>
      </c>
      <c r="H3009">
        <f t="shared" si="38"/>
        <v>0</v>
      </c>
      <c r="I3009">
        <v>91.73</v>
      </c>
      <c r="J3009">
        <f t="shared" si="39"/>
        <v>8.2683307332293285</v>
      </c>
      <c r="K3009">
        <v>0.8</v>
      </c>
      <c r="L3009">
        <v>0.3</v>
      </c>
      <c r="M3009">
        <v>0.7</v>
      </c>
      <c r="N3009">
        <v>53</v>
      </c>
      <c r="O3009">
        <v>588</v>
      </c>
      <c r="P3009">
        <v>0</v>
      </c>
      <c r="Q3009">
        <v>91.73</v>
      </c>
      <c r="R3009" t="s">
        <v>287</v>
      </c>
      <c r="S3009">
        <v>2.62</v>
      </c>
      <c r="T3009">
        <v>3.14</v>
      </c>
    </row>
    <row r="3010" spans="1:20" ht="15" customHeight="1" x14ac:dyDescent="0.25">
      <c r="A3010" s="2">
        <v>45325.486875000002</v>
      </c>
      <c r="B3010" t="s">
        <v>309</v>
      </c>
      <c r="C3010" t="s">
        <v>370</v>
      </c>
      <c r="D3010">
        <v>2</v>
      </c>
      <c r="E3010" t="s">
        <v>139</v>
      </c>
      <c r="F3010" t="s">
        <v>388</v>
      </c>
      <c r="G3010">
        <f t="shared" si="37"/>
        <v>54.971857410881796</v>
      </c>
      <c r="H3010">
        <f t="shared" si="38"/>
        <v>0</v>
      </c>
      <c r="I3010">
        <v>54.97</v>
      </c>
      <c r="J3010">
        <f t="shared" si="39"/>
        <v>45.028142589118197</v>
      </c>
      <c r="K3010">
        <v>0.8</v>
      </c>
      <c r="L3010">
        <v>0.3</v>
      </c>
      <c r="M3010">
        <v>0.7</v>
      </c>
      <c r="N3010">
        <v>240</v>
      </c>
      <c r="O3010">
        <v>293</v>
      </c>
      <c r="P3010">
        <v>0</v>
      </c>
      <c r="Q3010">
        <v>54.97</v>
      </c>
      <c r="R3010" t="s">
        <v>248</v>
      </c>
      <c r="S3010">
        <v>1.54</v>
      </c>
      <c r="T3010">
        <v>2</v>
      </c>
    </row>
    <row r="3011" spans="1:20" ht="15" customHeight="1" x14ac:dyDescent="0.25">
      <c r="A3011" s="2">
        <v>45325.488368055558</v>
      </c>
      <c r="B3011" t="s">
        <v>309</v>
      </c>
      <c r="C3011" t="s">
        <v>370</v>
      </c>
      <c r="D3011">
        <v>2</v>
      </c>
      <c r="E3011" t="s">
        <v>142</v>
      </c>
      <c r="F3011" t="s">
        <v>388</v>
      </c>
      <c r="G3011">
        <f t="shared" si="37"/>
        <v>80.133555926544247</v>
      </c>
      <c r="H3011">
        <f t="shared" si="38"/>
        <v>0</v>
      </c>
      <c r="I3011">
        <v>80.13</v>
      </c>
      <c r="J3011">
        <f t="shared" si="39"/>
        <v>19.86644407345576</v>
      </c>
      <c r="K3011">
        <v>0.8</v>
      </c>
      <c r="L3011">
        <v>0.3</v>
      </c>
      <c r="M3011">
        <v>0.7</v>
      </c>
      <c r="N3011">
        <v>119</v>
      </c>
      <c r="O3011">
        <v>480</v>
      </c>
      <c r="P3011">
        <v>0</v>
      </c>
      <c r="Q3011">
        <v>80.13</v>
      </c>
      <c r="R3011" t="s">
        <v>289</v>
      </c>
      <c r="S3011">
        <v>2.11</v>
      </c>
      <c r="T3011">
        <v>2.54</v>
      </c>
    </row>
    <row r="3012" spans="1:20" ht="15" customHeight="1" x14ac:dyDescent="0.25">
      <c r="A3012" s="2">
        <v>45325.489918981482</v>
      </c>
      <c r="B3012" t="s">
        <v>309</v>
      </c>
      <c r="C3012" t="s">
        <v>370</v>
      </c>
      <c r="D3012">
        <v>2</v>
      </c>
      <c r="E3012" t="s">
        <v>143</v>
      </c>
      <c r="F3012" t="s">
        <v>388</v>
      </c>
      <c r="G3012">
        <f t="shared" si="37"/>
        <v>98.91304347826086</v>
      </c>
      <c r="H3012">
        <f t="shared" si="38"/>
        <v>0</v>
      </c>
      <c r="I3012">
        <v>98.91</v>
      </c>
      <c r="J3012">
        <f t="shared" si="39"/>
        <v>1.0869565217391304</v>
      </c>
      <c r="K3012">
        <v>0.8</v>
      </c>
      <c r="L3012">
        <v>0.3</v>
      </c>
      <c r="M3012">
        <v>0.7</v>
      </c>
      <c r="N3012">
        <v>6</v>
      </c>
      <c r="O3012">
        <v>546</v>
      </c>
      <c r="P3012">
        <v>0</v>
      </c>
      <c r="Q3012">
        <v>98.91</v>
      </c>
      <c r="R3012" t="s">
        <v>288</v>
      </c>
      <c r="S3012">
        <v>2.86</v>
      </c>
      <c r="T3012">
        <v>3.53</v>
      </c>
    </row>
    <row r="3013" spans="1:20" ht="15" customHeight="1" x14ac:dyDescent="0.25">
      <c r="A3013" s="2">
        <v>45325.491527777776</v>
      </c>
      <c r="B3013" t="s">
        <v>309</v>
      </c>
      <c r="C3013" t="s">
        <v>370</v>
      </c>
      <c r="D3013">
        <v>2</v>
      </c>
      <c r="E3013" t="s">
        <v>144</v>
      </c>
      <c r="F3013" t="s">
        <v>388</v>
      </c>
      <c r="G3013">
        <f t="shared" si="37"/>
        <v>0.13513513513513514</v>
      </c>
      <c r="H3013">
        <f t="shared" si="38"/>
        <v>0</v>
      </c>
      <c r="I3013">
        <v>0.14000000000000001</v>
      </c>
      <c r="J3013">
        <f t="shared" si="39"/>
        <v>99.86486486486487</v>
      </c>
      <c r="K3013">
        <v>0.8</v>
      </c>
      <c r="L3013">
        <v>0.3</v>
      </c>
      <c r="M3013">
        <v>0.7</v>
      </c>
      <c r="N3013">
        <v>739</v>
      </c>
      <c r="O3013">
        <v>1</v>
      </c>
      <c r="P3013">
        <v>0</v>
      </c>
      <c r="Q3013">
        <v>0.14000000000000001</v>
      </c>
      <c r="R3013" t="s">
        <v>259</v>
      </c>
      <c r="S3013">
        <v>0.02</v>
      </c>
      <c r="T3013">
        <v>0.02</v>
      </c>
    </row>
    <row r="3014" spans="1:20" ht="15" customHeight="1" x14ac:dyDescent="0.25">
      <c r="A3014" s="2">
        <v>45325.492777777778</v>
      </c>
      <c r="B3014" t="s">
        <v>309</v>
      </c>
      <c r="C3014" t="s">
        <v>370</v>
      </c>
      <c r="D3014">
        <v>2</v>
      </c>
      <c r="E3014" t="s">
        <v>145</v>
      </c>
      <c r="F3014" t="s">
        <v>388</v>
      </c>
      <c r="G3014">
        <f t="shared" si="37"/>
        <v>38.933764135702745</v>
      </c>
      <c r="H3014">
        <f t="shared" si="38"/>
        <v>0</v>
      </c>
      <c r="I3014">
        <v>38.93</v>
      </c>
      <c r="J3014">
        <f t="shared" si="39"/>
        <v>61.066235864297255</v>
      </c>
      <c r="K3014">
        <v>0.8</v>
      </c>
      <c r="L3014">
        <v>0.3</v>
      </c>
      <c r="M3014">
        <v>0.7</v>
      </c>
      <c r="N3014">
        <v>378</v>
      </c>
      <c r="O3014">
        <v>241</v>
      </c>
      <c r="P3014">
        <v>0</v>
      </c>
      <c r="Q3014">
        <v>38.93</v>
      </c>
      <c r="R3014" t="s">
        <v>330</v>
      </c>
      <c r="S3014">
        <v>1.1000000000000001</v>
      </c>
      <c r="T3014">
        <v>1.38</v>
      </c>
    </row>
    <row r="3015" spans="1:20" ht="15" customHeight="1" x14ac:dyDescent="0.25">
      <c r="A3015" s="2">
        <v>45325.494432870371</v>
      </c>
      <c r="B3015" t="s">
        <v>309</v>
      </c>
      <c r="C3015" t="s">
        <v>370</v>
      </c>
      <c r="D3015">
        <v>2</v>
      </c>
      <c r="E3015" t="s">
        <v>147</v>
      </c>
      <c r="F3015" t="s">
        <v>388</v>
      </c>
      <c r="G3015">
        <f t="shared" si="37"/>
        <v>0.15772870662460567</v>
      </c>
      <c r="H3015">
        <f t="shared" si="38"/>
        <v>0</v>
      </c>
      <c r="I3015">
        <v>0.16</v>
      </c>
      <c r="J3015">
        <f t="shared" si="39"/>
        <v>99.84227129337539</v>
      </c>
      <c r="K3015">
        <v>0.8</v>
      </c>
      <c r="L3015">
        <v>0.3</v>
      </c>
      <c r="M3015">
        <v>0.7</v>
      </c>
      <c r="N3015">
        <v>633</v>
      </c>
      <c r="O3015">
        <v>1</v>
      </c>
      <c r="P3015">
        <v>0</v>
      </c>
      <c r="Q3015">
        <v>0.16</v>
      </c>
      <c r="R3015" t="s">
        <v>275</v>
      </c>
      <c r="S3015">
        <v>0.01</v>
      </c>
      <c r="T3015">
        <v>0.01</v>
      </c>
    </row>
    <row r="3016" spans="1:20" ht="15" customHeight="1" x14ac:dyDescent="0.25">
      <c r="A3016" s="2">
        <v>45325.495937500003</v>
      </c>
      <c r="B3016" t="s">
        <v>309</v>
      </c>
      <c r="C3016" t="s">
        <v>370</v>
      </c>
      <c r="D3016">
        <v>2</v>
      </c>
      <c r="E3016" t="s">
        <v>151</v>
      </c>
      <c r="F3016" t="s">
        <v>388</v>
      </c>
      <c r="G3016">
        <f t="shared" si="37"/>
        <v>82.5</v>
      </c>
      <c r="H3016">
        <f t="shared" si="38"/>
        <v>0</v>
      </c>
      <c r="I3016">
        <v>82.5</v>
      </c>
      <c r="J3016">
        <f t="shared" si="39"/>
        <v>17.5</v>
      </c>
      <c r="K3016">
        <v>0.8</v>
      </c>
      <c r="L3016">
        <v>0.3</v>
      </c>
      <c r="M3016">
        <v>0.7</v>
      </c>
      <c r="N3016">
        <v>119</v>
      </c>
      <c r="O3016">
        <v>561</v>
      </c>
      <c r="P3016">
        <v>0</v>
      </c>
      <c r="Q3016">
        <v>82.5</v>
      </c>
      <c r="R3016" t="s">
        <v>245</v>
      </c>
      <c r="S3016">
        <v>2.2999999999999998</v>
      </c>
      <c r="T3016">
        <v>2.84</v>
      </c>
    </row>
    <row r="3017" spans="1:20" ht="15" customHeight="1" x14ac:dyDescent="0.25">
      <c r="A3017" s="2">
        <v>45325.497534722221</v>
      </c>
      <c r="B3017" t="s">
        <v>309</v>
      </c>
      <c r="C3017" t="s">
        <v>370</v>
      </c>
      <c r="D3017">
        <v>2</v>
      </c>
      <c r="E3017" t="s">
        <v>152</v>
      </c>
      <c r="F3017" t="s">
        <v>388</v>
      </c>
      <c r="G3017">
        <f t="shared" si="37"/>
        <v>0.49423393739703458</v>
      </c>
      <c r="H3017">
        <f t="shared" si="38"/>
        <v>0</v>
      </c>
      <c r="I3017">
        <v>0.49</v>
      </c>
      <c r="J3017">
        <f t="shared" si="39"/>
        <v>99.505766062602959</v>
      </c>
      <c r="K3017">
        <v>0.8</v>
      </c>
      <c r="L3017">
        <v>0.3</v>
      </c>
      <c r="M3017">
        <v>0.7</v>
      </c>
      <c r="N3017">
        <v>604</v>
      </c>
      <c r="O3017">
        <v>3</v>
      </c>
      <c r="P3017">
        <v>0</v>
      </c>
      <c r="Q3017">
        <v>0.49</v>
      </c>
      <c r="R3017" t="s">
        <v>278</v>
      </c>
      <c r="S3017">
        <v>0.04</v>
      </c>
      <c r="T3017">
        <v>0.06</v>
      </c>
    </row>
    <row r="3018" spans="1:20" ht="15" customHeight="1" x14ac:dyDescent="0.25">
      <c r="A3018" s="2">
        <v>45325.498773148145</v>
      </c>
      <c r="B3018" t="s">
        <v>309</v>
      </c>
      <c r="C3018" t="s">
        <v>370</v>
      </c>
      <c r="D3018">
        <v>2</v>
      </c>
      <c r="E3018" t="s">
        <v>153</v>
      </c>
      <c r="F3018" t="s">
        <v>388</v>
      </c>
      <c r="G3018">
        <f t="shared" si="37"/>
        <v>47.634069400630914</v>
      </c>
      <c r="H3018">
        <f t="shared" si="38"/>
        <v>0</v>
      </c>
      <c r="I3018">
        <v>47.63</v>
      </c>
      <c r="J3018">
        <f t="shared" si="39"/>
        <v>52.365930599369079</v>
      </c>
      <c r="K3018">
        <v>0.8</v>
      </c>
      <c r="L3018">
        <v>0.3</v>
      </c>
      <c r="M3018">
        <v>0.7</v>
      </c>
      <c r="N3018">
        <v>332</v>
      </c>
      <c r="O3018">
        <v>302</v>
      </c>
      <c r="P3018">
        <v>0</v>
      </c>
      <c r="Q3018">
        <v>47.63</v>
      </c>
      <c r="R3018" t="s">
        <v>279</v>
      </c>
      <c r="S3018">
        <v>1.3</v>
      </c>
      <c r="T3018">
        <v>1.57</v>
      </c>
    </row>
    <row r="3019" spans="1:20" ht="15" customHeight="1" x14ac:dyDescent="0.25">
      <c r="A3019" s="2">
        <v>45325.500208333331</v>
      </c>
      <c r="B3019" t="s">
        <v>309</v>
      </c>
      <c r="C3019" t="s">
        <v>370</v>
      </c>
      <c r="D3019">
        <v>2</v>
      </c>
      <c r="E3019" t="s">
        <v>154</v>
      </c>
      <c r="F3019" t="s">
        <v>388</v>
      </c>
      <c r="G3019">
        <f t="shared" si="37"/>
        <v>12.081513828238718</v>
      </c>
      <c r="H3019">
        <f t="shared" si="38"/>
        <v>0</v>
      </c>
      <c r="I3019">
        <v>12.08</v>
      </c>
      <c r="J3019">
        <f t="shared" si="39"/>
        <v>87.918486171761273</v>
      </c>
      <c r="K3019">
        <v>0.8</v>
      </c>
      <c r="L3019">
        <v>0.3</v>
      </c>
      <c r="M3019">
        <v>0.7</v>
      </c>
      <c r="N3019">
        <v>604</v>
      </c>
      <c r="O3019">
        <v>83</v>
      </c>
      <c r="P3019">
        <v>0</v>
      </c>
      <c r="Q3019">
        <v>12.08</v>
      </c>
      <c r="R3019" t="s">
        <v>276</v>
      </c>
      <c r="S3019">
        <v>0.32</v>
      </c>
      <c r="T3019">
        <v>0.41</v>
      </c>
    </row>
    <row r="3020" spans="1:20" ht="15" customHeight="1" x14ac:dyDescent="0.25">
      <c r="A3020" s="2">
        <v>45325.501550925925</v>
      </c>
      <c r="B3020" t="s">
        <v>309</v>
      </c>
      <c r="C3020" t="s">
        <v>370</v>
      </c>
      <c r="D3020">
        <v>2</v>
      </c>
      <c r="E3020" t="s">
        <v>158</v>
      </c>
      <c r="F3020" t="s">
        <v>388</v>
      </c>
      <c r="G3020">
        <f t="shared" si="37"/>
        <v>58.346333853354139</v>
      </c>
      <c r="H3020">
        <f t="shared" si="38"/>
        <v>0</v>
      </c>
      <c r="I3020">
        <v>58.35</v>
      </c>
      <c r="J3020">
        <f t="shared" si="39"/>
        <v>41.653666146645868</v>
      </c>
      <c r="K3020">
        <v>0.8</v>
      </c>
      <c r="L3020">
        <v>0.3</v>
      </c>
      <c r="M3020">
        <v>0.7</v>
      </c>
      <c r="N3020">
        <v>267</v>
      </c>
      <c r="O3020">
        <v>374</v>
      </c>
      <c r="P3020">
        <v>0</v>
      </c>
      <c r="Q3020">
        <v>58.35</v>
      </c>
      <c r="R3020" t="s">
        <v>214</v>
      </c>
      <c r="S3020">
        <v>1.52</v>
      </c>
      <c r="T3020">
        <v>1.94</v>
      </c>
    </row>
    <row r="3021" spans="1:20" ht="15" customHeight="1" x14ac:dyDescent="0.25">
      <c r="A3021" s="2">
        <v>45325.50309027778</v>
      </c>
      <c r="B3021" t="s">
        <v>309</v>
      </c>
      <c r="C3021" t="s">
        <v>370</v>
      </c>
      <c r="D3021">
        <v>2</v>
      </c>
      <c r="E3021" t="s">
        <v>159</v>
      </c>
      <c r="F3021" t="s">
        <v>388</v>
      </c>
      <c r="G3021">
        <f t="shared" si="37"/>
        <v>96.62756598240469</v>
      </c>
      <c r="H3021">
        <f t="shared" si="38"/>
        <v>0</v>
      </c>
      <c r="I3021">
        <v>96.63</v>
      </c>
      <c r="J3021">
        <f t="shared" si="39"/>
        <v>3.3724340175953076</v>
      </c>
      <c r="K3021">
        <v>0.8</v>
      </c>
      <c r="L3021">
        <v>0.3</v>
      </c>
      <c r="M3021">
        <v>0.7</v>
      </c>
      <c r="N3021">
        <v>23</v>
      </c>
      <c r="O3021">
        <v>659</v>
      </c>
      <c r="P3021">
        <v>0</v>
      </c>
      <c r="Q3021">
        <v>96.63</v>
      </c>
      <c r="R3021" t="s">
        <v>344</v>
      </c>
      <c r="S3021">
        <v>2.8</v>
      </c>
      <c r="T3021">
        <v>3.51</v>
      </c>
    </row>
    <row r="3022" spans="1:20" ht="15" customHeight="1" x14ac:dyDescent="0.25">
      <c r="A3022" s="2">
        <v>45325.504895833335</v>
      </c>
      <c r="B3022" t="s">
        <v>309</v>
      </c>
      <c r="C3022" t="s">
        <v>370</v>
      </c>
      <c r="D3022">
        <v>2</v>
      </c>
      <c r="E3022" t="s">
        <v>160</v>
      </c>
      <c r="F3022" t="s">
        <v>388</v>
      </c>
      <c r="G3022">
        <f t="shared" si="37"/>
        <v>2.3508137432188065</v>
      </c>
      <c r="H3022">
        <f t="shared" si="38"/>
        <v>0</v>
      </c>
      <c r="I3022">
        <v>2.35</v>
      </c>
      <c r="J3022">
        <f t="shared" si="39"/>
        <v>97.649186256781192</v>
      </c>
      <c r="K3022">
        <v>0.8</v>
      </c>
      <c r="L3022">
        <v>0.3</v>
      </c>
      <c r="M3022">
        <v>0.7</v>
      </c>
      <c r="N3022">
        <v>540</v>
      </c>
      <c r="O3022">
        <v>13</v>
      </c>
      <c r="P3022">
        <v>0</v>
      </c>
      <c r="Q3022">
        <v>2.35</v>
      </c>
      <c r="R3022" t="s">
        <v>275</v>
      </c>
      <c r="S3022">
        <v>0.09</v>
      </c>
      <c r="T3022">
        <v>0.11</v>
      </c>
    </row>
    <row r="3023" spans="1:20" ht="15" customHeight="1" x14ac:dyDescent="0.25">
      <c r="A3023" s="2">
        <v>45325.506215277775</v>
      </c>
      <c r="B3023" t="s">
        <v>309</v>
      </c>
      <c r="C3023" t="s">
        <v>370</v>
      </c>
      <c r="D3023">
        <v>2</v>
      </c>
      <c r="E3023" t="s">
        <v>325</v>
      </c>
      <c r="F3023" t="s">
        <v>388</v>
      </c>
      <c r="G3023">
        <f t="shared" si="37"/>
        <v>0.73937153419593349</v>
      </c>
      <c r="H3023">
        <f t="shared" si="38"/>
        <v>0</v>
      </c>
      <c r="I3023">
        <v>0.74</v>
      </c>
      <c r="J3023">
        <f t="shared" si="39"/>
        <v>99.260628465804075</v>
      </c>
      <c r="K3023">
        <v>0.8</v>
      </c>
      <c r="L3023">
        <v>0.3</v>
      </c>
      <c r="M3023">
        <v>0.7</v>
      </c>
      <c r="N3023">
        <v>537</v>
      </c>
      <c r="O3023">
        <v>4</v>
      </c>
      <c r="P3023">
        <v>0</v>
      </c>
      <c r="Q3023">
        <v>0.74</v>
      </c>
      <c r="R3023" t="s">
        <v>249</v>
      </c>
      <c r="S3023">
        <v>0.05</v>
      </c>
      <c r="T3023">
        <v>0.06</v>
      </c>
    </row>
    <row r="3024" spans="1:20" ht="15" customHeight="1" x14ac:dyDescent="0.25">
      <c r="A3024" s="2">
        <v>45325.507453703707</v>
      </c>
      <c r="B3024" t="s">
        <v>309</v>
      </c>
      <c r="C3024" t="s">
        <v>370</v>
      </c>
      <c r="D3024">
        <v>2</v>
      </c>
      <c r="E3024" t="s">
        <v>165</v>
      </c>
      <c r="F3024" t="s">
        <v>388</v>
      </c>
      <c r="G3024">
        <f t="shared" si="37"/>
        <v>84.406779661016955</v>
      </c>
      <c r="H3024">
        <f t="shared" si="38"/>
        <v>0</v>
      </c>
      <c r="I3024">
        <v>84.41</v>
      </c>
      <c r="J3024">
        <f t="shared" si="39"/>
        <v>15.593220338983052</v>
      </c>
      <c r="K3024">
        <v>0.8</v>
      </c>
      <c r="L3024">
        <v>0.3</v>
      </c>
      <c r="M3024">
        <v>0.7</v>
      </c>
      <c r="N3024">
        <v>92</v>
      </c>
      <c r="O3024">
        <v>498</v>
      </c>
      <c r="P3024">
        <v>0</v>
      </c>
      <c r="Q3024">
        <v>84.41</v>
      </c>
      <c r="R3024" t="s">
        <v>287</v>
      </c>
      <c r="S3024">
        <v>2.4</v>
      </c>
      <c r="T3024">
        <v>2.93</v>
      </c>
    </row>
    <row r="3025" spans="1:20" ht="15" customHeight="1" x14ac:dyDescent="0.25">
      <c r="A3025" s="2">
        <v>45325.509062500001</v>
      </c>
      <c r="B3025" t="s">
        <v>309</v>
      </c>
      <c r="C3025" t="s">
        <v>370</v>
      </c>
      <c r="D3025">
        <v>2</v>
      </c>
      <c r="E3025" t="s">
        <v>166</v>
      </c>
      <c r="F3025" t="s">
        <v>388</v>
      </c>
      <c r="G3025">
        <f t="shared" si="37"/>
        <v>3.9334341906202726</v>
      </c>
      <c r="H3025">
        <f t="shared" si="38"/>
        <v>0</v>
      </c>
      <c r="I3025">
        <v>3.93</v>
      </c>
      <c r="J3025">
        <f t="shared" si="39"/>
        <v>96.066565809379725</v>
      </c>
      <c r="K3025">
        <v>0.8</v>
      </c>
      <c r="L3025">
        <v>0.3</v>
      </c>
      <c r="M3025">
        <v>0.7</v>
      </c>
      <c r="N3025">
        <v>635</v>
      </c>
      <c r="O3025">
        <v>26</v>
      </c>
      <c r="P3025">
        <v>0</v>
      </c>
      <c r="Q3025">
        <v>3.93</v>
      </c>
      <c r="R3025" t="s">
        <v>268</v>
      </c>
      <c r="S3025">
        <v>0.12</v>
      </c>
      <c r="T3025">
        <v>0.15</v>
      </c>
    </row>
    <row r="3026" spans="1:20" ht="15" customHeight="1" x14ac:dyDescent="0.25">
      <c r="A3026" s="2">
        <v>45325.510381944441</v>
      </c>
      <c r="B3026" t="s">
        <v>309</v>
      </c>
      <c r="C3026" t="s">
        <v>370</v>
      </c>
      <c r="D3026">
        <v>2</v>
      </c>
      <c r="E3026" t="s">
        <v>169</v>
      </c>
      <c r="F3026" t="s">
        <v>388</v>
      </c>
      <c r="G3026">
        <f t="shared" si="37"/>
        <v>4.7186932849364798</v>
      </c>
      <c r="H3026">
        <f t="shared" si="38"/>
        <v>0</v>
      </c>
      <c r="I3026">
        <v>4.72</v>
      </c>
      <c r="J3026">
        <f t="shared" si="39"/>
        <v>95.281306715063522</v>
      </c>
      <c r="K3026">
        <v>0.8</v>
      </c>
      <c r="L3026">
        <v>0.3</v>
      </c>
      <c r="M3026">
        <v>0.7</v>
      </c>
      <c r="N3026">
        <v>525</v>
      </c>
      <c r="O3026">
        <v>26</v>
      </c>
      <c r="P3026">
        <v>0</v>
      </c>
      <c r="Q3026">
        <v>4.72</v>
      </c>
      <c r="R3026" t="s">
        <v>276</v>
      </c>
      <c r="S3026">
        <v>0.17</v>
      </c>
      <c r="T3026">
        <v>0.2</v>
      </c>
    </row>
    <row r="3027" spans="1:20" ht="15" customHeight="1" x14ac:dyDescent="0.25">
      <c r="A3027" s="2">
        <v>45325.511666666665</v>
      </c>
      <c r="B3027" t="s">
        <v>309</v>
      </c>
      <c r="C3027" t="s">
        <v>370</v>
      </c>
      <c r="D3027">
        <v>2</v>
      </c>
      <c r="E3027" t="s">
        <v>170</v>
      </c>
      <c r="F3027" t="s">
        <v>388</v>
      </c>
      <c r="G3027">
        <f t="shared" si="37"/>
        <v>20.76923076923077</v>
      </c>
      <c r="H3027">
        <f t="shared" si="38"/>
        <v>0</v>
      </c>
      <c r="I3027">
        <v>20.77</v>
      </c>
      <c r="J3027">
        <f t="shared" si="39"/>
        <v>79.230769230769226</v>
      </c>
      <c r="K3027">
        <v>0.8</v>
      </c>
      <c r="L3027">
        <v>0.3</v>
      </c>
      <c r="M3027">
        <v>0.7</v>
      </c>
      <c r="N3027">
        <v>515</v>
      </c>
      <c r="O3027">
        <v>135</v>
      </c>
      <c r="P3027">
        <v>0</v>
      </c>
      <c r="Q3027">
        <v>20.77</v>
      </c>
      <c r="R3027" t="s">
        <v>367</v>
      </c>
      <c r="S3027">
        <v>0.59</v>
      </c>
      <c r="T3027">
        <v>0.7</v>
      </c>
    </row>
    <row r="3028" spans="1:20" ht="15" customHeight="1" x14ac:dyDescent="0.25">
      <c r="A3028" s="2">
        <v>45325.513020833336</v>
      </c>
      <c r="B3028" t="s">
        <v>309</v>
      </c>
      <c r="C3028" t="s">
        <v>370</v>
      </c>
      <c r="D3028">
        <v>2</v>
      </c>
      <c r="E3028" t="s">
        <v>326</v>
      </c>
      <c r="F3028" t="s">
        <v>388</v>
      </c>
      <c r="G3028">
        <f t="shared" si="37"/>
        <v>2.8860028860028861</v>
      </c>
      <c r="H3028">
        <f t="shared" si="38"/>
        <v>0</v>
      </c>
      <c r="I3028">
        <v>2.89</v>
      </c>
      <c r="J3028">
        <f t="shared" si="39"/>
        <v>97.113997113997115</v>
      </c>
      <c r="K3028">
        <v>0.8</v>
      </c>
      <c r="L3028">
        <v>0.3</v>
      </c>
      <c r="M3028">
        <v>0.7</v>
      </c>
      <c r="N3028">
        <v>673</v>
      </c>
      <c r="O3028">
        <v>20</v>
      </c>
      <c r="P3028">
        <v>0</v>
      </c>
      <c r="Q3028">
        <v>2.89</v>
      </c>
      <c r="R3028" t="s">
        <v>245</v>
      </c>
      <c r="S3028">
        <v>0.12</v>
      </c>
      <c r="T3028">
        <v>0.15</v>
      </c>
    </row>
    <row r="3029" spans="1:20" ht="15" customHeight="1" x14ac:dyDescent="0.25">
      <c r="A3029" s="2">
        <v>45325.514606481483</v>
      </c>
      <c r="B3029" t="s">
        <v>309</v>
      </c>
      <c r="C3029" t="s">
        <v>370</v>
      </c>
      <c r="D3029">
        <v>2</v>
      </c>
      <c r="E3029" t="s">
        <v>172</v>
      </c>
      <c r="F3029" t="s">
        <v>388</v>
      </c>
      <c r="G3029">
        <f t="shared" si="37"/>
        <v>25.13274336283186</v>
      </c>
      <c r="H3029">
        <f t="shared" si="38"/>
        <v>0</v>
      </c>
      <c r="I3029">
        <v>25.13</v>
      </c>
      <c r="J3029">
        <f t="shared" si="39"/>
        <v>74.86725663716814</v>
      </c>
      <c r="K3029">
        <v>0.8</v>
      </c>
      <c r="L3029">
        <v>0.3</v>
      </c>
      <c r="M3029">
        <v>0.7</v>
      </c>
      <c r="N3029">
        <v>423</v>
      </c>
      <c r="O3029">
        <v>142</v>
      </c>
      <c r="P3029">
        <v>0</v>
      </c>
      <c r="Q3029">
        <v>25.13</v>
      </c>
      <c r="R3029" t="s">
        <v>246</v>
      </c>
      <c r="S3029">
        <v>0.65</v>
      </c>
      <c r="T3029">
        <v>0.83</v>
      </c>
    </row>
    <row r="3030" spans="1:20" ht="15" customHeight="1" x14ac:dyDescent="0.25">
      <c r="A3030" s="2">
        <v>45325.516041666669</v>
      </c>
      <c r="B3030" t="s">
        <v>309</v>
      </c>
      <c r="C3030" t="s">
        <v>370</v>
      </c>
      <c r="D3030">
        <v>2</v>
      </c>
      <c r="E3030" t="s">
        <v>176</v>
      </c>
      <c r="F3030" t="s">
        <v>388</v>
      </c>
      <c r="G3030">
        <f t="shared" si="37"/>
        <v>99.855491329479776</v>
      </c>
      <c r="H3030">
        <f t="shared" si="38"/>
        <v>0</v>
      </c>
      <c r="I3030">
        <v>99.86</v>
      </c>
      <c r="J3030">
        <f t="shared" si="39"/>
        <v>0.1445086705202312</v>
      </c>
      <c r="K3030">
        <v>0.8</v>
      </c>
      <c r="L3030">
        <v>0.3</v>
      </c>
      <c r="M3030">
        <v>0.7</v>
      </c>
      <c r="N3030">
        <v>1</v>
      </c>
      <c r="O3030">
        <v>691</v>
      </c>
      <c r="P3030">
        <v>0</v>
      </c>
      <c r="Q3030">
        <v>99.86</v>
      </c>
      <c r="R3030" t="s">
        <v>360</v>
      </c>
      <c r="S3030">
        <v>2.9</v>
      </c>
      <c r="T3030">
        <v>3.52</v>
      </c>
    </row>
    <row r="3031" spans="1:20" ht="15" customHeight="1" x14ac:dyDescent="0.25">
      <c r="A3031" s="2">
        <v>45325.518043981479</v>
      </c>
      <c r="B3031" t="s">
        <v>309</v>
      </c>
      <c r="C3031" t="s">
        <v>370</v>
      </c>
      <c r="D3031">
        <v>2</v>
      </c>
      <c r="E3031" t="s">
        <v>177</v>
      </c>
      <c r="F3031" t="s">
        <v>388</v>
      </c>
      <c r="G3031">
        <f t="shared" si="37"/>
        <v>34.567901234567898</v>
      </c>
      <c r="H3031">
        <f t="shared" si="38"/>
        <v>0</v>
      </c>
      <c r="I3031">
        <v>34.57</v>
      </c>
      <c r="J3031">
        <f t="shared" si="39"/>
        <v>65.432098765432102</v>
      </c>
      <c r="K3031">
        <v>0.8</v>
      </c>
      <c r="L3031">
        <v>0.3</v>
      </c>
      <c r="M3031">
        <v>0.7</v>
      </c>
      <c r="N3031">
        <v>424</v>
      </c>
      <c r="O3031">
        <v>224</v>
      </c>
      <c r="P3031">
        <v>0</v>
      </c>
      <c r="Q3031">
        <v>34.57</v>
      </c>
      <c r="R3031" t="s">
        <v>296</v>
      </c>
      <c r="S3031">
        <v>1</v>
      </c>
      <c r="T3031">
        <v>1.2</v>
      </c>
    </row>
    <row r="3032" spans="1:20" ht="15" customHeight="1" x14ac:dyDescent="0.25">
      <c r="A3032" s="2">
        <v>45325.51966435185</v>
      </c>
      <c r="B3032" t="s">
        <v>309</v>
      </c>
      <c r="C3032" t="s">
        <v>370</v>
      </c>
      <c r="D3032">
        <v>2</v>
      </c>
      <c r="E3032" t="s">
        <v>181</v>
      </c>
      <c r="F3032" t="s">
        <v>388</v>
      </c>
      <c r="G3032">
        <f t="shared" si="37"/>
        <v>63.071895424836597</v>
      </c>
      <c r="H3032">
        <f t="shared" si="38"/>
        <v>0</v>
      </c>
      <c r="I3032">
        <v>63.07</v>
      </c>
      <c r="J3032">
        <f t="shared" si="39"/>
        <v>36.928104575163403</v>
      </c>
      <c r="K3032">
        <v>0.8</v>
      </c>
      <c r="L3032">
        <v>0.3</v>
      </c>
      <c r="M3032">
        <v>0.7</v>
      </c>
      <c r="N3032">
        <v>226</v>
      </c>
      <c r="O3032">
        <v>386</v>
      </c>
      <c r="P3032">
        <v>0</v>
      </c>
      <c r="Q3032">
        <v>63.07</v>
      </c>
      <c r="R3032" t="s">
        <v>343</v>
      </c>
      <c r="S3032">
        <v>1.74</v>
      </c>
      <c r="T3032">
        <v>2.16</v>
      </c>
    </row>
    <row r="3033" spans="1:20" ht="15" customHeight="1" x14ac:dyDescent="0.25">
      <c r="A3033" s="2">
        <v>45325.521354166667</v>
      </c>
      <c r="B3033" t="s">
        <v>309</v>
      </c>
      <c r="C3033" t="s">
        <v>370</v>
      </c>
      <c r="D3033">
        <v>2</v>
      </c>
      <c r="E3033" t="s">
        <v>182</v>
      </c>
      <c r="F3033" t="s">
        <v>388</v>
      </c>
      <c r="G3033">
        <f t="shared" si="37"/>
        <v>1.0542168674698795</v>
      </c>
      <c r="H3033">
        <f t="shared" si="38"/>
        <v>0</v>
      </c>
      <c r="I3033">
        <v>1.05</v>
      </c>
      <c r="J3033">
        <f t="shared" si="39"/>
        <v>98.945783132530124</v>
      </c>
      <c r="K3033">
        <v>0.8</v>
      </c>
      <c r="L3033">
        <v>0.3</v>
      </c>
      <c r="M3033">
        <v>0.7</v>
      </c>
      <c r="N3033">
        <v>657</v>
      </c>
      <c r="O3033">
        <v>7</v>
      </c>
      <c r="P3033">
        <v>0</v>
      </c>
      <c r="Q3033">
        <v>1.05</v>
      </c>
      <c r="R3033" t="s">
        <v>279</v>
      </c>
      <c r="S3033">
        <v>0.08</v>
      </c>
      <c r="T3033">
        <v>0.1</v>
      </c>
    </row>
    <row r="3034" spans="1:20" ht="15" customHeight="1" x14ac:dyDescent="0.25">
      <c r="A3034" s="2">
        <v>45325.522766203707</v>
      </c>
      <c r="B3034" t="s">
        <v>309</v>
      </c>
      <c r="C3034" t="s">
        <v>370</v>
      </c>
      <c r="D3034">
        <v>2</v>
      </c>
      <c r="E3034" t="s">
        <v>183</v>
      </c>
      <c r="F3034" t="s">
        <v>388</v>
      </c>
      <c r="G3034">
        <f t="shared" si="37"/>
        <v>0.77881619937694702</v>
      </c>
      <c r="H3034">
        <f t="shared" si="38"/>
        <v>0</v>
      </c>
      <c r="I3034">
        <v>0.78</v>
      </c>
      <c r="J3034">
        <f t="shared" si="39"/>
        <v>99.221183800623052</v>
      </c>
      <c r="K3034">
        <v>0.8</v>
      </c>
      <c r="L3034">
        <v>0.3</v>
      </c>
      <c r="M3034">
        <v>0.7</v>
      </c>
      <c r="N3034">
        <v>637</v>
      </c>
      <c r="O3034">
        <v>5</v>
      </c>
      <c r="P3034">
        <v>0</v>
      </c>
      <c r="Q3034">
        <v>0.78</v>
      </c>
      <c r="R3034" t="s">
        <v>265</v>
      </c>
      <c r="S3034">
        <v>0.05</v>
      </c>
      <c r="T3034">
        <v>0.06</v>
      </c>
    </row>
    <row r="3035" spans="1:20" ht="15" customHeight="1" x14ac:dyDescent="0.25">
      <c r="A3035" s="2">
        <v>45325.524236111109</v>
      </c>
      <c r="B3035" t="s">
        <v>309</v>
      </c>
      <c r="C3035" t="s">
        <v>370</v>
      </c>
      <c r="D3035">
        <v>2</v>
      </c>
      <c r="E3035" t="s">
        <v>184</v>
      </c>
      <c r="F3035" t="s">
        <v>388</v>
      </c>
      <c r="G3035">
        <f t="shared" si="37"/>
        <v>81.929555895865235</v>
      </c>
      <c r="H3035">
        <f t="shared" si="38"/>
        <v>0</v>
      </c>
      <c r="I3035">
        <v>81.93</v>
      </c>
      <c r="J3035">
        <f t="shared" si="39"/>
        <v>18.070444104134761</v>
      </c>
      <c r="K3035">
        <v>0.8</v>
      </c>
      <c r="L3035">
        <v>0.3</v>
      </c>
      <c r="M3035">
        <v>0.7</v>
      </c>
      <c r="N3035">
        <v>118</v>
      </c>
      <c r="O3035">
        <v>535</v>
      </c>
      <c r="P3035">
        <v>0</v>
      </c>
      <c r="Q3035">
        <v>81.93</v>
      </c>
      <c r="R3035" t="s">
        <v>333</v>
      </c>
      <c r="S3035">
        <v>2.1800000000000002</v>
      </c>
      <c r="T3035">
        <v>2.77</v>
      </c>
    </row>
    <row r="3036" spans="1:20" ht="15" customHeight="1" x14ac:dyDescent="0.25">
      <c r="A3036" s="2">
        <v>45325.525960648149</v>
      </c>
      <c r="B3036" t="s">
        <v>309</v>
      </c>
      <c r="C3036" t="s">
        <v>370</v>
      </c>
      <c r="D3036">
        <v>2</v>
      </c>
      <c r="E3036" t="s">
        <v>186</v>
      </c>
      <c r="F3036" t="s">
        <v>388</v>
      </c>
      <c r="G3036">
        <f t="shared" si="37"/>
        <v>35.36345776031434</v>
      </c>
      <c r="H3036">
        <f t="shared" si="38"/>
        <v>0</v>
      </c>
      <c r="I3036">
        <v>35.36</v>
      </c>
      <c r="J3036">
        <f t="shared" si="39"/>
        <v>64.636542239685653</v>
      </c>
      <c r="K3036">
        <v>0.8</v>
      </c>
      <c r="L3036">
        <v>0.3</v>
      </c>
      <c r="M3036">
        <v>0.7</v>
      </c>
      <c r="N3036">
        <v>329</v>
      </c>
      <c r="O3036">
        <v>180</v>
      </c>
      <c r="P3036">
        <v>0</v>
      </c>
      <c r="Q3036">
        <v>35.36</v>
      </c>
      <c r="R3036" t="s">
        <v>248</v>
      </c>
      <c r="S3036">
        <v>0.96</v>
      </c>
      <c r="T3036">
        <v>1.2</v>
      </c>
    </row>
    <row r="3037" spans="1:20" ht="15" customHeight="1" x14ac:dyDescent="0.25">
      <c r="A3037" s="2">
        <v>45325.527442129627</v>
      </c>
      <c r="B3037" t="s">
        <v>309</v>
      </c>
      <c r="C3037" t="s">
        <v>370</v>
      </c>
      <c r="D3037">
        <v>2</v>
      </c>
      <c r="E3037" t="s">
        <v>187</v>
      </c>
      <c r="F3037" t="s">
        <v>388</v>
      </c>
      <c r="G3037">
        <f t="shared" si="37"/>
        <v>7.6923076923076925</v>
      </c>
      <c r="H3037">
        <f t="shared" si="38"/>
        <v>0</v>
      </c>
      <c r="I3037">
        <v>7.69</v>
      </c>
      <c r="J3037">
        <f t="shared" si="39"/>
        <v>92.307692307692307</v>
      </c>
      <c r="K3037">
        <v>0.8</v>
      </c>
      <c r="L3037">
        <v>0.3</v>
      </c>
      <c r="M3037">
        <v>0.7</v>
      </c>
      <c r="N3037">
        <v>600</v>
      </c>
      <c r="O3037">
        <v>50</v>
      </c>
      <c r="P3037">
        <v>0</v>
      </c>
      <c r="Q3037">
        <v>7.69</v>
      </c>
      <c r="R3037" t="s">
        <v>258</v>
      </c>
      <c r="S3037">
        <v>0.24</v>
      </c>
      <c r="T3037">
        <v>0.28999999999999998</v>
      </c>
    </row>
    <row r="3038" spans="1:20" ht="15" customHeight="1" x14ac:dyDescent="0.25">
      <c r="A3038" s="2">
        <v>45325.528807870367</v>
      </c>
      <c r="B3038" t="s">
        <v>309</v>
      </c>
      <c r="C3038" t="s">
        <v>370</v>
      </c>
      <c r="D3038">
        <v>2</v>
      </c>
      <c r="E3038" t="s">
        <v>327</v>
      </c>
      <c r="F3038" t="s">
        <v>388</v>
      </c>
      <c r="G3038">
        <f t="shared" si="37"/>
        <v>49.829351535836174</v>
      </c>
      <c r="H3038">
        <f t="shared" si="38"/>
        <v>0</v>
      </c>
      <c r="I3038">
        <v>49.83</v>
      </c>
      <c r="J3038">
        <f t="shared" si="39"/>
        <v>50.170648464163826</v>
      </c>
      <c r="K3038">
        <v>0.8</v>
      </c>
      <c r="L3038">
        <v>0.3</v>
      </c>
      <c r="M3038">
        <v>0.7</v>
      </c>
      <c r="N3038">
        <v>294</v>
      </c>
      <c r="O3038">
        <v>292</v>
      </c>
      <c r="P3038">
        <v>0</v>
      </c>
      <c r="Q3038">
        <v>49.83</v>
      </c>
      <c r="R3038" t="s">
        <v>340</v>
      </c>
      <c r="S3038">
        <v>1.38</v>
      </c>
      <c r="T3038">
        <v>1.74</v>
      </c>
    </row>
    <row r="3039" spans="1:20" ht="15" customHeight="1" x14ac:dyDescent="0.25">
      <c r="A3039" s="2">
        <v>45325.530555555553</v>
      </c>
      <c r="B3039" t="s">
        <v>309</v>
      </c>
      <c r="C3039" t="s">
        <v>370</v>
      </c>
      <c r="D3039">
        <v>2</v>
      </c>
      <c r="E3039" t="s">
        <v>191</v>
      </c>
      <c r="F3039" t="s">
        <v>388</v>
      </c>
      <c r="G3039">
        <f t="shared" si="37"/>
        <v>23.311897106109324</v>
      </c>
      <c r="H3039">
        <f t="shared" si="38"/>
        <v>0</v>
      </c>
      <c r="I3039">
        <v>23.31</v>
      </c>
      <c r="J3039">
        <f t="shared" si="39"/>
        <v>76.688102893890672</v>
      </c>
      <c r="K3039">
        <v>0.8</v>
      </c>
      <c r="L3039">
        <v>0.3</v>
      </c>
      <c r="M3039">
        <v>0.7</v>
      </c>
      <c r="N3039">
        <v>477</v>
      </c>
      <c r="O3039">
        <v>145</v>
      </c>
      <c r="P3039">
        <v>0</v>
      </c>
      <c r="Q3039">
        <v>23.31</v>
      </c>
      <c r="R3039" t="s">
        <v>258</v>
      </c>
      <c r="S3039">
        <v>0.67</v>
      </c>
      <c r="T3039">
        <v>0.85</v>
      </c>
    </row>
    <row r="3040" spans="1:20" ht="15" customHeight="1" x14ac:dyDescent="0.25">
      <c r="A3040" s="2">
        <v>45325.531921296293</v>
      </c>
      <c r="B3040" t="s">
        <v>309</v>
      </c>
      <c r="C3040" t="s">
        <v>370</v>
      </c>
      <c r="D3040">
        <v>2</v>
      </c>
      <c r="E3040" t="s">
        <v>192</v>
      </c>
      <c r="F3040" t="s">
        <v>388</v>
      </c>
      <c r="G3040">
        <f t="shared" ref="G3040:G3055" si="40">(O3040/(N3040+O3040+P3040))*100</f>
        <v>74.915824915824913</v>
      </c>
      <c r="H3040">
        <f t="shared" ref="H3040:H3055" si="41">(P3040/(O3040+P3040+N3040))*100</f>
        <v>0</v>
      </c>
      <c r="I3040">
        <v>74.92</v>
      </c>
      <c r="J3040">
        <f t="shared" ref="J3040:J3055" si="42">(N3040/(P3040+O3040+N3040))*100</f>
        <v>25.084175084175087</v>
      </c>
      <c r="K3040">
        <v>0.8</v>
      </c>
      <c r="L3040">
        <v>0.3</v>
      </c>
      <c r="M3040">
        <v>0.7</v>
      </c>
      <c r="N3040">
        <v>149</v>
      </c>
      <c r="O3040">
        <v>445</v>
      </c>
      <c r="P3040">
        <v>0</v>
      </c>
      <c r="Q3040">
        <v>74.92</v>
      </c>
      <c r="R3040" t="s">
        <v>253</v>
      </c>
      <c r="S3040">
        <v>2.04</v>
      </c>
      <c r="T3040">
        <v>2.5499999999999998</v>
      </c>
    </row>
    <row r="3041" spans="1:20" ht="15" customHeight="1" x14ac:dyDescent="0.25">
      <c r="A3041" s="2">
        <v>45325.533483796295</v>
      </c>
      <c r="B3041" t="s">
        <v>309</v>
      </c>
      <c r="C3041" t="s">
        <v>370</v>
      </c>
      <c r="D3041">
        <v>2</v>
      </c>
      <c r="E3041" t="s">
        <v>195</v>
      </c>
      <c r="F3041" t="s">
        <v>388</v>
      </c>
      <c r="G3041">
        <f t="shared" si="40"/>
        <v>77.186963979416817</v>
      </c>
      <c r="H3041">
        <f t="shared" si="41"/>
        <v>0</v>
      </c>
      <c r="I3041">
        <v>77.19</v>
      </c>
      <c r="J3041">
        <f t="shared" si="42"/>
        <v>22.813036020583191</v>
      </c>
      <c r="K3041">
        <v>0.8</v>
      </c>
      <c r="L3041">
        <v>0.3</v>
      </c>
      <c r="M3041">
        <v>0.7</v>
      </c>
      <c r="N3041">
        <v>133</v>
      </c>
      <c r="O3041">
        <v>450</v>
      </c>
      <c r="P3041">
        <v>0</v>
      </c>
      <c r="Q3041">
        <v>77.19</v>
      </c>
      <c r="R3041" t="s">
        <v>288</v>
      </c>
      <c r="S3041">
        <v>2.14</v>
      </c>
      <c r="T3041">
        <v>2.52</v>
      </c>
    </row>
    <row r="3042" spans="1:20" ht="15" customHeight="1" x14ac:dyDescent="0.25">
      <c r="A3042" s="2">
        <v>45325.535104166665</v>
      </c>
      <c r="B3042" t="s">
        <v>309</v>
      </c>
      <c r="C3042" t="s">
        <v>370</v>
      </c>
      <c r="D3042">
        <v>2</v>
      </c>
      <c r="E3042" t="s">
        <v>196</v>
      </c>
      <c r="F3042" t="s">
        <v>388</v>
      </c>
      <c r="G3042">
        <f t="shared" si="40"/>
        <v>7.1539657853810263</v>
      </c>
      <c r="H3042">
        <f t="shared" si="41"/>
        <v>0</v>
      </c>
      <c r="I3042">
        <v>7.15</v>
      </c>
      <c r="J3042">
        <f t="shared" si="42"/>
        <v>92.846034214618982</v>
      </c>
      <c r="K3042">
        <v>0.8</v>
      </c>
      <c r="L3042">
        <v>0.3</v>
      </c>
      <c r="M3042">
        <v>0.7</v>
      </c>
      <c r="N3042">
        <v>597</v>
      </c>
      <c r="O3042">
        <v>46</v>
      </c>
      <c r="P3042">
        <v>0</v>
      </c>
      <c r="Q3042">
        <v>7.15</v>
      </c>
      <c r="R3042" t="s">
        <v>367</v>
      </c>
      <c r="S3042">
        <v>0.25</v>
      </c>
      <c r="T3042">
        <v>0.32</v>
      </c>
    </row>
    <row r="3043" spans="1:20" ht="15" customHeight="1" x14ac:dyDescent="0.25">
      <c r="A3043" s="2">
        <v>45325.536458333336</v>
      </c>
      <c r="B3043" t="s">
        <v>309</v>
      </c>
      <c r="C3043" t="s">
        <v>370</v>
      </c>
      <c r="D3043">
        <v>2</v>
      </c>
      <c r="E3043" t="s">
        <v>199</v>
      </c>
      <c r="F3043" t="s">
        <v>388</v>
      </c>
      <c r="G3043">
        <f t="shared" si="40"/>
        <v>10.034602076124568</v>
      </c>
      <c r="H3043">
        <f t="shared" si="41"/>
        <v>0</v>
      </c>
      <c r="I3043">
        <v>10.029999999999999</v>
      </c>
      <c r="J3043">
        <f t="shared" si="42"/>
        <v>89.965397923875429</v>
      </c>
      <c r="K3043">
        <v>0.8</v>
      </c>
      <c r="L3043">
        <v>0.3</v>
      </c>
      <c r="M3043">
        <v>0.7</v>
      </c>
      <c r="N3043">
        <v>520</v>
      </c>
      <c r="O3043">
        <v>58</v>
      </c>
      <c r="P3043">
        <v>0</v>
      </c>
      <c r="Q3043">
        <v>10.029999999999999</v>
      </c>
      <c r="R3043" t="s">
        <v>238</v>
      </c>
      <c r="S3043">
        <v>0.36</v>
      </c>
      <c r="T3043">
        <v>0.46</v>
      </c>
    </row>
    <row r="3044" spans="1:20" ht="15" customHeight="1" x14ac:dyDescent="0.25">
      <c r="A3044" s="2">
        <v>45325.537939814814</v>
      </c>
      <c r="B3044" t="s">
        <v>309</v>
      </c>
      <c r="C3044" t="s">
        <v>370</v>
      </c>
      <c r="D3044">
        <v>2</v>
      </c>
      <c r="E3044" t="s">
        <v>201</v>
      </c>
      <c r="F3044" t="s">
        <v>388</v>
      </c>
      <c r="G3044">
        <f t="shared" si="40"/>
        <v>77.826725403817917</v>
      </c>
      <c r="H3044">
        <f t="shared" si="41"/>
        <v>0</v>
      </c>
      <c r="I3044">
        <v>77.83</v>
      </c>
      <c r="J3044">
        <f t="shared" si="42"/>
        <v>22.173274596182086</v>
      </c>
      <c r="K3044">
        <v>0.8</v>
      </c>
      <c r="L3044">
        <v>0.3</v>
      </c>
      <c r="M3044">
        <v>0.7</v>
      </c>
      <c r="N3044">
        <v>151</v>
      </c>
      <c r="O3044">
        <v>530</v>
      </c>
      <c r="P3044">
        <v>0</v>
      </c>
      <c r="Q3044">
        <v>77.83</v>
      </c>
      <c r="R3044" t="s">
        <v>363</v>
      </c>
      <c r="S3044">
        <v>2.02</v>
      </c>
      <c r="T3044">
        <v>2.4500000000000002</v>
      </c>
    </row>
    <row r="3045" spans="1:20" ht="15" customHeight="1" x14ac:dyDescent="0.25">
      <c r="A3045" s="2">
        <v>45325.539837962962</v>
      </c>
      <c r="B3045" t="s">
        <v>309</v>
      </c>
      <c r="C3045" t="s">
        <v>370</v>
      </c>
      <c r="D3045">
        <v>2</v>
      </c>
      <c r="E3045" t="s">
        <v>203</v>
      </c>
      <c r="F3045" t="s">
        <v>388</v>
      </c>
      <c r="G3045">
        <f t="shared" si="40"/>
        <v>99.127906976744185</v>
      </c>
      <c r="H3045">
        <f t="shared" si="41"/>
        <v>0</v>
      </c>
      <c r="I3045">
        <v>99.13</v>
      </c>
      <c r="J3045">
        <f t="shared" si="42"/>
        <v>0.87209302325581395</v>
      </c>
      <c r="K3045">
        <v>0.8</v>
      </c>
      <c r="L3045">
        <v>0.3</v>
      </c>
      <c r="M3045">
        <v>0.7</v>
      </c>
      <c r="N3045">
        <v>6</v>
      </c>
      <c r="O3045">
        <v>682</v>
      </c>
      <c r="P3045">
        <v>0</v>
      </c>
      <c r="Q3045">
        <v>99.13</v>
      </c>
      <c r="R3045" t="s">
        <v>352</v>
      </c>
      <c r="S3045">
        <v>2.84</v>
      </c>
      <c r="T3045">
        <v>3.43</v>
      </c>
    </row>
    <row r="3046" spans="1:20" ht="15" customHeight="1" x14ac:dyDescent="0.25">
      <c r="A3046" s="2">
        <v>45325.541666666664</v>
      </c>
      <c r="B3046" t="s">
        <v>309</v>
      </c>
      <c r="C3046" t="s">
        <v>370</v>
      </c>
      <c r="D3046">
        <v>2</v>
      </c>
      <c r="E3046" t="s">
        <v>205</v>
      </c>
      <c r="F3046" t="s">
        <v>388</v>
      </c>
      <c r="G3046">
        <f t="shared" si="40"/>
        <v>77.30263157894737</v>
      </c>
      <c r="H3046">
        <f t="shared" si="41"/>
        <v>0</v>
      </c>
      <c r="I3046">
        <v>77.3</v>
      </c>
      <c r="J3046">
        <f t="shared" si="42"/>
        <v>22.697368421052634</v>
      </c>
      <c r="K3046">
        <v>0.8</v>
      </c>
      <c r="L3046">
        <v>0.3</v>
      </c>
      <c r="M3046">
        <v>0.7</v>
      </c>
      <c r="N3046">
        <v>138</v>
      </c>
      <c r="O3046">
        <v>470</v>
      </c>
      <c r="P3046">
        <v>0</v>
      </c>
      <c r="Q3046">
        <v>77.3</v>
      </c>
      <c r="R3046" t="s">
        <v>338</v>
      </c>
      <c r="S3046">
        <v>2.0299999999999998</v>
      </c>
      <c r="T3046">
        <v>2.5</v>
      </c>
    </row>
    <row r="3047" spans="1:20" ht="15" customHeight="1" x14ac:dyDescent="0.25">
      <c r="A3047" s="2">
        <v>45325.543425925927</v>
      </c>
      <c r="B3047" t="s">
        <v>309</v>
      </c>
      <c r="C3047" t="s">
        <v>370</v>
      </c>
      <c r="D3047">
        <v>2</v>
      </c>
      <c r="E3047" t="s">
        <v>206</v>
      </c>
      <c r="F3047" t="s">
        <v>388</v>
      </c>
      <c r="G3047">
        <f t="shared" si="40"/>
        <v>23.414634146341466</v>
      </c>
      <c r="H3047">
        <f t="shared" si="41"/>
        <v>0</v>
      </c>
      <c r="I3047">
        <v>23.41</v>
      </c>
      <c r="J3047">
        <f t="shared" si="42"/>
        <v>76.585365853658544</v>
      </c>
      <c r="K3047">
        <v>0.8</v>
      </c>
      <c r="L3047">
        <v>0.3</v>
      </c>
      <c r="M3047">
        <v>0.7</v>
      </c>
      <c r="N3047">
        <v>471</v>
      </c>
      <c r="O3047">
        <v>144</v>
      </c>
      <c r="P3047">
        <v>0</v>
      </c>
      <c r="Q3047">
        <v>23.41</v>
      </c>
      <c r="R3047" t="s">
        <v>265</v>
      </c>
      <c r="S3047">
        <v>0.62</v>
      </c>
      <c r="T3047">
        <v>0.76</v>
      </c>
    </row>
    <row r="3048" spans="1:20" ht="15" customHeight="1" x14ac:dyDescent="0.25">
      <c r="A3048" s="2">
        <v>45325.544895833336</v>
      </c>
      <c r="B3048" t="s">
        <v>309</v>
      </c>
      <c r="C3048" t="s">
        <v>370</v>
      </c>
      <c r="D3048">
        <v>2</v>
      </c>
      <c r="E3048" t="s">
        <v>208</v>
      </c>
      <c r="F3048" t="s">
        <v>388</v>
      </c>
      <c r="G3048">
        <f t="shared" si="40"/>
        <v>28.136200716845877</v>
      </c>
      <c r="H3048">
        <f t="shared" si="41"/>
        <v>0</v>
      </c>
      <c r="I3048">
        <v>28.14</v>
      </c>
      <c r="J3048">
        <f t="shared" si="42"/>
        <v>71.863799283154123</v>
      </c>
      <c r="K3048">
        <v>0.8</v>
      </c>
      <c r="L3048">
        <v>0.3</v>
      </c>
      <c r="M3048">
        <v>0.7</v>
      </c>
      <c r="N3048">
        <v>401</v>
      </c>
      <c r="O3048">
        <v>157</v>
      </c>
      <c r="P3048">
        <v>0</v>
      </c>
      <c r="Q3048">
        <v>28.14</v>
      </c>
      <c r="R3048" t="s">
        <v>238</v>
      </c>
      <c r="S3048">
        <v>0.77</v>
      </c>
      <c r="T3048">
        <v>0.97</v>
      </c>
    </row>
    <row r="3049" spans="1:20" ht="15" customHeight="1" x14ac:dyDescent="0.25">
      <c r="A3049" s="2">
        <v>45325.546377314815</v>
      </c>
      <c r="B3049" t="s">
        <v>309</v>
      </c>
      <c r="C3049" t="s">
        <v>370</v>
      </c>
      <c r="D3049">
        <v>2</v>
      </c>
      <c r="E3049" t="s">
        <v>209</v>
      </c>
      <c r="F3049" t="s">
        <v>388</v>
      </c>
      <c r="G3049">
        <f t="shared" si="40"/>
        <v>36.272878535773714</v>
      </c>
      <c r="H3049">
        <f t="shared" si="41"/>
        <v>0</v>
      </c>
      <c r="I3049">
        <v>36.270000000000003</v>
      </c>
      <c r="J3049">
        <f t="shared" si="42"/>
        <v>63.727121464226286</v>
      </c>
      <c r="K3049">
        <v>0.8</v>
      </c>
      <c r="L3049">
        <v>0.3</v>
      </c>
      <c r="M3049">
        <v>0.7</v>
      </c>
      <c r="N3049">
        <v>383</v>
      </c>
      <c r="O3049">
        <v>218</v>
      </c>
      <c r="P3049">
        <v>0</v>
      </c>
      <c r="Q3049">
        <v>36.270000000000003</v>
      </c>
      <c r="R3049" t="s">
        <v>240</v>
      </c>
      <c r="S3049">
        <v>1.01</v>
      </c>
      <c r="T3049">
        <v>1.3</v>
      </c>
    </row>
    <row r="3050" spans="1:20" ht="15" customHeight="1" x14ac:dyDescent="0.25">
      <c r="A3050" s="2">
        <v>45325.547905092593</v>
      </c>
      <c r="B3050" t="s">
        <v>309</v>
      </c>
      <c r="C3050" t="s">
        <v>370</v>
      </c>
      <c r="D3050">
        <v>2</v>
      </c>
      <c r="E3050" t="s">
        <v>210</v>
      </c>
      <c r="F3050" t="s">
        <v>388</v>
      </c>
      <c r="G3050">
        <f t="shared" si="40"/>
        <v>0</v>
      </c>
      <c r="H3050">
        <f t="shared" si="41"/>
        <v>0</v>
      </c>
      <c r="I3050">
        <v>0</v>
      </c>
      <c r="J3050">
        <f t="shared" si="42"/>
        <v>100</v>
      </c>
      <c r="K3050">
        <v>0.8</v>
      </c>
      <c r="L3050">
        <v>0.3</v>
      </c>
      <c r="M3050">
        <v>0.7</v>
      </c>
      <c r="N3050">
        <v>601</v>
      </c>
      <c r="O3050">
        <v>0</v>
      </c>
      <c r="P3050">
        <v>0</v>
      </c>
      <c r="Q3050">
        <v>0</v>
      </c>
      <c r="R3050" t="s">
        <v>275</v>
      </c>
      <c r="S3050">
        <v>0.03</v>
      </c>
      <c r="T3050">
        <v>0.04</v>
      </c>
    </row>
    <row r="3051" spans="1:20" ht="15" customHeight="1" x14ac:dyDescent="0.25">
      <c r="A3051" s="2">
        <v>45325.54923611111</v>
      </c>
      <c r="B3051" t="s">
        <v>309</v>
      </c>
      <c r="C3051" t="s">
        <v>370</v>
      </c>
      <c r="D3051">
        <v>2</v>
      </c>
      <c r="E3051" t="s">
        <v>299</v>
      </c>
      <c r="F3051" t="s">
        <v>388</v>
      </c>
      <c r="G3051">
        <f t="shared" si="40"/>
        <v>1.062215477996965</v>
      </c>
      <c r="H3051">
        <f t="shared" si="41"/>
        <v>0</v>
      </c>
      <c r="I3051">
        <v>1.06</v>
      </c>
      <c r="J3051">
        <f t="shared" si="42"/>
        <v>98.937784522003042</v>
      </c>
      <c r="K3051">
        <v>0.8</v>
      </c>
      <c r="L3051">
        <v>0.3</v>
      </c>
      <c r="M3051">
        <v>0.7</v>
      </c>
      <c r="N3051">
        <v>652</v>
      </c>
      <c r="O3051">
        <v>7</v>
      </c>
      <c r="P3051">
        <v>0</v>
      </c>
      <c r="Q3051">
        <v>1.06</v>
      </c>
      <c r="R3051" t="s">
        <v>285</v>
      </c>
      <c r="S3051">
        <v>0.06</v>
      </c>
      <c r="T3051">
        <v>7.0000000000000007E-2</v>
      </c>
    </row>
    <row r="3052" spans="1:20" ht="15" customHeight="1" x14ac:dyDescent="0.25">
      <c r="A3052" s="2">
        <v>45325.55060185185</v>
      </c>
      <c r="B3052" t="s">
        <v>309</v>
      </c>
      <c r="C3052" t="s">
        <v>370</v>
      </c>
      <c r="D3052">
        <v>2</v>
      </c>
      <c r="E3052" t="s">
        <v>300</v>
      </c>
      <c r="F3052" t="s">
        <v>388</v>
      </c>
      <c r="G3052">
        <f t="shared" si="40"/>
        <v>2.4734982332155475</v>
      </c>
      <c r="H3052">
        <f t="shared" si="41"/>
        <v>0</v>
      </c>
      <c r="I3052">
        <v>2.4700000000000002</v>
      </c>
      <c r="J3052">
        <f t="shared" si="42"/>
        <v>97.526501766784463</v>
      </c>
      <c r="K3052">
        <v>0.8</v>
      </c>
      <c r="L3052">
        <v>0.3</v>
      </c>
      <c r="M3052">
        <v>0.7</v>
      </c>
      <c r="N3052">
        <v>552</v>
      </c>
      <c r="O3052">
        <v>14</v>
      </c>
      <c r="P3052">
        <v>0</v>
      </c>
      <c r="Q3052">
        <v>2.4700000000000002</v>
      </c>
      <c r="R3052" t="s">
        <v>268</v>
      </c>
      <c r="S3052">
        <v>0.09</v>
      </c>
      <c r="T3052">
        <v>0.1</v>
      </c>
    </row>
    <row r="3053" spans="1:20" ht="15" customHeight="1" x14ac:dyDescent="0.25">
      <c r="A3053" s="2">
        <v>45325.551932870374</v>
      </c>
      <c r="B3053" t="s">
        <v>309</v>
      </c>
      <c r="C3053" t="s">
        <v>370</v>
      </c>
      <c r="D3053">
        <v>2</v>
      </c>
      <c r="E3053" t="s">
        <v>301</v>
      </c>
      <c r="F3053" t="s">
        <v>388</v>
      </c>
      <c r="G3053">
        <f t="shared" si="40"/>
        <v>0.28985507246376813</v>
      </c>
      <c r="H3053">
        <f t="shared" si="41"/>
        <v>0</v>
      </c>
      <c r="I3053">
        <v>0.28999999999999998</v>
      </c>
      <c r="J3053">
        <f t="shared" si="42"/>
        <v>99.710144927536234</v>
      </c>
      <c r="K3053">
        <v>0.8</v>
      </c>
      <c r="L3053">
        <v>0.3</v>
      </c>
      <c r="M3053">
        <v>0.7</v>
      </c>
      <c r="N3053">
        <v>688</v>
      </c>
      <c r="O3053">
        <v>2</v>
      </c>
      <c r="P3053">
        <v>0</v>
      </c>
      <c r="Q3053">
        <v>0.28999999999999998</v>
      </c>
      <c r="R3053" t="s">
        <v>259</v>
      </c>
      <c r="S3053">
        <v>0.02</v>
      </c>
      <c r="T3053">
        <v>0.02</v>
      </c>
    </row>
    <row r="3054" spans="1:20" ht="15" customHeight="1" x14ac:dyDescent="0.25">
      <c r="A3054" s="2">
        <v>45325.553194444445</v>
      </c>
      <c r="B3054" t="s">
        <v>309</v>
      </c>
      <c r="C3054" t="s">
        <v>370</v>
      </c>
      <c r="D3054">
        <v>2</v>
      </c>
      <c r="E3054" t="s">
        <v>302</v>
      </c>
      <c r="F3054" t="s">
        <v>388</v>
      </c>
      <c r="G3054">
        <f t="shared" si="40"/>
        <v>0.16</v>
      </c>
      <c r="H3054">
        <f t="shared" si="41"/>
        <v>0</v>
      </c>
      <c r="I3054">
        <v>0.16</v>
      </c>
      <c r="J3054">
        <f t="shared" si="42"/>
        <v>99.839999999999989</v>
      </c>
      <c r="K3054">
        <v>0.8</v>
      </c>
      <c r="L3054">
        <v>0.3</v>
      </c>
      <c r="M3054">
        <v>0.7</v>
      </c>
      <c r="N3054">
        <v>624</v>
      </c>
      <c r="O3054">
        <v>1</v>
      </c>
      <c r="P3054">
        <v>0</v>
      </c>
      <c r="Q3054">
        <v>0.16</v>
      </c>
      <c r="R3054" t="s">
        <v>275</v>
      </c>
      <c r="S3054">
        <v>0.03</v>
      </c>
      <c r="T3054">
        <v>0.04</v>
      </c>
    </row>
    <row r="3055" spans="1:20" ht="15" customHeight="1" x14ac:dyDescent="0.25">
      <c r="A3055" s="2">
        <v>45325.554502314815</v>
      </c>
      <c r="B3055" t="s">
        <v>309</v>
      </c>
      <c r="C3055" t="s">
        <v>370</v>
      </c>
      <c r="D3055">
        <v>2</v>
      </c>
      <c r="E3055" t="s">
        <v>303</v>
      </c>
      <c r="F3055" t="s">
        <v>388</v>
      </c>
      <c r="G3055">
        <f t="shared" si="40"/>
        <v>43.826086956521735</v>
      </c>
      <c r="H3055">
        <f t="shared" si="41"/>
        <v>0</v>
      </c>
      <c r="I3055">
        <v>43.83</v>
      </c>
      <c r="J3055">
        <f t="shared" si="42"/>
        <v>56.173913043478265</v>
      </c>
      <c r="K3055">
        <v>0.8</v>
      </c>
      <c r="L3055">
        <v>0.3</v>
      </c>
      <c r="M3055">
        <v>0.7</v>
      </c>
      <c r="N3055">
        <v>323</v>
      </c>
      <c r="O3055">
        <v>252</v>
      </c>
      <c r="P3055">
        <v>0</v>
      </c>
      <c r="Q3055">
        <v>43.83</v>
      </c>
      <c r="R3055" t="s">
        <v>246</v>
      </c>
      <c r="S3055">
        <v>1.1399999999999999</v>
      </c>
      <c r="T3055">
        <v>1.4</v>
      </c>
    </row>
    <row r="3056" spans="1:20" ht="15" customHeight="1" x14ac:dyDescent="0.25">
      <c r="A3056" s="3"/>
    </row>
    <row r="3057" spans="1:9" ht="15" customHeight="1" x14ac:dyDescent="0.25">
      <c r="A3057" s="3"/>
    </row>
    <row r="3058" spans="1:9" ht="15" customHeight="1" x14ac:dyDescent="0.25">
      <c r="A3058" s="3"/>
    </row>
    <row r="3059" spans="1:9" ht="15" customHeight="1" x14ac:dyDescent="0.25">
      <c r="A3059" s="3"/>
      <c r="I3059" s="3"/>
    </row>
    <row r="3060" spans="1:9" ht="15" customHeight="1" x14ac:dyDescent="0.25">
      <c r="A3060" s="3"/>
      <c r="I3060" s="3"/>
    </row>
    <row r="3061" spans="1:9" ht="15" customHeight="1" x14ac:dyDescent="0.25">
      <c r="A3061" s="3"/>
      <c r="I3061" s="3"/>
    </row>
    <row r="3062" spans="1:9" ht="15" customHeight="1" x14ac:dyDescent="0.25">
      <c r="A3062" s="3"/>
      <c r="I3062" s="3"/>
    </row>
    <row r="3063" spans="1:9" ht="15" customHeight="1" x14ac:dyDescent="0.25">
      <c r="A3063" s="3"/>
      <c r="I3063" s="3"/>
    </row>
    <row r="3064" spans="1:9" ht="15" customHeight="1" x14ac:dyDescent="0.25">
      <c r="A3064" s="3"/>
      <c r="I3064" s="3"/>
    </row>
    <row r="3065" spans="1:9" ht="15" customHeight="1" x14ac:dyDescent="0.25">
      <c r="A3065" s="3"/>
      <c r="I3065" s="3"/>
    </row>
    <row r="3066" spans="1:9" ht="15" customHeight="1" x14ac:dyDescent="0.25">
      <c r="A3066" s="3"/>
      <c r="I3066" s="3"/>
    </row>
    <row r="3067" spans="1:9" ht="15" customHeight="1" x14ac:dyDescent="0.25">
      <c r="A3067" s="3"/>
      <c r="I3067" s="3"/>
    </row>
    <row r="3068" spans="1:9" ht="15" customHeight="1" x14ac:dyDescent="0.25">
      <c r="A3068" s="3"/>
      <c r="I3068" s="3"/>
    </row>
    <row r="3069" spans="1:9" ht="15" customHeight="1" x14ac:dyDescent="0.25">
      <c r="A3069" s="3"/>
      <c r="I3069" s="3"/>
    </row>
    <row r="3070" spans="1:9" ht="15" customHeight="1" x14ac:dyDescent="0.25">
      <c r="A3070" s="3"/>
      <c r="I3070" s="3"/>
    </row>
    <row r="3071" spans="1:9" ht="15" customHeight="1" x14ac:dyDescent="0.25">
      <c r="A3071" s="3"/>
      <c r="I3071" s="3"/>
    </row>
    <row r="3072" spans="1:9" ht="15" customHeight="1" x14ac:dyDescent="0.25">
      <c r="A3072" s="3"/>
      <c r="I3072" s="3"/>
    </row>
    <row r="3073" spans="1:9" ht="15" customHeight="1" x14ac:dyDescent="0.25">
      <c r="A3073" s="3"/>
      <c r="I3073" s="3"/>
    </row>
    <row r="3074" spans="1:9" ht="15" customHeight="1" x14ac:dyDescent="0.25">
      <c r="A3074" s="3"/>
      <c r="I3074" s="3"/>
    </row>
    <row r="3075" spans="1:9" ht="15" customHeight="1" x14ac:dyDescent="0.25">
      <c r="A3075" s="3"/>
      <c r="I3075" s="3"/>
    </row>
    <row r="3076" spans="1:9" ht="15" customHeight="1" x14ac:dyDescent="0.25">
      <c r="A3076" s="3"/>
      <c r="I3076" s="3"/>
    </row>
    <row r="3077" spans="1:9" ht="15" customHeight="1" x14ac:dyDescent="0.25">
      <c r="A3077" s="3"/>
      <c r="I3077" s="3"/>
    </row>
    <row r="3078" spans="1:9" ht="15" customHeight="1" x14ac:dyDescent="0.25">
      <c r="A3078" s="3"/>
      <c r="I3078" s="3"/>
    </row>
    <row r="3079" spans="1:9" ht="15" customHeight="1" x14ac:dyDescent="0.25">
      <c r="A3079" s="3"/>
      <c r="I3079" s="3"/>
    </row>
    <row r="3080" spans="1:9" ht="15" customHeight="1" x14ac:dyDescent="0.25">
      <c r="A3080" s="3"/>
      <c r="I3080" s="3"/>
    </row>
    <row r="3081" spans="1:9" ht="15" customHeight="1" x14ac:dyDescent="0.25">
      <c r="A3081" s="3"/>
      <c r="I3081" s="3"/>
    </row>
    <row r="3082" spans="1:9" ht="15" customHeight="1" x14ac:dyDescent="0.25">
      <c r="A3082" s="3"/>
      <c r="I3082" s="3"/>
    </row>
    <row r="3083" spans="1:9" ht="15" customHeight="1" x14ac:dyDescent="0.25">
      <c r="A3083" s="3"/>
      <c r="I3083" s="3"/>
    </row>
    <row r="3084" spans="1:9" ht="15" customHeight="1" x14ac:dyDescent="0.25">
      <c r="A3084" s="3"/>
      <c r="I3084" s="3"/>
    </row>
    <row r="3085" spans="1:9" ht="15" customHeight="1" x14ac:dyDescent="0.25">
      <c r="A3085" s="3"/>
      <c r="I3085" s="3"/>
    </row>
    <row r="3086" spans="1:9" ht="15" customHeight="1" x14ac:dyDescent="0.25">
      <c r="A3086" s="3"/>
      <c r="I3086" s="3"/>
    </row>
    <row r="3087" spans="1:9" ht="15" customHeight="1" x14ac:dyDescent="0.25">
      <c r="A3087" s="3"/>
      <c r="I3087" s="3"/>
    </row>
    <row r="3088" spans="1:9" ht="15" customHeight="1" x14ac:dyDescent="0.25">
      <c r="A3088" s="3"/>
      <c r="I3088" s="3"/>
    </row>
    <row r="3089" spans="1:9" ht="15" customHeight="1" x14ac:dyDescent="0.25">
      <c r="A3089" s="3"/>
      <c r="I3089" s="3"/>
    </row>
    <row r="3090" spans="1:9" ht="15" customHeight="1" x14ac:dyDescent="0.25">
      <c r="A3090" s="3"/>
      <c r="I3090" s="3"/>
    </row>
    <row r="3091" spans="1:9" ht="15" customHeight="1" x14ac:dyDescent="0.25">
      <c r="A3091" s="3"/>
      <c r="I3091" s="3"/>
    </row>
    <row r="3092" spans="1:9" ht="15" customHeight="1" x14ac:dyDescent="0.25">
      <c r="A3092" s="3"/>
      <c r="I3092" s="3"/>
    </row>
    <row r="3093" spans="1:9" ht="15" customHeight="1" x14ac:dyDescent="0.25">
      <c r="A3093" s="3"/>
      <c r="I3093" s="3"/>
    </row>
    <row r="3094" spans="1:9" ht="15" customHeight="1" x14ac:dyDescent="0.25">
      <c r="A3094" s="3"/>
      <c r="I3094" s="3"/>
    </row>
    <row r="3095" spans="1:9" ht="15" customHeight="1" x14ac:dyDescent="0.25">
      <c r="A3095" s="3"/>
      <c r="I3095" s="3"/>
    </row>
    <row r="3096" spans="1:9" ht="15" customHeight="1" x14ac:dyDescent="0.25">
      <c r="A3096" s="3"/>
      <c r="I3096" s="3"/>
    </row>
    <row r="3097" spans="1:9" ht="15" customHeight="1" x14ac:dyDescent="0.25">
      <c r="A3097" s="3"/>
      <c r="I3097" s="3"/>
    </row>
    <row r="3098" spans="1:9" ht="15" customHeight="1" x14ac:dyDescent="0.25">
      <c r="A3098" s="3"/>
      <c r="I3098" s="3"/>
    </row>
    <row r="3099" spans="1:9" ht="15" customHeight="1" x14ac:dyDescent="0.25">
      <c r="A3099" s="3"/>
      <c r="I3099" s="3"/>
    </row>
    <row r="3100" spans="1:9" ht="15" customHeight="1" x14ac:dyDescent="0.25">
      <c r="A3100" s="3"/>
      <c r="I3100" s="3"/>
    </row>
    <row r="3101" spans="1:9" ht="15" customHeight="1" x14ac:dyDescent="0.25">
      <c r="A3101" s="3"/>
      <c r="I3101" s="3"/>
    </row>
    <row r="3102" spans="1:9" ht="15" customHeight="1" x14ac:dyDescent="0.25">
      <c r="A3102" s="3"/>
      <c r="I3102" s="3"/>
    </row>
    <row r="3103" spans="1:9" ht="15" customHeight="1" x14ac:dyDescent="0.25">
      <c r="A3103" s="3"/>
      <c r="I3103" s="3"/>
    </row>
    <row r="3104" spans="1:9" ht="15" customHeight="1" x14ac:dyDescent="0.25">
      <c r="A3104" s="3"/>
      <c r="I3104" s="3"/>
    </row>
    <row r="3105" spans="1:9" ht="15" customHeight="1" x14ac:dyDescent="0.25">
      <c r="A3105" s="3"/>
      <c r="I3105" s="3"/>
    </row>
    <row r="3106" spans="1:9" ht="15" customHeight="1" x14ac:dyDescent="0.25">
      <c r="A3106" s="3"/>
      <c r="I3106" s="3"/>
    </row>
    <row r="3107" spans="1:9" ht="15" customHeight="1" x14ac:dyDescent="0.25">
      <c r="A3107" s="3"/>
      <c r="I3107" s="3"/>
    </row>
    <row r="3108" spans="1:9" ht="15" customHeight="1" x14ac:dyDescent="0.25">
      <c r="A3108" s="3"/>
      <c r="I3108" s="3"/>
    </row>
    <row r="3109" spans="1:9" ht="15" customHeight="1" x14ac:dyDescent="0.25">
      <c r="A3109" s="3"/>
      <c r="I3109" s="3"/>
    </row>
    <row r="3110" spans="1:9" ht="15" customHeight="1" x14ac:dyDescent="0.25">
      <c r="A3110" s="3"/>
      <c r="I3110" s="3"/>
    </row>
    <row r="3111" spans="1:9" ht="15" customHeight="1" x14ac:dyDescent="0.25">
      <c r="A3111" s="3"/>
      <c r="I3111" s="3"/>
    </row>
    <row r="3112" spans="1:9" ht="15" customHeight="1" x14ac:dyDescent="0.25">
      <c r="A3112" s="3"/>
      <c r="I3112" s="3"/>
    </row>
    <row r="3113" spans="1:9" ht="15" customHeight="1" x14ac:dyDescent="0.25">
      <c r="A3113" s="3"/>
      <c r="I3113" s="3"/>
    </row>
    <row r="3114" spans="1:9" ht="15" customHeight="1" x14ac:dyDescent="0.25">
      <c r="A3114" s="3"/>
      <c r="I3114" s="3"/>
    </row>
    <row r="3115" spans="1:9" ht="15" customHeight="1" x14ac:dyDescent="0.25">
      <c r="A3115" s="3"/>
      <c r="I3115" s="3"/>
    </row>
    <row r="3116" spans="1:9" ht="15" customHeight="1" x14ac:dyDescent="0.25">
      <c r="A3116" s="3"/>
      <c r="I3116" s="3"/>
    </row>
    <row r="3117" spans="1:9" ht="15" customHeight="1" x14ac:dyDescent="0.25">
      <c r="A3117" s="3"/>
      <c r="I3117" s="3"/>
    </row>
    <row r="3118" spans="1:9" ht="15" customHeight="1" x14ac:dyDescent="0.25">
      <c r="A3118" s="3"/>
      <c r="I3118" s="3"/>
    </row>
    <row r="3119" spans="1:9" ht="15" customHeight="1" x14ac:dyDescent="0.25">
      <c r="A3119" s="3"/>
      <c r="I3119" s="3"/>
    </row>
    <row r="3120" spans="1:9" ht="15" customHeight="1" x14ac:dyDescent="0.25">
      <c r="A3120" s="3"/>
      <c r="I3120" s="3"/>
    </row>
    <row r="3121" spans="1:9" ht="15" customHeight="1" x14ac:dyDescent="0.25">
      <c r="A3121" s="3"/>
      <c r="I3121" s="3"/>
    </row>
    <row r="3122" spans="1:9" ht="15" customHeight="1" x14ac:dyDescent="0.25">
      <c r="A3122" s="3"/>
      <c r="I3122" s="3"/>
    </row>
    <row r="3123" spans="1:9" ht="15" customHeight="1" x14ac:dyDescent="0.25">
      <c r="A3123" s="3"/>
      <c r="I3123" s="3"/>
    </row>
    <row r="3124" spans="1:9" ht="15" customHeight="1" x14ac:dyDescent="0.25">
      <c r="A3124" s="3"/>
      <c r="I3124" s="3"/>
    </row>
    <row r="3125" spans="1:9" ht="15" customHeight="1" x14ac:dyDescent="0.25">
      <c r="A3125" s="3"/>
      <c r="I3125" s="3"/>
    </row>
    <row r="3126" spans="1:9" ht="15" customHeight="1" x14ac:dyDescent="0.25">
      <c r="A3126" s="3"/>
      <c r="I3126" s="3"/>
    </row>
    <row r="3127" spans="1:9" ht="15" customHeight="1" x14ac:dyDescent="0.25">
      <c r="A3127" s="3"/>
      <c r="I3127" s="3"/>
    </row>
    <row r="3128" spans="1:9" ht="15" customHeight="1" x14ac:dyDescent="0.25">
      <c r="A3128" s="3"/>
      <c r="I3128" s="3"/>
    </row>
    <row r="3129" spans="1:9" ht="15" customHeight="1" x14ac:dyDescent="0.25">
      <c r="A3129" s="3"/>
      <c r="I3129" s="3"/>
    </row>
    <row r="3130" spans="1:9" ht="15" customHeight="1" x14ac:dyDescent="0.25">
      <c r="A3130" s="3"/>
      <c r="I3130" s="3"/>
    </row>
    <row r="3131" spans="1:9" ht="15" customHeight="1" x14ac:dyDescent="0.25">
      <c r="A3131" s="3"/>
      <c r="I3131" s="3"/>
    </row>
    <row r="3136" spans="1:9" ht="15" customHeight="1" x14ac:dyDescent="0.25">
      <c r="B3136" s="3"/>
      <c r="C3136" s="4"/>
      <c r="I3136" s="3"/>
    </row>
    <row r="3137" spans="2:9" ht="15" customHeight="1" x14ac:dyDescent="0.25">
      <c r="B3137" s="3"/>
      <c r="C3137" s="4"/>
      <c r="I3137" s="3"/>
    </row>
    <row r="3138" spans="2:9" ht="15" customHeight="1" x14ac:dyDescent="0.25">
      <c r="B3138" s="3"/>
      <c r="C3138" s="4"/>
      <c r="I3138" s="3"/>
    </row>
    <row r="3139" spans="2:9" ht="15" customHeight="1" x14ac:dyDescent="0.25">
      <c r="B3139" s="3"/>
      <c r="C3139" s="4"/>
      <c r="I3139" s="3"/>
    </row>
    <row r="3140" spans="2:9" ht="15" customHeight="1" x14ac:dyDescent="0.25">
      <c r="B3140" s="3"/>
      <c r="C3140" s="4"/>
      <c r="I3140" s="3"/>
    </row>
    <row r="3141" spans="2:9" ht="15" customHeight="1" x14ac:dyDescent="0.25">
      <c r="B3141" s="3"/>
      <c r="C3141" s="4"/>
      <c r="I3141" s="3"/>
    </row>
    <row r="3142" spans="2:9" ht="15" customHeight="1" x14ac:dyDescent="0.25">
      <c r="B3142" s="3"/>
      <c r="C3142" s="4"/>
      <c r="I3142" s="3"/>
    </row>
    <row r="3143" spans="2:9" ht="15" customHeight="1" x14ac:dyDescent="0.25">
      <c r="B3143" s="3"/>
      <c r="C3143" s="4"/>
      <c r="I3143" s="3"/>
    </row>
    <row r="3144" spans="2:9" ht="15" customHeight="1" x14ac:dyDescent="0.25">
      <c r="B3144" s="3"/>
      <c r="C3144" s="4"/>
      <c r="I3144" s="3"/>
    </row>
    <row r="3145" spans="2:9" ht="15" customHeight="1" x14ac:dyDescent="0.25">
      <c r="B3145" s="3"/>
      <c r="C3145" s="4"/>
      <c r="I3145" s="3"/>
    </row>
    <row r="3146" spans="2:9" ht="15" customHeight="1" x14ac:dyDescent="0.25">
      <c r="B3146" s="3"/>
      <c r="C3146" s="4"/>
      <c r="I3146" s="3"/>
    </row>
    <row r="3147" spans="2:9" ht="15" customHeight="1" x14ac:dyDescent="0.25">
      <c r="B3147" s="3"/>
      <c r="C3147" s="4"/>
      <c r="I3147" s="3"/>
    </row>
    <row r="3148" spans="2:9" ht="15" customHeight="1" x14ac:dyDescent="0.25">
      <c r="B3148" s="3"/>
      <c r="C3148" s="4"/>
      <c r="I3148" s="3"/>
    </row>
    <row r="3149" spans="2:9" ht="15" customHeight="1" x14ac:dyDescent="0.25">
      <c r="B3149" s="3"/>
      <c r="C3149" s="4"/>
      <c r="I3149" s="3"/>
    </row>
    <row r="3150" spans="2:9" ht="15" customHeight="1" x14ac:dyDescent="0.25">
      <c r="B3150" s="3"/>
      <c r="C3150" s="4"/>
      <c r="I3150" s="3"/>
    </row>
    <row r="3151" spans="2:9" ht="15" customHeight="1" x14ac:dyDescent="0.25">
      <c r="B3151" s="3"/>
      <c r="C3151" s="4"/>
      <c r="I3151" s="3"/>
    </row>
    <row r="3152" spans="2:9" ht="15" customHeight="1" x14ac:dyDescent="0.25">
      <c r="B3152" s="3"/>
      <c r="C3152" s="4"/>
      <c r="I3152" s="3"/>
    </row>
    <row r="3153" spans="2:9" ht="15" customHeight="1" x14ac:dyDescent="0.25">
      <c r="B3153" s="3"/>
      <c r="C3153" s="4"/>
      <c r="I3153" s="3"/>
    </row>
    <row r="3154" spans="2:9" ht="15" customHeight="1" x14ac:dyDescent="0.25">
      <c r="B3154" s="3"/>
      <c r="C3154" s="4"/>
      <c r="I3154" s="3"/>
    </row>
    <row r="3155" spans="2:9" ht="15" customHeight="1" x14ac:dyDescent="0.25">
      <c r="B3155" s="3"/>
      <c r="C3155" s="4"/>
      <c r="I3155" s="3"/>
    </row>
    <row r="3156" spans="2:9" ht="15" customHeight="1" x14ac:dyDescent="0.25">
      <c r="B3156" s="3"/>
      <c r="C3156" s="4"/>
      <c r="I3156" s="3"/>
    </row>
    <row r="3157" spans="2:9" ht="15" customHeight="1" x14ac:dyDescent="0.25">
      <c r="B3157" s="3"/>
      <c r="C3157" s="4"/>
      <c r="I3157" s="3"/>
    </row>
    <row r="3158" spans="2:9" ht="15" customHeight="1" x14ac:dyDescent="0.25">
      <c r="B3158" s="3"/>
      <c r="C3158" s="4"/>
      <c r="I3158" s="3"/>
    </row>
    <row r="3159" spans="2:9" ht="15" customHeight="1" x14ac:dyDescent="0.25">
      <c r="B3159" s="3"/>
      <c r="C3159" s="4"/>
      <c r="I3159" s="3"/>
    </row>
    <row r="3160" spans="2:9" ht="15" customHeight="1" x14ac:dyDescent="0.25">
      <c r="B3160" s="3"/>
      <c r="C3160" s="4"/>
      <c r="I3160" s="3"/>
    </row>
    <row r="3161" spans="2:9" ht="15" customHeight="1" x14ac:dyDescent="0.25">
      <c r="B3161" s="3"/>
      <c r="C3161" s="4"/>
      <c r="I3161" s="3"/>
    </row>
    <row r="3162" spans="2:9" ht="15" customHeight="1" x14ac:dyDescent="0.25">
      <c r="B3162" s="3"/>
      <c r="C3162" s="4"/>
      <c r="I3162" s="3"/>
    </row>
    <row r="3163" spans="2:9" ht="15" customHeight="1" x14ac:dyDescent="0.25">
      <c r="B3163" s="3"/>
      <c r="C3163" s="4"/>
      <c r="I3163" s="3"/>
    </row>
    <row r="3164" spans="2:9" ht="15" customHeight="1" x14ac:dyDescent="0.25">
      <c r="B3164" s="3"/>
      <c r="C3164" s="4"/>
      <c r="I3164" s="3"/>
    </row>
    <row r="3165" spans="2:9" ht="15" customHeight="1" x14ac:dyDescent="0.25">
      <c r="B3165" s="3"/>
      <c r="C3165" s="4"/>
      <c r="I3165" s="3"/>
    </row>
    <row r="3166" spans="2:9" ht="15" customHeight="1" x14ac:dyDescent="0.25">
      <c r="B3166" s="3"/>
      <c r="C3166" s="4"/>
      <c r="I3166" s="3"/>
    </row>
    <row r="3167" spans="2:9" ht="15" customHeight="1" x14ac:dyDescent="0.25">
      <c r="B3167" s="3"/>
      <c r="C3167" s="4"/>
      <c r="I3167" s="3"/>
    </row>
    <row r="3168" spans="2:9" ht="15" customHeight="1" x14ac:dyDescent="0.25">
      <c r="B3168" s="3"/>
      <c r="C3168" s="4"/>
      <c r="I3168" s="3"/>
    </row>
    <row r="3169" spans="2:9" ht="15" customHeight="1" x14ac:dyDescent="0.25">
      <c r="B3169" s="3"/>
      <c r="C3169" s="4"/>
      <c r="I3169" s="3"/>
    </row>
    <row r="3170" spans="2:9" ht="15" customHeight="1" x14ac:dyDescent="0.25">
      <c r="B3170" s="3"/>
      <c r="C3170" s="4"/>
      <c r="I3170" s="3"/>
    </row>
    <row r="3171" spans="2:9" ht="15" customHeight="1" x14ac:dyDescent="0.25">
      <c r="B3171" s="3"/>
      <c r="C3171" s="4"/>
      <c r="I3171" s="3"/>
    </row>
    <row r="3172" spans="2:9" ht="15" customHeight="1" x14ac:dyDescent="0.25">
      <c r="B3172" s="3"/>
      <c r="C3172" s="4"/>
      <c r="I3172" s="3"/>
    </row>
    <row r="3173" spans="2:9" ht="15" customHeight="1" x14ac:dyDescent="0.25">
      <c r="B3173" s="3"/>
      <c r="C3173" s="4"/>
      <c r="I3173" s="3"/>
    </row>
    <row r="3174" spans="2:9" ht="15" customHeight="1" x14ac:dyDescent="0.25">
      <c r="B3174" s="3"/>
      <c r="C3174" s="4"/>
      <c r="I3174" s="3"/>
    </row>
    <row r="3175" spans="2:9" ht="15" customHeight="1" x14ac:dyDescent="0.25">
      <c r="B3175" s="3"/>
      <c r="C3175" s="4"/>
      <c r="I3175" s="3"/>
    </row>
    <row r="3176" spans="2:9" ht="15" customHeight="1" x14ac:dyDescent="0.25">
      <c r="B3176" s="3"/>
      <c r="C3176" s="4"/>
      <c r="I3176" s="3"/>
    </row>
  </sheetData>
  <sortState xmlns:xlrd2="http://schemas.microsoft.com/office/spreadsheetml/2017/richdata2" ref="A2:U2850">
    <sortCondition ref="E2:E2850"/>
    <sortCondition ref="F2:F28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54FC-9A7B-4458-8214-B8813112F090}">
  <dimension ref="A1:U1054"/>
  <sheetViews>
    <sheetView workbookViewId="0">
      <selection activeCell="L22" sqref="L22"/>
    </sheetView>
  </sheetViews>
  <sheetFormatPr defaultColWidth="8.85546875" defaultRowHeight="15" x14ac:dyDescent="0.25"/>
  <cols>
    <col min="1" max="1" width="14.85546875" bestFit="1" customWidth="1"/>
  </cols>
  <sheetData>
    <row r="1" spans="1:21" x14ac:dyDescent="0.25">
      <c r="A1" s="2">
        <v>46044.82916666667</v>
      </c>
      <c r="B1" t="s">
        <v>309</v>
      </c>
      <c r="C1" t="s">
        <v>372</v>
      </c>
      <c r="D1">
        <v>3</v>
      </c>
      <c r="E1" t="s">
        <v>23</v>
      </c>
      <c r="F1" t="s">
        <v>373</v>
      </c>
      <c r="G1">
        <f t="shared" ref="G1:G64" si="0">(O1/(N1+O1+P1))*100</f>
        <v>0.46801872074883</v>
      </c>
      <c r="H1">
        <f t="shared" ref="H1:H64" si="1">(P1/(O1+P1+N1))*100</f>
        <v>0</v>
      </c>
      <c r="I1">
        <v>43.83</v>
      </c>
      <c r="J1">
        <f t="shared" ref="J1:J64" si="2">(N1/(P1+O1+N1))*100</f>
        <v>99.53198127925117</v>
      </c>
      <c r="K1">
        <v>0.85</v>
      </c>
      <c r="L1">
        <v>0.2</v>
      </c>
      <c r="M1">
        <v>0.7</v>
      </c>
      <c r="N1">
        <v>638</v>
      </c>
      <c r="O1">
        <v>3</v>
      </c>
      <c r="P1">
        <v>0</v>
      </c>
      <c r="Q1">
        <v>0.47</v>
      </c>
      <c r="R1" t="s">
        <v>371</v>
      </c>
      <c r="S1">
        <v>0.01</v>
      </c>
      <c r="U1">
        <v>34</v>
      </c>
    </row>
    <row r="2" spans="1:21" x14ac:dyDescent="0.25">
      <c r="A2" s="2">
        <v>46044.82916666667</v>
      </c>
      <c r="B2" t="s">
        <v>309</v>
      </c>
      <c r="C2" t="s">
        <v>372</v>
      </c>
      <c r="D2">
        <v>3</v>
      </c>
      <c r="E2" t="s">
        <v>24</v>
      </c>
      <c r="F2" t="s">
        <v>373</v>
      </c>
      <c r="G2">
        <f t="shared" si="0"/>
        <v>2.1959459459459461</v>
      </c>
      <c r="H2">
        <f t="shared" si="1"/>
        <v>0.16891891891891891</v>
      </c>
      <c r="I2">
        <v>43.83</v>
      </c>
      <c r="J2">
        <f t="shared" si="2"/>
        <v>97.63513513513513</v>
      </c>
      <c r="K2">
        <v>0.85</v>
      </c>
      <c r="L2">
        <v>0.2</v>
      </c>
      <c r="M2">
        <v>0.7</v>
      </c>
      <c r="N2">
        <v>578</v>
      </c>
      <c r="O2">
        <v>13</v>
      </c>
      <c r="P2">
        <v>1</v>
      </c>
      <c r="Q2">
        <v>2.36</v>
      </c>
      <c r="R2" t="s">
        <v>374</v>
      </c>
      <c r="S2">
        <v>0.06</v>
      </c>
      <c r="U2">
        <v>44</v>
      </c>
    </row>
    <row r="3" spans="1:21" x14ac:dyDescent="0.25">
      <c r="A3" s="2">
        <v>46044.82916666667</v>
      </c>
      <c r="B3" t="s">
        <v>309</v>
      </c>
      <c r="C3" t="s">
        <v>372</v>
      </c>
      <c r="D3">
        <v>3</v>
      </c>
      <c r="E3" t="s">
        <v>27</v>
      </c>
      <c r="F3" t="s">
        <v>373</v>
      </c>
      <c r="G3">
        <f t="shared" si="0"/>
        <v>0.84269662921348309</v>
      </c>
      <c r="H3">
        <f t="shared" si="1"/>
        <v>0</v>
      </c>
      <c r="I3">
        <v>43.83</v>
      </c>
      <c r="J3">
        <f t="shared" si="2"/>
        <v>99.157303370786522</v>
      </c>
      <c r="K3">
        <v>0.85</v>
      </c>
      <c r="L3">
        <v>0.2</v>
      </c>
      <c r="M3">
        <v>0.7</v>
      </c>
      <c r="N3">
        <v>706</v>
      </c>
      <c r="O3">
        <v>6</v>
      </c>
      <c r="P3">
        <v>0</v>
      </c>
      <c r="Q3">
        <v>0.84</v>
      </c>
      <c r="R3" t="s">
        <v>371</v>
      </c>
      <c r="S3">
        <v>0.02</v>
      </c>
      <c r="U3">
        <v>3</v>
      </c>
    </row>
    <row r="4" spans="1:21" x14ac:dyDescent="0.25">
      <c r="A4" s="2">
        <v>46044.829861111109</v>
      </c>
      <c r="B4" t="s">
        <v>309</v>
      </c>
      <c r="C4" t="s">
        <v>372</v>
      </c>
      <c r="D4">
        <v>3</v>
      </c>
      <c r="E4" t="s">
        <v>28</v>
      </c>
      <c r="F4" t="s">
        <v>373</v>
      </c>
      <c r="G4">
        <f t="shared" si="0"/>
        <v>22.34375</v>
      </c>
      <c r="H4">
        <f t="shared" si="1"/>
        <v>0.46875</v>
      </c>
      <c r="I4">
        <v>43.83</v>
      </c>
      <c r="J4">
        <f t="shared" si="2"/>
        <v>77.1875</v>
      </c>
      <c r="K4">
        <v>0.85</v>
      </c>
      <c r="L4">
        <v>0.2</v>
      </c>
      <c r="M4">
        <v>0.7</v>
      </c>
      <c r="N4">
        <v>494</v>
      </c>
      <c r="O4">
        <v>143</v>
      </c>
      <c r="P4">
        <v>3</v>
      </c>
      <c r="Q4">
        <v>22.81</v>
      </c>
      <c r="R4" t="s">
        <v>375</v>
      </c>
      <c r="S4">
        <v>0.6</v>
      </c>
      <c r="U4">
        <v>49</v>
      </c>
    </row>
    <row r="5" spans="1:21" x14ac:dyDescent="0.25">
      <c r="A5" s="2">
        <v>46044.829861111109</v>
      </c>
      <c r="B5" t="s">
        <v>309</v>
      </c>
      <c r="C5" t="s">
        <v>372</v>
      </c>
      <c r="D5">
        <v>3</v>
      </c>
      <c r="E5" t="s">
        <v>29</v>
      </c>
      <c r="F5" t="s">
        <v>373</v>
      </c>
      <c r="G5">
        <f t="shared" si="0"/>
        <v>29.692832764505116</v>
      </c>
      <c r="H5">
        <f t="shared" si="1"/>
        <v>2.5597269624573378</v>
      </c>
      <c r="I5">
        <v>43.83</v>
      </c>
      <c r="J5">
        <f t="shared" si="2"/>
        <v>67.74744027303754</v>
      </c>
      <c r="K5">
        <v>0.85</v>
      </c>
      <c r="L5">
        <v>0.2</v>
      </c>
      <c r="M5">
        <v>0.7</v>
      </c>
      <c r="N5">
        <v>397</v>
      </c>
      <c r="O5">
        <v>174</v>
      </c>
      <c r="P5">
        <v>15</v>
      </c>
      <c r="Q5">
        <v>32.25</v>
      </c>
      <c r="R5" t="s">
        <v>375</v>
      </c>
      <c r="S5">
        <v>0.85</v>
      </c>
      <c r="U5">
        <v>78</v>
      </c>
    </row>
    <row r="6" spans="1:21" x14ac:dyDescent="0.25">
      <c r="A6" s="2">
        <v>46044.830555555556</v>
      </c>
      <c r="B6" t="s">
        <v>309</v>
      </c>
      <c r="C6" t="s">
        <v>372</v>
      </c>
      <c r="D6">
        <v>3</v>
      </c>
      <c r="E6" t="s">
        <v>32</v>
      </c>
      <c r="F6" t="s">
        <v>373</v>
      </c>
      <c r="G6">
        <f t="shared" si="0"/>
        <v>0.14792899408284024</v>
      </c>
      <c r="H6">
        <f t="shared" si="1"/>
        <v>0</v>
      </c>
      <c r="I6">
        <v>43.83</v>
      </c>
      <c r="J6">
        <f t="shared" si="2"/>
        <v>99.852071005917168</v>
      </c>
      <c r="K6">
        <v>0.85</v>
      </c>
      <c r="L6">
        <v>0.2</v>
      </c>
      <c r="M6">
        <v>0.7</v>
      </c>
      <c r="N6">
        <v>675</v>
      </c>
      <c r="O6">
        <v>1</v>
      </c>
      <c r="P6">
        <v>0</v>
      </c>
      <c r="Q6">
        <v>0.15</v>
      </c>
      <c r="R6" t="s">
        <v>371</v>
      </c>
      <c r="S6">
        <v>0</v>
      </c>
      <c r="U6">
        <v>5</v>
      </c>
    </row>
    <row r="7" spans="1:21" x14ac:dyDescent="0.25">
      <c r="A7" s="2">
        <v>46044.830555555556</v>
      </c>
      <c r="B7" t="s">
        <v>309</v>
      </c>
      <c r="C7" t="s">
        <v>372</v>
      </c>
      <c r="D7">
        <v>3</v>
      </c>
      <c r="E7" t="s">
        <v>34</v>
      </c>
      <c r="F7" t="s">
        <v>373</v>
      </c>
      <c r="G7">
        <f t="shared" si="0"/>
        <v>31.182795698924732</v>
      </c>
      <c r="H7">
        <f t="shared" si="1"/>
        <v>0.17921146953405018</v>
      </c>
      <c r="I7">
        <v>43.83</v>
      </c>
      <c r="J7">
        <f t="shared" si="2"/>
        <v>68.637992831541212</v>
      </c>
      <c r="K7">
        <v>0.85</v>
      </c>
      <c r="L7">
        <v>0.2</v>
      </c>
      <c r="M7">
        <v>0.7</v>
      </c>
      <c r="N7">
        <v>383</v>
      </c>
      <c r="O7">
        <v>174</v>
      </c>
      <c r="P7">
        <v>1</v>
      </c>
      <c r="Q7">
        <v>31.36</v>
      </c>
      <c r="R7" t="s">
        <v>375</v>
      </c>
      <c r="S7">
        <v>0.72</v>
      </c>
      <c r="U7">
        <v>105</v>
      </c>
    </row>
    <row r="8" spans="1:21" x14ac:dyDescent="0.25">
      <c r="A8" s="2">
        <v>46044.831250000003</v>
      </c>
      <c r="B8" t="s">
        <v>309</v>
      </c>
      <c r="C8" t="s">
        <v>372</v>
      </c>
      <c r="D8">
        <v>3</v>
      </c>
      <c r="E8" t="s">
        <v>36</v>
      </c>
      <c r="F8" t="s">
        <v>373</v>
      </c>
      <c r="G8">
        <f t="shared" si="0"/>
        <v>17.291066282420751</v>
      </c>
      <c r="H8">
        <f t="shared" si="1"/>
        <v>0.14409221902017291</v>
      </c>
      <c r="I8">
        <v>43.83</v>
      </c>
      <c r="J8">
        <f t="shared" si="2"/>
        <v>82.564841498559076</v>
      </c>
      <c r="K8">
        <v>0.85</v>
      </c>
      <c r="L8">
        <v>0.2</v>
      </c>
      <c r="M8">
        <v>0.7</v>
      </c>
      <c r="N8">
        <v>573</v>
      </c>
      <c r="O8">
        <v>120</v>
      </c>
      <c r="P8">
        <v>1</v>
      </c>
      <c r="Q8">
        <v>17.440000000000001</v>
      </c>
      <c r="R8" t="s">
        <v>376</v>
      </c>
      <c r="S8">
        <v>0.49</v>
      </c>
      <c r="U8">
        <v>38</v>
      </c>
    </row>
    <row r="9" spans="1:21" x14ac:dyDescent="0.25">
      <c r="A9" s="2">
        <v>46044.831250000003</v>
      </c>
      <c r="B9" t="s">
        <v>309</v>
      </c>
      <c r="C9" t="s">
        <v>372</v>
      </c>
      <c r="D9">
        <v>3</v>
      </c>
      <c r="E9" t="s">
        <v>37</v>
      </c>
      <c r="F9" t="s">
        <v>373</v>
      </c>
      <c r="G9">
        <f t="shared" si="0"/>
        <v>34.84251968503937</v>
      </c>
      <c r="H9">
        <f t="shared" si="1"/>
        <v>0.19685039370078738</v>
      </c>
      <c r="I9">
        <v>43.83</v>
      </c>
      <c r="J9">
        <f t="shared" si="2"/>
        <v>64.960629921259837</v>
      </c>
      <c r="K9">
        <v>0.85</v>
      </c>
      <c r="L9">
        <v>0.2</v>
      </c>
      <c r="M9">
        <v>0.7</v>
      </c>
      <c r="N9">
        <v>330</v>
      </c>
      <c r="O9">
        <v>177</v>
      </c>
      <c r="P9">
        <v>1</v>
      </c>
      <c r="Q9">
        <v>35.04</v>
      </c>
      <c r="R9" t="s">
        <v>376</v>
      </c>
      <c r="S9">
        <v>0.91</v>
      </c>
      <c r="U9">
        <v>67</v>
      </c>
    </row>
    <row r="10" spans="1:21" x14ac:dyDescent="0.25">
      <c r="A10" s="2">
        <v>46044.831250000003</v>
      </c>
      <c r="B10" t="s">
        <v>309</v>
      </c>
      <c r="C10" t="s">
        <v>372</v>
      </c>
      <c r="D10">
        <v>3</v>
      </c>
      <c r="E10" t="s">
        <v>41</v>
      </c>
      <c r="F10" t="s">
        <v>373</v>
      </c>
      <c r="G10">
        <f t="shared" si="0"/>
        <v>0.80515297906602246</v>
      </c>
      <c r="H10">
        <f t="shared" si="1"/>
        <v>0</v>
      </c>
      <c r="I10">
        <v>43.83</v>
      </c>
      <c r="J10">
        <f t="shared" si="2"/>
        <v>99.194847020933977</v>
      </c>
      <c r="K10">
        <v>0.85</v>
      </c>
      <c r="L10">
        <v>0.2</v>
      </c>
      <c r="M10">
        <v>0.7</v>
      </c>
      <c r="N10">
        <v>616</v>
      </c>
      <c r="O10">
        <v>5</v>
      </c>
      <c r="P10">
        <v>0</v>
      </c>
      <c r="Q10">
        <v>0.81</v>
      </c>
      <c r="R10" t="s">
        <v>371</v>
      </c>
      <c r="S10">
        <v>0.02</v>
      </c>
      <c r="U10">
        <v>18</v>
      </c>
    </row>
    <row r="11" spans="1:21" x14ac:dyDescent="0.25">
      <c r="A11" s="2">
        <v>46044.831944444442</v>
      </c>
      <c r="B11" t="s">
        <v>309</v>
      </c>
      <c r="C11" t="s">
        <v>372</v>
      </c>
      <c r="D11">
        <v>3</v>
      </c>
      <c r="E11" t="s">
        <v>42</v>
      </c>
      <c r="F11" t="s">
        <v>373</v>
      </c>
      <c r="G11">
        <f t="shared" si="0"/>
        <v>2.0437956204379564</v>
      </c>
      <c r="H11">
        <f t="shared" si="1"/>
        <v>0</v>
      </c>
      <c r="I11">
        <v>43.83</v>
      </c>
      <c r="J11">
        <f t="shared" si="2"/>
        <v>97.956204379562038</v>
      </c>
      <c r="K11">
        <v>0.85</v>
      </c>
      <c r="L11">
        <v>0.2</v>
      </c>
      <c r="M11">
        <v>0.7</v>
      </c>
      <c r="N11">
        <v>671</v>
      </c>
      <c r="O11">
        <v>14</v>
      </c>
      <c r="P11">
        <v>0</v>
      </c>
      <c r="Q11">
        <v>2.04</v>
      </c>
      <c r="R11" t="s">
        <v>371</v>
      </c>
      <c r="S11">
        <v>0.06</v>
      </c>
      <c r="U11">
        <v>17</v>
      </c>
    </row>
    <row r="12" spans="1:21" x14ac:dyDescent="0.25">
      <c r="A12" s="2">
        <v>46044.831944444442</v>
      </c>
      <c r="B12" t="s">
        <v>309</v>
      </c>
      <c r="C12" t="s">
        <v>372</v>
      </c>
      <c r="D12">
        <v>3</v>
      </c>
      <c r="E12" t="s">
        <v>43</v>
      </c>
      <c r="F12" t="s">
        <v>373</v>
      </c>
      <c r="G12">
        <f t="shared" si="0"/>
        <v>12.478336221837088</v>
      </c>
      <c r="H12">
        <f t="shared" si="1"/>
        <v>0</v>
      </c>
      <c r="I12">
        <v>43.83</v>
      </c>
      <c r="J12">
        <f t="shared" si="2"/>
        <v>87.521663778162917</v>
      </c>
      <c r="K12">
        <v>0.85</v>
      </c>
      <c r="L12">
        <v>0.2</v>
      </c>
      <c r="M12">
        <v>0.7</v>
      </c>
      <c r="N12">
        <v>505</v>
      </c>
      <c r="O12">
        <v>72</v>
      </c>
      <c r="P12">
        <v>0</v>
      </c>
      <c r="Q12">
        <v>12.48</v>
      </c>
      <c r="R12" t="s">
        <v>377</v>
      </c>
      <c r="S12">
        <v>0.3</v>
      </c>
      <c r="U12">
        <v>136</v>
      </c>
    </row>
    <row r="13" spans="1:21" x14ac:dyDescent="0.25">
      <c r="A13" s="2">
        <v>46044.832638888889</v>
      </c>
      <c r="B13" t="s">
        <v>309</v>
      </c>
      <c r="C13" t="s">
        <v>372</v>
      </c>
      <c r="D13">
        <v>3</v>
      </c>
      <c r="E13" t="s">
        <v>44</v>
      </c>
      <c r="F13" t="s">
        <v>373</v>
      </c>
      <c r="G13">
        <f t="shared" si="0"/>
        <v>17.931034482758619</v>
      </c>
      <c r="H13">
        <f t="shared" si="1"/>
        <v>0</v>
      </c>
      <c r="I13">
        <v>43.83</v>
      </c>
      <c r="J13">
        <f t="shared" si="2"/>
        <v>82.068965517241381</v>
      </c>
      <c r="K13">
        <v>0.85</v>
      </c>
      <c r="L13">
        <v>0.2</v>
      </c>
      <c r="M13">
        <v>0.7</v>
      </c>
      <c r="N13">
        <v>476</v>
      </c>
      <c r="O13">
        <v>104</v>
      </c>
      <c r="P13">
        <v>0</v>
      </c>
      <c r="Q13">
        <v>17.93</v>
      </c>
      <c r="R13" t="s">
        <v>377</v>
      </c>
      <c r="S13">
        <v>0.45</v>
      </c>
      <c r="U13">
        <v>60</v>
      </c>
    </row>
    <row r="14" spans="1:21" x14ac:dyDescent="0.25">
      <c r="A14" s="2">
        <v>46044.832638888889</v>
      </c>
      <c r="B14" t="s">
        <v>309</v>
      </c>
      <c r="C14" t="s">
        <v>372</v>
      </c>
      <c r="D14">
        <v>3</v>
      </c>
      <c r="E14" t="s">
        <v>45</v>
      </c>
      <c r="F14" t="s">
        <v>373</v>
      </c>
      <c r="G14">
        <f t="shared" si="0"/>
        <v>10.843373493975903</v>
      </c>
      <c r="H14">
        <f t="shared" si="1"/>
        <v>0</v>
      </c>
      <c r="I14">
        <v>43.83</v>
      </c>
      <c r="J14">
        <f t="shared" si="2"/>
        <v>89.156626506024097</v>
      </c>
      <c r="K14">
        <v>0.85</v>
      </c>
      <c r="L14">
        <v>0.2</v>
      </c>
      <c r="M14">
        <v>0.7</v>
      </c>
      <c r="N14">
        <v>518</v>
      </c>
      <c r="O14">
        <v>63</v>
      </c>
      <c r="P14">
        <v>0</v>
      </c>
      <c r="Q14">
        <v>10.84</v>
      </c>
      <c r="R14" t="s">
        <v>371</v>
      </c>
      <c r="S14">
        <v>0.26</v>
      </c>
      <c r="U14">
        <v>58</v>
      </c>
    </row>
    <row r="15" spans="1:21" x14ac:dyDescent="0.25">
      <c r="A15" s="2">
        <v>46044.832638888889</v>
      </c>
      <c r="B15" t="s">
        <v>309</v>
      </c>
      <c r="C15" t="s">
        <v>372</v>
      </c>
      <c r="D15">
        <v>3</v>
      </c>
      <c r="E15" t="s">
        <v>47</v>
      </c>
      <c r="F15" t="s">
        <v>373</v>
      </c>
      <c r="G15">
        <f t="shared" si="0"/>
        <v>24.719101123595504</v>
      </c>
      <c r="H15">
        <f t="shared" si="1"/>
        <v>0.16051364365971107</v>
      </c>
      <c r="I15">
        <v>43.83</v>
      </c>
      <c r="J15">
        <f t="shared" si="2"/>
        <v>75.120385232744781</v>
      </c>
      <c r="K15">
        <v>0.85</v>
      </c>
      <c r="L15">
        <v>0.2</v>
      </c>
      <c r="M15">
        <v>0.7</v>
      </c>
      <c r="N15">
        <v>468</v>
      </c>
      <c r="O15">
        <v>154</v>
      </c>
      <c r="P15">
        <v>1</v>
      </c>
      <c r="Q15">
        <v>24.88</v>
      </c>
      <c r="R15" t="s">
        <v>375</v>
      </c>
      <c r="S15">
        <v>0.65</v>
      </c>
      <c r="U15">
        <v>84</v>
      </c>
    </row>
    <row r="16" spans="1:21" x14ac:dyDescent="0.25">
      <c r="A16" s="2">
        <v>46044.833333333336</v>
      </c>
      <c r="B16" t="s">
        <v>309</v>
      </c>
      <c r="C16" t="s">
        <v>372</v>
      </c>
      <c r="D16">
        <v>3</v>
      </c>
      <c r="E16" t="s">
        <v>52</v>
      </c>
      <c r="F16" t="s">
        <v>373</v>
      </c>
      <c r="G16">
        <f t="shared" si="0"/>
        <v>14.741641337386019</v>
      </c>
      <c r="H16">
        <f t="shared" si="1"/>
        <v>0.1519756838905775</v>
      </c>
      <c r="I16">
        <v>43.83</v>
      </c>
      <c r="J16">
        <f t="shared" si="2"/>
        <v>85.106382978723403</v>
      </c>
      <c r="K16">
        <v>0.85</v>
      </c>
      <c r="L16">
        <v>0.2</v>
      </c>
      <c r="M16">
        <v>0.7</v>
      </c>
      <c r="N16">
        <v>560</v>
      </c>
      <c r="O16">
        <v>97</v>
      </c>
      <c r="P16">
        <v>1</v>
      </c>
      <c r="Q16">
        <v>14.89</v>
      </c>
      <c r="R16" t="s">
        <v>376</v>
      </c>
      <c r="S16">
        <v>0.38</v>
      </c>
      <c r="U16">
        <v>88</v>
      </c>
    </row>
    <row r="17" spans="1:21" x14ac:dyDescent="0.25">
      <c r="A17" s="2">
        <v>46044.833333333336</v>
      </c>
      <c r="B17" t="s">
        <v>309</v>
      </c>
      <c r="C17" t="s">
        <v>372</v>
      </c>
      <c r="D17">
        <v>3</v>
      </c>
      <c r="E17" t="s">
        <v>53</v>
      </c>
      <c r="F17" t="s">
        <v>373</v>
      </c>
      <c r="G17">
        <f t="shared" si="0"/>
        <v>82.344428364688866</v>
      </c>
      <c r="H17">
        <f t="shared" si="1"/>
        <v>1.8813314037626629</v>
      </c>
      <c r="I17">
        <v>43.83</v>
      </c>
      <c r="J17">
        <f t="shared" si="2"/>
        <v>15.774240231548481</v>
      </c>
      <c r="K17">
        <v>0.85</v>
      </c>
      <c r="L17">
        <v>0.2</v>
      </c>
      <c r="M17">
        <v>0.7</v>
      </c>
      <c r="N17">
        <v>109</v>
      </c>
      <c r="O17">
        <v>569</v>
      </c>
      <c r="P17">
        <v>13</v>
      </c>
      <c r="Q17">
        <v>84.23</v>
      </c>
      <c r="R17" t="s">
        <v>378</v>
      </c>
      <c r="S17">
        <v>2.5299999999999998</v>
      </c>
      <c r="U17">
        <v>26</v>
      </c>
    </row>
    <row r="18" spans="1:21" x14ac:dyDescent="0.25">
      <c r="A18" s="2">
        <v>46044.834027777775</v>
      </c>
      <c r="B18" t="s">
        <v>309</v>
      </c>
      <c r="C18" t="s">
        <v>372</v>
      </c>
      <c r="D18">
        <v>3</v>
      </c>
      <c r="E18" t="s">
        <v>54</v>
      </c>
      <c r="F18" t="s">
        <v>373</v>
      </c>
      <c r="G18">
        <f t="shared" si="0"/>
        <v>0.74404761904761896</v>
      </c>
      <c r="H18">
        <f t="shared" si="1"/>
        <v>0</v>
      </c>
      <c r="I18">
        <v>43.83</v>
      </c>
      <c r="J18">
        <f t="shared" si="2"/>
        <v>99.25595238095238</v>
      </c>
      <c r="K18">
        <v>0.85</v>
      </c>
      <c r="L18">
        <v>0.2</v>
      </c>
      <c r="M18">
        <v>0.7</v>
      </c>
      <c r="N18">
        <v>667</v>
      </c>
      <c r="O18">
        <v>5</v>
      </c>
      <c r="P18">
        <v>0</v>
      </c>
      <c r="Q18">
        <v>0.74</v>
      </c>
      <c r="R18" t="s">
        <v>371</v>
      </c>
      <c r="S18">
        <v>0.02</v>
      </c>
      <c r="U18">
        <v>4</v>
      </c>
    </row>
    <row r="19" spans="1:21" x14ac:dyDescent="0.25">
      <c r="A19" s="2">
        <v>46044.834027777775</v>
      </c>
      <c r="B19" t="s">
        <v>309</v>
      </c>
      <c r="C19" t="s">
        <v>372</v>
      </c>
      <c r="D19">
        <v>3</v>
      </c>
      <c r="E19" t="s">
        <v>57</v>
      </c>
      <c r="F19" t="s">
        <v>373</v>
      </c>
      <c r="G19">
        <f t="shared" si="0"/>
        <v>20.787401574803148</v>
      </c>
      <c r="H19">
        <f t="shared" si="1"/>
        <v>0</v>
      </c>
      <c r="I19">
        <v>43.83</v>
      </c>
      <c r="J19">
        <f t="shared" si="2"/>
        <v>79.212598425196845</v>
      </c>
      <c r="K19">
        <v>0.85</v>
      </c>
      <c r="L19">
        <v>0.2</v>
      </c>
      <c r="M19">
        <v>0.7</v>
      </c>
      <c r="N19">
        <v>503</v>
      </c>
      <c r="O19">
        <v>132</v>
      </c>
      <c r="P19">
        <v>0</v>
      </c>
      <c r="Q19">
        <v>20.79</v>
      </c>
      <c r="R19" t="s">
        <v>376</v>
      </c>
      <c r="S19">
        <v>0.52</v>
      </c>
      <c r="U19">
        <v>38</v>
      </c>
    </row>
    <row r="20" spans="1:21" x14ac:dyDescent="0.25">
      <c r="A20" s="2">
        <v>46044.834722222222</v>
      </c>
      <c r="B20" t="s">
        <v>309</v>
      </c>
      <c r="C20" t="s">
        <v>372</v>
      </c>
      <c r="D20">
        <v>3</v>
      </c>
      <c r="E20" t="s">
        <v>59</v>
      </c>
      <c r="F20" t="s">
        <v>373</v>
      </c>
      <c r="G20">
        <f t="shared" si="0"/>
        <v>57.680250783699059</v>
      </c>
      <c r="H20">
        <f t="shared" si="1"/>
        <v>0</v>
      </c>
      <c r="I20">
        <v>43.83</v>
      </c>
      <c r="J20">
        <f t="shared" si="2"/>
        <v>42.319749216300941</v>
      </c>
      <c r="K20">
        <v>0.85</v>
      </c>
      <c r="L20">
        <v>0.2</v>
      </c>
      <c r="M20">
        <v>0.7</v>
      </c>
      <c r="N20">
        <v>270</v>
      </c>
      <c r="O20">
        <v>368</v>
      </c>
      <c r="P20">
        <v>0</v>
      </c>
      <c r="Q20">
        <v>57.68</v>
      </c>
      <c r="R20" t="s">
        <v>379</v>
      </c>
      <c r="S20">
        <v>1.61</v>
      </c>
      <c r="U20">
        <v>76</v>
      </c>
    </row>
    <row r="21" spans="1:21" x14ac:dyDescent="0.25">
      <c r="A21" s="2">
        <v>46044.834722222222</v>
      </c>
      <c r="B21" t="s">
        <v>309</v>
      </c>
      <c r="C21" t="s">
        <v>372</v>
      </c>
      <c r="D21">
        <v>3</v>
      </c>
      <c r="E21" t="s">
        <v>60</v>
      </c>
      <c r="F21" t="s">
        <v>373</v>
      </c>
      <c r="G21">
        <f t="shared" si="0"/>
        <v>0.77160493827160492</v>
      </c>
      <c r="H21">
        <f t="shared" si="1"/>
        <v>0</v>
      </c>
      <c r="I21">
        <v>43.83</v>
      </c>
      <c r="J21">
        <f t="shared" si="2"/>
        <v>99.228395061728392</v>
      </c>
      <c r="K21">
        <v>0.85</v>
      </c>
      <c r="L21">
        <v>0.2</v>
      </c>
      <c r="M21">
        <v>0.7</v>
      </c>
      <c r="N21">
        <v>643</v>
      </c>
      <c r="O21">
        <v>5</v>
      </c>
      <c r="P21">
        <v>0</v>
      </c>
      <c r="Q21">
        <v>0.77</v>
      </c>
      <c r="R21" t="s">
        <v>374</v>
      </c>
      <c r="S21">
        <v>0.02</v>
      </c>
      <c r="U21">
        <v>22</v>
      </c>
    </row>
    <row r="22" spans="1:21" x14ac:dyDescent="0.25">
      <c r="A22" s="2">
        <v>46044.835416666669</v>
      </c>
      <c r="B22" t="s">
        <v>309</v>
      </c>
      <c r="C22" t="s">
        <v>372</v>
      </c>
      <c r="D22">
        <v>3</v>
      </c>
      <c r="E22" t="s">
        <v>61</v>
      </c>
      <c r="F22" t="s">
        <v>373</v>
      </c>
      <c r="G22">
        <f t="shared" si="0"/>
        <v>17.138364779874212</v>
      </c>
      <c r="H22">
        <f t="shared" si="1"/>
        <v>0.31446540880503149</v>
      </c>
      <c r="I22">
        <v>43.83</v>
      </c>
      <c r="J22">
        <f t="shared" si="2"/>
        <v>82.547169811320757</v>
      </c>
      <c r="K22">
        <v>0.85</v>
      </c>
      <c r="L22">
        <v>0.2</v>
      </c>
      <c r="M22">
        <v>0.7</v>
      </c>
      <c r="N22">
        <v>525</v>
      </c>
      <c r="O22">
        <v>109</v>
      </c>
      <c r="P22">
        <v>2</v>
      </c>
      <c r="Q22">
        <v>17.45</v>
      </c>
      <c r="R22" t="s">
        <v>377</v>
      </c>
      <c r="S22">
        <v>0.47</v>
      </c>
      <c r="U22">
        <v>38</v>
      </c>
    </row>
    <row r="23" spans="1:21" x14ac:dyDescent="0.25">
      <c r="A23" s="2">
        <v>46044.835416666669</v>
      </c>
      <c r="B23" t="s">
        <v>309</v>
      </c>
      <c r="C23" t="s">
        <v>372</v>
      </c>
      <c r="D23">
        <v>3</v>
      </c>
      <c r="E23" t="s">
        <v>63</v>
      </c>
      <c r="F23" t="s">
        <v>373</v>
      </c>
      <c r="G23">
        <f t="shared" si="0"/>
        <v>38.07106598984771</v>
      </c>
      <c r="H23">
        <f t="shared" si="1"/>
        <v>0.50761421319796951</v>
      </c>
      <c r="I23">
        <v>43.83</v>
      </c>
      <c r="J23">
        <f t="shared" si="2"/>
        <v>61.421319796954307</v>
      </c>
      <c r="K23">
        <v>0.85</v>
      </c>
      <c r="L23">
        <v>0.2</v>
      </c>
      <c r="M23">
        <v>0.7</v>
      </c>
      <c r="N23">
        <v>363</v>
      </c>
      <c r="O23">
        <v>225</v>
      </c>
      <c r="P23">
        <v>3</v>
      </c>
      <c r="Q23">
        <v>38.58</v>
      </c>
      <c r="R23" t="s">
        <v>380</v>
      </c>
      <c r="S23">
        <v>1.08</v>
      </c>
      <c r="U23">
        <v>68</v>
      </c>
    </row>
    <row r="24" spans="1:21" x14ac:dyDescent="0.25">
      <c r="A24" s="2">
        <v>46044.835416666669</v>
      </c>
      <c r="B24" t="s">
        <v>309</v>
      </c>
      <c r="C24" t="s">
        <v>372</v>
      </c>
      <c r="D24">
        <v>3</v>
      </c>
      <c r="E24" t="s">
        <v>64</v>
      </c>
      <c r="F24" t="s">
        <v>373</v>
      </c>
      <c r="G24">
        <f t="shared" si="0"/>
        <v>5.7268722466960353</v>
      </c>
      <c r="H24">
        <f t="shared" si="1"/>
        <v>0</v>
      </c>
      <c r="I24">
        <v>43.83</v>
      </c>
      <c r="J24">
        <f t="shared" si="2"/>
        <v>94.273127753303967</v>
      </c>
      <c r="K24">
        <v>0.85</v>
      </c>
      <c r="L24">
        <v>0.2</v>
      </c>
      <c r="M24">
        <v>0.7</v>
      </c>
      <c r="N24">
        <v>428</v>
      </c>
      <c r="O24">
        <v>26</v>
      </c>
      <c r="P24">
        <v>0</v>
      </c>
      <c r="Q24">
        <v>5.73</v>
      </c>
      <c r="R24" t="s">
        <v>381</v>
      </c>
      <c r="S24">
        <v>0.16</v>
      </c>
      <c r="U24">
        <v>11</v>
      </c>
    </row>
    <row r="25" spans="1:21" x14ac:dyDescent="0.25">
      <c r="A25" s="2">
        <v>46044.836111111108</v>
      </c>
      <c r="B25" t="s">
        <v>309</v>
      </c>
      <c r="C25" t="s">
        <v>372</v>
      </c>
      <c r="D25">
        <v>3</v>
      </c>
      <c r="E25" t="s">
        <v>69</v>
      </c>
      <c r="F25" t="s">
        <v>373</v>
      </c>
      <c r="G25">
        <f t="shared" si="0"/>
        <v>0.667779632721202</v>
      </c>
      <c r="H25">
        <f t="shared" si="1"/>
        <v>0</v>
      </c>
      <c r="I25">
        <v>43.83</v>
      </c>
      <c r="J25">
        <f t="shared" si="2"/>
        <v>99.332220367278808</v>
      </c>
      <c r="K25">
        <v>0.85</v>
      </c>
      <c r="L25">
        <v>0.2</v>
      </c>
      <c r="M25">
        <v>0.7</v>
      </c>
      <c r="N25">
        <v>595</v>
      </c>
      <c r="O25">
        <v>4</v>
      </c>
      <c r="P25">
        <v>0</v>
      </c>
      <c r="Q25">
        <v>0.67</v>
      </c>
      <c r="R25" t="s">
        <v>374</v>
      </c>
      <c r="S25">
        <v>0.02</v>
      </c>
      <c r="U25">
        <v>15</v>
      </c>
    </row>
    <row r="26" spans="1:21" x14ac:dyDescent="0.25">
      <c r="A26" s="2">
        <v>46044.836111111108</v>
      </c>
      <c r="B26" t="s">
        <v>309</v>
      </c>
      <c r="C26" t="s">
        <v>372</v>
      </c>
      <c r="D26">
        <v>3</v>
      </c>
      <c r="E26" t="s">
        <v>70</v>
      </c>
      <c r="F26" t="s">
        <v>373</v>
      </c>
      <c r="G26">
        <f t="shared" si="0"/>
        <v>5.7565789473684212</v>
      </c>
      <c r="H26">
        <f t="shared" si="1"/>
        <v>0</v>
      </c>
      <c r="I26">
        <v>43.83</v>
      </c>
      <c r="J26">
        <f t="shared" si="2"/>
        <v>94.243421052631575</v>
      </c>
      <c r="K26">
        <v>0.85</v>
      </c>
      <c r="L26">
        <v>0.2</v>
      </c>
      <c r="M26">
        <v>0.7</v>
      </c>
      <c r="N26">
        <v>573</v>
      </c>
      <c r="O26">
        <v>35</v>
      </c>
      <c r="P26">
        <v>0</v>
      </c>
      <c r="Q26">
        <v>5.76</v>
      </c>
      <c r="R26" t="s">
        <v>371</v>
      </c>
      <c r="S26">
        <v>0.15</v>
      </c>
      <c r="U26">
        <v>54</v>
      </c>
    </row>
    <row r="27" spans="1:21" x14ac:dyDescent="0.25">
      <c r="A27" s="2">
        <v>46044.836805555555</v>
      </c>
      <c r="B27" t="s">
        <v>309</v>
      </c>
      <c r="C27" t="s">
        <v>372</v>
      </c>
      <c r="D27">
        <v>3</v>
      </c>
      <c r="E27" t="s">
        <v>71</v>
      </c>
      <c r="F27" t="s">
        <v>373</v>
      </c>
      <c r="G27">
        <f t="shared" si="0"/>
        <v>7.7170418006430879</v>
      </c>
      <c r="H27">
        <f t="shared" si="1"/>
        <v>0</v>
      </c>
      <c r="I27">
        <v>43.83</v>
      </c>
      <c r="J27">
        <f t="shared" si="2"/>
        <v>92.282958199356912</v>
      </c>
      <c r="K27">
        <v>0.85</v>
      </c>
      <c r="L27">
        <v>0.2</v>
      </c>
      <c r="M27">
        <v>0.7</v>
      </c>
      <c r="N27">
        <v>574</v>
      </c>
      <c r="O27">
        <v>48</v>
      </c>
      <c r="P27">
        <v>0</v>
      </c>
      <c r="Q27">
        <v>7.72</v>
      </c>
      <c r="R27" t="s">
        <v>371</v>
      </c>
      <c r="S27">
        <v>0.2</v>
      </c>
      <c r="U27">
        <v>72</v>
      </c>
    </row>
    <row r="28" spans="1:21" x14ac:dyDescent="0.25">
      <c r="A28" s="2">
        <v>46044.836805555555</v>
      </c>
      <c r="B28" t="s">
        <v>309</v>
      </c>
      <c r="C28" t="s">
        <v>372</v>
      </c>
      <c r="D28">
        <v>3</v>
      </c>
      <c r="E28" t="s">
        <v>72</v>
      </c>
      <c r="F28" t="s">
        <v>373</v>
      </c>
      <c r="G28">
        <f t="shared" si="0"/>
        <v>24.955752212389381</v>
      </c>
      <c r="H28">
        <f t="shared" si="1"/>
        <v>0</v>
      </c>
      <c r="I28">
        <v>43.83</v>
      </c>
      <c r="J28">
        <f t="shared" si="2"/>
        <v>75.044247787610615</v>
      </c>
      <c r="K28">
        <v>0.85</v>
      </c>
      <c r="L28">
        <v>0.2</v>
      </c>
      <c r="M28">
        <v>0.7</v>
      </c>
      <c r="N28">
        <v>424</v>
      </c>
      <c r="O28">
        <v>141</v>
      </c>
      <c r="P28">
        <v>0</v>
      </c>
      <c r="Q28">
        <v>24.96</v>
      </c>
      <c r="R28" t="s">
        <v>376</v>
      </c>
      <c r="S28">
        <v>0.6</v>
      </c>
      <c r="U28">
        <v>123</v>
      </c>
    </row>
    <row r="29" spans="1:21" x14ac:dyDescent="0.25">
      <c r="A29" s="2">
        <v>46044.836805555555</v>
      </c>
      <c r="B29" t="s">
        <v>309</v>
      </c>
      <c r="C29" t="s">
        <v>372</v>
      </c>
      <c r="D29">
        <v>3</v>
      </c>
      <c r="E29" t="s">
        <v>74</v>
      </c>
      <c r="F29" t="s">
        <v>373</v>
      </c>
      <c r="G29">
        <f t="shared" si="0"/>
        <v>0.85592011412268187</v>
      </c>
      <c r="H29">
        <f t="shared" si="1"/>
        <v>0.14265335235378032</v>
      </c>
      <c r="I29">
        <v>43.83</v>
      </c>
      <c r="J29">
        <f t="shared" si="2"/>
        <v>99.001426533523542</v>
      </c>
      <c r="K29">
        <v>0.85</v>
      </c>
      <c r="L29">
        <v>0.2</v>
      </c>
      <c r="M29">
        <v>0.7</v>
      </c>
      <c r="N29">
        <v>694</v>
      </c>
      <c r="O29">
        <v>6</v>
      </c>
      <c r="P29">
        <v>1</v>
      </c>
      <c r="Q29">
        <v>1</v>
      </c>
      <c r="R29" t="s">
        <v>371</v>
      </c>
      <c r="S29">
        <v>0.03</v>
      </c>
      <c r="U29">
        <v>28</v>
      </c>
    </row>
    <row r="30" spans="1:21" x14ac:dyDescent="0.25">
      <c r="A30" s="2">
        <v>46044.837500000001</v>
      </c>
      <c r="B30" t="s">
        <v>309</v>
      </c>
      <c r="C30" t="s">
        <v>372</v>
      </c>
      <c r="D30">
        <v>3</v>
      </c>
      <c r="E30" t="s">
        <v>75</v>
      </c>
      <c r="F30" t="s">
        <v>373</v>
      </c>
      <c r="G30">
        <f t="shared" si="0"/>
        <v>1.8461538461538463</v>
      </c>
      <c r="H30">
        <f t="shared" si="1"/>
        <v>0</v>
      </c>
      <c r="I30">
        <v>43.83</v>
      </c>
      <c r="J30">
        <f t="shared" si="2"/>
        <v>98.15384615384616</v>
      </c>
      <c r="K30">
        <v>0.85</v>
      </c>
      <c r="L30">
        <v>0.2</v>
      </c>
      <c r="M30">
        <v>0.7</v>
      </c>
      <c r="N30">
        <v>638</v>
      </c>
      <c r="O30">
        <v>12</v>
      </c>
      <c r="P30">
        <v>0</v>
      </c>
      <c r="Q30">
        <v>1.85</v>
      </c>
      <c r="R30" t="s">
        <v>371</v>
      </c>
      <c r="S30">
        <v>0.04</v>
      </c>
      <c r="U30">
        <v>27</v>
      </c>
    </row>
    <row r="31" spans="1:21" x14ac:dyDescent="0.25">
      <c r="A31" s="2">
        <v>46044.837500000001</v>
      </c>
      <c r="B31" t="s">
        <v>309</v>
      </c>
      <c r="C31" t="s">
        <v>372</v>
      </c>
      <c r="D31">
        <v>3</v>
      </c>
      <c r="E31" t="s">
        <v>323</v>
      </c>
      <c r="F31" t="s">
        <v>373</v>
      </c>
      <c r="G31">
        <f t="shared" si="0"/>
        <v>10.08</v>
      </c>
      <c r="H31">
        <f t="shared" si="1"/>
        <v>0</v>
      </c>
      <c r="I31">
        <v>43.83</v>
      </c>
      <c r="J31">
        <f t="shared" si="2"/>
        <v>89.92</v>
      </c>
      <c r="K31">
        <v>0.85</v>
      </c>
      <c r="L31">
        <v>0.2</v>
      </c>
      <c r="M31">
        <v>0.7</v>
      </c>
      <c r="N31">
        <v>562</v>
      </c>
      <c r="O31">
        <v>63</v>
      </c>
      <c r="P31">
        <v>0</v>
      </c>
      <c r="Q31">
        <v>10.08</v>
      </c>
      <c r="R31" t="s">
        <v>371</v>
      </c>
      <c r="S31">
        <v>0.25</v>
      </c>
      <c r="U31">
        <v>57</v>
      </c>
    </row>
    <row r="32" spans="1:21" x14ac:dyDescent="0.25">
      <c r="A32" s="2">
        <v>46044.838194444441</v>
      </c>
      <c r="B32" t="s">
        <v>309</v>
      </c>
      <c r="C32" t="s">
        <v>372</v>
      </c>
      <c r="D32">
        <v>3</v>
      </c>
      <c r="E32" t="s">
        <v>81</v>
      </c>
      <c r="F32" t="s">
        <v>373</v>
      </c>
      <c r="G32">
        <f t="shared" si="0"/>
        <v>39.544513457556931</v>
      </c>
      <c r="H32">
        <f t="shared" si="1"/>
        <v>1.6563146997929608</v>
      </c>
      <c r="I32">
        <v>43.83</v>
      </c>
      <c r="J32">
        <f t="shared" si="2"/>
        <v>58.799171842650097</v>
      </c>
      <c r="K32">
        <v>0.85</v>
      </c>
      <c r="L32">
        <v>0.2</v>
      </c>
      <c r="M32">
        <v>0.7</v>
      </c>
      <c r="N32">
        <v>284</v>
      </c>
      <c r="O32">
        <v>191</v>
      </c>
      <c r="P32">
        <v>8</v>
      </c>
      <c r="Q32">
        <v>41.2</v>
      </c>
      <c r="R32" t="s">
        <v>377</v>
      </c>
      <c r="S32">
        <v>1.1499999999999999</v>
      </c>
      <c r="U32">
        <v>31</v>
      </c>
    </row>
    <row r="33" spans="1:21" x14ac:dyDescent="0.25">
      <c r="A33" s="2">
        <v>46044.838194444441</v>
      </c>
      <c r="B33" t="s">
        <v>309</v>
      </c>
      <c r="C33" t="s">
        <v>372</v>
      </c>
      <c r="D33">
        <v>3</v>
      </c>
      <c r="E33" t="s">
        <v>83</v>
      </c>
      <c r="F33" t="s">
        <v>373</v>
      </c>
      <c r="G33">
        <f t="shared" si="0"/>
        <v>61.788617886178862</v>
      </c>
      <c r="H33">
        <f t="shared" si="1"/>
        <v>1.6260162601626018</v>
      </c>
      <c r="I33">
        <v>43.83</v>
      </c>
      <c r="J33">
        <f t="shared" si="2"/>
        <v>36.585365853658537</v>
      </c>
      <c r="K33">
        <v>0.85</v>
      </c>
      <c r="L33">
        <v>0.2</v>
      </c>
      <c r="M33">
        <v>0.7</v>
      </c>
      <c r="N33">
        <v>225</v>
      </c>
      <c r="O33">
        <v>380</v>
      </c>
      <c r="P33">
        <v>10</v>
      </c>
      <c r="Q33">
        <v>63.41</v>
      </c>
      <c r="R33" t="s">
        <v>382</v>
      </c>
      <c r="S33">
        <v>1.82</v>
      </c>
      <c r="U33">
        <v>34</v>
      </c>
    </row>
    <row r="34" spans="1:21" x14ac:dyDescent="0.25">
      <c r="A34" s="2">
        <v>46044.838194444441</v>
      </c>
      <c r="B34" t="s">
        <v>309</v>
      </c>
      <c r="C34" t="s">
        <v>372</v>
      </c>
      <c r="D34">
        <v>3</v>
      </c>
      <c r="E34" t="s">
        <v>84</v>
      </c>
      <c r="F34" t="s">
        <v>373</v>
      </c>
      <c r="G34">
        <f t="shared" si="0"/>
        <v>4.8042704626334514</v>
      </c>
      <c r="H34">
        <f t="shared" si="1"/>
        <v>0</v>
      </c>
      <c r="I34">
        <v>43.83</v>
      </c>
      <c r="J34">
        <f t="shared" si="2"/>
        <v>95.195729537366546</v>
      </c>
      <c r="K34">
        <v>0.85</v>
      </c>
      <c r="L34">
        <v>0.2</v>
      </c>
      <c r="M34">
        <v>0.7</v>
      </c>
      <c r="N34">
        <v>535</v>
      </c>
      <c r="O34">
        <v>27</v>
      </c>
      <c r="P34">
        <v>0</v>
      </c>
      <c r="Q34">
        <v>4.8</v>
      </c>
      <c r="R34" t="s">
        <v>377</v>
      </c>
      <c r="S34">
        <v>0.11</v>
      </c>
      <c r="U34">
        <v>101</v>
      </c>
    </row>
    <row r="35" spans="1:21" x14ac:dyDescent="0.25">
      <c r="A35" s="2">
        <v>46044.838888888888</v>
      </c>
      <c r="B35" t="s">
        <v>309</v>
      </c>
      <c r="C35" t="s">
        <v>372</v>
      </c>
      <c r="D35">
        <v>3</v>
      </c>
      <c r="E35" t="s">
        <v>86</v>
      </c>
      <c r="F35" t="s">
        <v>373</v>
      </c>
      <c r="G35">
        <f t="shared" si="0"/>
        <v>2.0933977455716586</v>
      </c>
      <c r="H35">
        <f t="shared" si="1"/>
        <v>0</v>
      </c>
      <c r="I35">
        <v>43.83</v>
      </c>
      <c r="J35">
        <f t="shared" si="2"/>
        <v>97.90660225442835</v>
      </c>
      <c r="K35">
        <v>0.85</v>
      </c>
      <c r="L35">
        <v>0.2</v>
      </c>
      <c r="M35">
        <v>0.7</v>
      </c>
      <c r="N35">
        <v>608</v>
      </c>
      <c r="O35">
        <v>13</v>
      </c>
      <c r="P35">
        <v>0</v>
      </c>
      <c r="Q35">
        <v>2.09</v>
      </c>
      <c r="R35" t="s">
        <v>371</v>
      </c>
      <c r="S35">
        <v>0.05</v>
      </c>
      <c r="U35">
        <v>36</v>
      </c>
    </row>
    <row r="36" spans="1:21" x14ac:dyDescent="0.25">
      <c r="A36" s="2">
        <v>46044.838888888888</v>
      </c>
      <c r="B36" t="s">
        <v>309</v>
      </c>
      <c r="C36" t="s">
        <v>372</v>
      </c>
      <c r="D36">
        <v>3</v>
      </c>
      <c r="E36" t="s">
        <v>87</v>
      </c>
      <c r="F36" t="s">
        <v>373</v>
      </c>
      <c r="G36">
        <f t="shared" si="0"/>
        <v>0.92307692307692313</v>
      </c>
      <c r="H36">
        <f t="shared" si="1"/>
        <v>0</v>
      </c>
      <c r="I36">
        <v>43.83</v>
      </c>
      <c r="J36">
        <f t="shared" si="2"/>
        <v>99.07692307692308</v>
      </c>
      <c r="K36">
        <v>0.85</v>
      </c>
      <c r="L36">
        <v>0.2</v>
      </c>
      <c r="M36">
        <v>0.7</v>
      </c>
      <c r="N36">
        <v>644</v>
      </c>
      <c r="O36">
        <v>6</v>
      </c>
      <c r="P36">
        <v>0</v>
      </c>
      <c r="Q36">
        <v>0.92</v>
      </c>
      <c r="R36" t="s">
        <v>371</v>
      </c>
      <c r="S36">
        <v>0.02</v>
      </c>
      <c r="U36">
        <v>30</v>
      </c>
    </row>
    <row r="37" spans="1:21" x14ac:dyDescent="0.25">
      <c r="A37" s="2">
        <v>46044.839583333334</v>
      </c>
      <c r="B37" t="s">
        <v>309</v>
      </c>
      <c r="C37" t="s">
        <v>372</v>
      </c>
      <c r="D37">
        <v>3</v>
      </c>
      <c r="E37" t="s">
        <v>89</v>
      </c>
      <c r="F37" t="s">
        <v>373</v>
      </c>
      <c r="G37">
        <f t="shared" si="0"/>
        <v>2.8192371475953566</v>
      </c>
      <c r="H37">
        <f t="shared" si="1"/>
        <v>0.16583747927031509</v>
      </c>
      <c r="I37">
        <v>43.83</v>
      </c>
      <c r="J37">
        <f t="shared" si="2"/>
        <v>97.014925373134332</v>
      </c>
      <c r="K37">
        <v>0.85</v>
      </c>
      <c r="L37">
        <v>0.2</v>
      </c>
      <c r="M37">
        <v>0.7</v>
      </c>
      <c r="N37">
        <v>585</v>
      </c>
      <c r="O37">
        <v>17</v>
      </c>
      <c r="P37">
        <v>1</v>
      </c>
      <c r="Q37">
        <v>2.99</v>
      </c>
      <c r="R37" t="s">
        <v>371</v>
      </c>
      <c r="S37">
        <v>0.08</v>
      </c>
      <c r="U37">
        <v>48</v>
      </c>
    </row>
    <row r="38" spans="1:21" x14ac:dyDescent="0.25">
      <c r="A38" s="2">
        <v>46044.839583333334</v>
      </c>
      <c r="B38" t="s">
        <v>309</v>
      </c>
      <c r="C38" t="s">
        <v>372</v>
      </c>
      <c r="D38">
        <v>3</v>
      </c>
      <c r="E38" t="s">
        <v>92</v>
      </c>
      <c r="F38" t="s">
        <v>373</v>
      </c>
      <c r="G38">
        <f t="shared" si="0"/>
        <v>0</v>
      </c>
      <c r="H38">
        <f t="shared" si="1"/>
        <v>0</v>
      </c>
      <c r="I38">
        <v>43.83</v>
      </c>
      <c r="J38">
        <f t="shared" si="2"/>
        <v>100</v>
      </c>
      <c r="K38">
        <v>0.85</v>
      </c>
      <c r="L38">
        <v>0.2</v>
      </c>
      <c r="M38">
        <v>0.7</v>
      </c>
      <c r="N38">
        <v>661</v>
      </c>
      <c r="O38">
        <v>0</v>
      </c>
      <c r="P38">
        <v>0</v>
      </c>
      <c r="Q38">
        <v>0</v>
      </c>
      <c r="R38" t="s">
        <v>371</v>
      </c>
      <c r="S38">
        <v>0</v>
      </c>
      <c r="U38">
        <v>18</v>
      </c>
    </row>
    <row r="39" spans="1:21" x14ac:dyDescent="0.25">
      <c r="A39" s="2">
        <v>46044.839583333334</v>
      </c>
      <c r="B39" t="s">
        <v>309</v>
      </c>
      <c r="C39" t="s">
        <v>372</v>
      </c>
      <c r="D39">
        <v>3</v>
      </c>
      <c r="E39" t="s">
        <v>94</v>
      </c>
      <c r="F39" t="s">
        <v>373</v>
      </c>
      <c r="G39">
        <f t="shared" si="0"/>
        <v>0.68493150684931503</v>
      </c>
      <c r="H39">
        <f t="shared" si="1"/>
        <v>0.17123287671232876</v>
      </c>
      <c r="I39">
        <v>43.83</v>
      </c>
      <c r="J39">
        <f t="shared" si="2"/>
        <v>99.143835616438352</v>
      </c>
      <c r="K39">
        <v>0.85</v>
      </c>
      <c r="L39">
        <v>0.2</v>
      </c>
      <c r="M39">
        <v>0.7</v>
      </c>
      <c r="N39">
        <v>579</v>
      </c>
      <c r="O39">
        <v>4</v>
      </c>
      <c r="P39">
        <v>1</v>
      </c>
      <c r="Q39">
        <v>0.86</v>
      </c>
      <c r="R39" t="s">
        <v>374</v>
      </c>
      <c r="S39">
        <v>0.02</v>
      </c>
      <c r="U39">
        <v>26</v>
      </c>
    </row>
    <row r="40" spans="1:21" x14ac:dyDescent="0.25">
      <c r="A40" s="2">
        <v>46044.840277777781</v>
      </c>
      <c r="B40" t="s">
        <v>309</v>
      </c>
      <c r="C40" t="s">
        <v>372</v>
      </c>
      <c r="D40">
        <v>3</v>
      </c>
      <c r="E40" t="s">
        <v>97</v>
      </c>
      <c r="F40" t="s">
        <v>373</v>
      </c>
      <c r="G40">
        <f t="shared" si="0"/>
        <v>37.328767123287669</v>
      </c>
      <c r="H40">
        <f t="shared" si="1"/>
        <v>0.17123287671232876</v>
      </c>
      <c r="I40">
        <v>43.83</v>
      </c>
      <c r="J40">
        <f t="shared" si="2"/>
        <v>62.5</v>
      </c>
      <c r="K40">
        <v>0.85</v>
      </c>
      <c r="L40">
        <v>0.2</v>
      </c>
      <c r="M40">
        <v>0.7</v>
      </c>
      <c r="N40">
        <v>365</v>
      </c>
      <c r="O40">
        <v>218</v>
      </c>
      <c r="P40">
        <v>1</v>
      </c>
      <c r="Q40">
        <v>37.5</v>
      </c>
      <c r="R40" t="s">
        <v>380</v>
      </c>
      <c r="S40">
        <v>0.89</v>
      </c>
      <c r="U40">
        <v>115</v>
      </c>
    </row>
    <row r="41" spans="1:21" x14ac:dyDescent="0.25">
      <c r="A41" s="2">
        <v>46044.840277777781</v>
      </c>
      <c r="B41" t="s">
        <v>309</v>
      </c>
      <c r="C41" t="s">
        <v>372</v>
      </c>
      <c r="D41">
        <v>3</v>
      </c>
      <c r="E41" t="s">
        <v>98</v>
      </c>
      <c r="F41" t="s">
        <v>373</v>
      </c>
      <c r="G41">
        <f t="shared" si="0"/>
        <v>57.58064516129032</v>
      </c>
      <c r="H41">
        <f t="shared" si="1"/>
        <v>0.32258064516129031</v>
      </c>
      <c r="I41">
        <v>43.83</v>
      </c>
      <c r="J41">
        <f t="shared" si="2"/>
        <v>42.096774193548384</v>
      </c>
      <c r="K41">
        <v>0.85</v>
      </c>
      <c r="L41">
        <v>0.2</v>
      </c>
      <c r="M41">
        <v>0.7</v>
      </c>
      <c r="N41">
        <v>261</v>
      </c>
      <c r="O41">
        <v>357</v>
      </c>
      <c r="P41">
        <v>2</v>
      </c>
      <c r="Q41">
        <v>57.9</v>
      </c>
      <c r="R41" t="s">
        <v>382</v>
      </c>
      <c r="S41">
        <v>1.44</v>
      </c>
      <c r="U41">
        <v>67</v>
      </c>
    </row>
    <row r="42" spans="1:21" x14ac:dyDescent="0.25">
      <c r="A42" s="2">
        <v>46044.84097222222</v>
      </c>
      <c r="B42" t="s">
        <v>309</v>
      </c>
      <c r="C42" t="s">
        <v>372</v>
      </c>
      <c r="D42">
        <v>3</v>
      </c>
      <c r="E42" t="s">
        <v>324</v>
      </c>
      <c r="F42" t="s">
        <v>373</v>
      </c>
      <c r="G42">
        <f t="shared" si="0"/>
        <v>39.600665557404326</v>
      </c>
      <c r="H42">
        <f t="shared" si="1"/>
        <v>0.99833610648918469</v>
      </c>
      <c r="I42">
        <v>43.83</v>
      </c>
      <c r="J42">
        <f t="shared" si="2"/>
        <v>59.40099833610649</v>
      </c>
      <c r="K42">
        <v>0.85</v>
      </c>
      <c r="L42">
        <v>0.2</v>
      </c>
      <c r="M42">
        <v>0.7</v>
      </c>
      <c r="N42">
        <v>357</v>
      </c>
      <c r="O42">
        <v>238</v>
      </c>
      <c r="P42">
        <v>6</v>
      </c>
      <c r="Q42">
        <v>40.6</v>
      </c>
      <c r="R42" t="s">
        <v>383</v>
      </c>
      <c r="S42">
        <v>1</v>
      </c>
      <c r="U42">
        <v>122</v>
      </c>
    </row>
    <row r="43" spans="1:21" x14ac:dyDescent="0.25">
      <c r="A43" s="2">
        <v>46044.84097222222</v>
      </c>
      <c r="B43" t="s">
        <v>309</v>
      </c>
      <c r="C43" t="s">
        <v>372</v>
      </c>
      <c r="D43">
        <v>3</v>
      </c>
      <c r="E43" t="s">
        <v>100</v>
      </c>
      <c r="F43" t="s">
        <v>373</v>
      </c>
      <c r="G43">
        <f t="shared" si="0"/>
        <v>78.994082840236686</v>
      </c>
      <c r="H43">
        <f t="shared" si="1"/>
        <v>0.14792899408284024</v>
      </c>
      <c r="I43">
        <v>43.83</v>
      </c>
      <c r="J43">
        <f t="shared" si="2"/>
        <v>20.857988165680474</v>
      </c>
      <c r="K43">
        <v>0.85</v>
      </c>
      <c r="L43">
        <v>0.2</v>
      </c>
      <c r="M43">
        <v>0.7</v>
      </c>
      <c r="N43">
        <v>141</v>
      </c>
      <c r="O43">
        <v>534</v>
      </c>
      <c r="P43">
        <v>1</v>
      </c>
      <c r="Q43">
        <v>79.14</v>
      </c>
      <c r="R43" t="s">
        <v>295</v>
      </c>
      <c r="S43">
        <v>2.2400000000000002</v>
      </c>
      <c r="U43">
        <v>49</v>
      </c>
    </row>
    <row r="44" spans="1:21" x14ac:dyDescent="0.25">
      <c r="A44" s="2">
        <v>46044.841666666667</v>
      </c>
      <c r="B44" t="s">
        <v>309</v>
      </c>
      <c r="C44" t="s">
        <v>372</v>
      </c>
      <c r="D44">
        <v>3</v>
      </c>
      <c r="E44" t="s">
        <v>104</v>
      </c>
      <c r="F44" t="s">
        <v>373</v>
      </c>
      <c r="G44">
        <f t="shared" si="0"/>
        <v>0.82781456953642385</v>
      </c>
      <c r="H44">
        <f t="shared" si="1"/>
        <v>0.49668874172185434</v>
      </c>
      <c r="I44">
        <v>43.83</v>
      </c>
      <c r="J44">
        <f t="shared" si="2"/>
        <v>98.675496688741731</v>
      </c>
      <c r="K44">
        <v>0.85</v>
      </c>
      <c r="L44">
        <v>0.2</v>
      </c>
      <c r="M44">
        <v>0.7</v>
      </c>
      <c r="N44">
        <v>596</v>
      </c>
      <c r="O44">
        <v>5</v>
      </c>
      <c r="P44">
        <v>3</v>
      </c>
      <c r="Q44">
        <v>1.32</v>
      </c>
      <c r="R44" t="s">
        <v>374</v>
      </c>
      <c r="S44">
        <v>0.03</v>
      </c>
      <c r="U44">
        <v>36</v>
      </c>
    </row>
    <row r="45" spans="1:21" x14ac:dyDescent="0.25">
      <c r="A45" s="2">
        <v>46044.841666666667</v>
      </c>
      <c r="B45" t="s">
        <v>309</v>
      </c>
      <c r="C45" t="s">
        <v>372</v>
      </c>
      <c r="D45">
        <v>3</v>
      </c>
      <c r="E45" t="s">
        <v>107</v>
      </c>
      <c r="F45" t="s">
        <v>373</v>
      </c>
      <c r="G45">
        <f t="shared" si="0"/>
        <v>9.7777777777777786</v>
      </c>
      <c r="H45">
        <f t="shared" si="1"/>
        <v>0</v>
      </c>
      <c r="I45">
        <v>43.83</v>
      </c>
      <c r="J45">
        <f t="shared" si="2"/>
        <v>90.222222222222229</v>
      </c>
      <c r="K45">
        <v>0.85</v>
      </c>
      <c r="L45">
        <v>0.2</v>
      </c>
      <c r="M45">
        <v>0.7</v>
      </c>
      <c r="N45">
        <v>609</v>
      </c>
      <c r="O45">
        <v>66</v>
      </c>
      <c r="P45">
        <v>0</v>
      </c>
      <c r="Q45">
        <v>9.7799999999999994</v>
      </c>
      <c r="R45" t="s">
        <v>377</v>
      </c>
      <c r="S45">
        <v>0.25</v>
      </c>
      <c r="U45">
        <v>46</v>
      </c>
    </row>
    <row r="46" spans="1:21" x14ac:dyDescent="0.25">
      <c r="A46" s="2">
        <v>46044.842361111114</v>
      </c>
      <c r="B46" t="s">
        <v>309</v>
      </c>
      <c r="C46" t="s">
        <v>372</v>
      </c>
      <c r="D46">
        <v>3</v>
      </c>
      <c r="E46" t="s">
        <v>108</v>
      </c>
      <c r="F46" t="s">
        <v>373</v>
      </c>
      <c r="G46">
        <f t="shared" si="0"/>
        <v>3.3724340175953076</v>
      </c>
      <c r="H46">
        <f t="shared" si="1"/>
        <v>0</v>
      </c>
      <c r="I46">
        <v>43.83</v>
      </c>
      <c r="J46">
        <f t="shared" si="2"/>
        <v>96.62756598240469</v>
      </c>
      <c r="K46">
        <v>0.85</v>
      </c>
      <c r="L46">
        <v>0.2</v>
      </c>
      <c r="M46">
        <v>0.7</v>
      </c>
      <c r="N46">
        <v>659</v>
      </c>
      <c r="O46">
        <v>23</v>
      </c>
      <c r="P46">
        <v>0</v>
      </c>
      <c r="Q46">
        <v>3.37</v>
      </c>
      <c r="R46" t="s">
        <v>371</v>
      </c>
      <c r="S46">
        <v>0.09</v>
      </c>
      <c r="U46">
        <v>17</v>
      </c>
    </row>
    <row r="47" spans="1:21" x14ac:dyDescent="0.25">
      <c r="A47" s="2">
        <v>46044.842361111114</v>
      </c>
      <c r="B47" t="s">
        <v>309</v>
      </c>
      <c r="C47" t="s">
        <v>372</v>
      </c>
      <c r="D47">
        <v>3</v>
      </c>
      <c r="E47" t="s">
        <v>116</v>
      </c>
      <c r="F47" t="s">
        <v>373</v>
      </c>
      <c r="G47">
        <f t="shared" si="0"/>
        <v>7.2056239015817214</v>
      </c>
      <c r="H47">
        <f t="shared" si="1"/>
        <v>0</v>
      </c>
      <c r="I47">
        <v>43.83</v>
      </c>
      <c r="J47">
        <f t="shared" si="2"/>
        <v>92.794376098418269</v>
      </c>
      <c r="K47">
        <v>0.85</v>
      </c>
      <c r="L47">
        <v>0.2</v>
      </c>
      <c r="M47">
        <v>0.7</v>
      </c>
      <c r="N47">
        <v>528</v>
      </c>
      <c r="O47">
        <v>41</v>
      </c>
      <c r="P47">
        <v>0</v>
      </c>
      <c r="Q47">
        <v>7.21</v>
      </c>
      <c r="R47" t="s">
        <v>371</v>
      </c>
      <c r="S47">
        <v>0.19</v>
      </c>
      <c r="U47">
        <v>49</v>
      </c>
    </row>
    <row r="48" spans="1:21" x14ac:dyDescent="0.25">
      <c r="A48" s="2">
        <v>46044.842361111114</v>
      </c>
      <c r="B48" t="s">
        <v>309</v>
      </c>
      <c r="C48" t="s">
        <v>372</v>
      </c>
      <c r="D48">
        <v>3</v>
      </c>
      <c r="E48" t="s">
        <v>118</v>
      </c>
      <c r="F48" t="s">
        <v>373</v>
      </c>
      <c r="G48">
        <f t="shared" si="0"/>
        <v>7.0032573289902285</v>
      </c>
      <c r="H48">
        <f t="shared" si="1"/>
        <v>0.16286644951140067</v>
      </c>
      <c r="I48">
        <v>43.83</v>
      </c>
      <c r="J48">
        <f t="shared" si="2"/>
        <v>92.833876221498372</v>
      </c>
      <c r="K48">
        <v>0.85</v>
      </c>
      <c r="L48">
        <v>0.2</v>
      </c>
      <c r="M48">
        <v>0.7</v>
      </c>
      <c r="N48">
        <v>570</v>
      </c>
      <c r="O48">
        <v>43</v>
      </c>
      <c r="P48">
        <v>1</v>
      </c>
      <c r="Q48">
        <v>7.17</v>
      </c>
      <c r="R48" t="s">
        <v>377</v>
      </c>
      <c r="S48">
        <v>0.17</v>
      </c>
      <c r="U48">
        <v>101</v>
      </c>
    </row>
    <row r="49" spans="1:21" x14ac:dyDescent="0.25">
      <c r="A49" s="2">
        <v>46044.843055555553</v>
      </c>
      <c r="B49" t="s">
        <v>309</v>
      </c>
      <c r="C49" t="s">
        <v>372</v>
      </c>
      <c r="D49">
        <v>3</v>
      </c>
      <c r="E49" t="s">
        <v>120</v>
      </c>
      <c r="F49" t="s">
        <v>373</v>
      </c>
      <c r="G49">
        <f t="shared" si="0"/>
        <v>5.5389221556886223</v>
      </c>
      <c r="H49">
        <f t="shared" si="1"/>
        <v>0</v>
      </c>
      <c r="I49">
        <v>43.83</v>
      </c>
      <c r="J49">
        <f t="shared" si="2"/>
        <v>94.461077844311376</v>
      </c>
      <c r="K49">
        <v>0.85</v>
      </c>
      <c r="L49">
        <v>0.2</v>
      </c>
      <c r="M49">
        <v>0.7</v>
      </c>
      <c r="N49">
        <v>631</v>
      </c>
      <c r="O49">
        <v>37</v>
      </c>
      <c r="P49">
        <v>0</v>
      </c>
      <c r="Q49">
        <v>5.54</v>
      </c>
      <c r="R49" t="s">
        <v>377</v>
      </c>
      <c r="S49">
        <v>0.16</v>
      </c>
      <c r="U49">
        <v>22</v>
      </c>
    </row>
    <row r="50" spans="1:21" x14ac:dyDescent="0.25">
      <c r="A50" s="2">
        <v>46044.843055555553</v>
      </c>
      <c r="B50" t="s">
        <v>309</v>
      </c>
      <c r="C50" t="s">
        <v>372</v>
      </c>
      <c r="D50">
        <v>3</v>
      </c>
      <c r="E50" t="s">
        <v>123</v>
      </c>
      <c r="F50" t="s">
        <v>373</v>
      </c>
      <c r="G50">
        <f t="shared" si="0"/>
        <v>0.46224961479198773</v>
      </c>
      <c r="H50">
        <f t="shared" si="1"/>
        <v>0.15408320493066258</v>
      </c>
      <c r="I50">
        <v>43.83</v>
      </c>
      <c r="J50">
        <f t="shared" si="2"/>
        <v>99.383667180277342</v>
      </c>
      <c r="K50">
        <v>0.85</v>
      </c>
      <c r="L50">
        <v>0.2</v>
      </c>
      <c r="M50">
        <v>0.7</v>
      </c>
      <c r="N50">
        <v>645</v>
      </c>
      <c r="O50">
        <v>3</v>
      </c>
      <c r="P50">
        <v>1</v>
      </c>
      <c r="Q50">
        <v>0.62</v>
      </c>
      <c r="R50" t="s">
        <v>377</v>
      </c>
      <c r="S50">
        <v>0.02</v>
      </c>
      <c r="U50">
        <v>10</v>
      </c>
    </row>
    <row r="51" spans="1:21" x14ac:dyDescent="0.25">
      <c r="A51" s="2">
        <v>46044.84375</v>
      </c>
      <c r="B51" t="s">
        <v>309</v>
      </c>
      <c r="C51" t="s">
        <v>372</v>
      </c>
      <c r="D51">
        <v>3</v>
      </c>
      <c r="E51" t="s">
        <v>124</v>
      </c>
      <c r="F51" t="s">
        <v>373</v>
      </c>
      <c r="G51">
        <f t="shared" si="0"/>
        <v>80.205278592375365</v>
      </c>
      <c r="H51">
        <f t="shared" si="1"/>
        <v>2.4926686217008798</v>
      </c>
      <c r="I51">
        <v>43.83</v>
      </c>
      <c r="J51">
        <f t="shared" si="2"/>
        <v>17.302052785923756</v>
      </c>
      <c r="K51">
        <v>0.85</v>
      </c>
      <c r="L51">
        <v>0.2</v>
      </c>
      <c r="M51">
        <v>0.7</v>
      </c>
      <c r="N51">
        <v>118</v>
      </c>
      <c r="O51">
        <v>547</v>
      </c>
      <c r="P51">
        <v>17</v>
      </c>
      <c r="Q51">
        <v>82.7</v>
      </c>
      <c r="R51" t="s">
        <v>378</v>
      </c>
      <c r="S51">
        <v>2.54</v>
      </c>
      <c r="U51">
        <v>25</v>
      </c>
    </row>
    <row r="52" spans="1:21" x14ac:dyDescent="0.25">
      <c r="A52" s="2">
        <v>46044.84375</v>
      </c>
      <c r="B52" t="s">
        <v>309</v>
      </c>
      <c r="C52" t="s">
        <v>372</v>
      </c>
      <c r="D52">
        <v>3</v>
      </c>
      <c r="E52" t="s">
        <v>125</v>
      </c>
      <c r="F52" t="s">
        <v>373</v>
      </c>
      <c r="G52">
        <f t="shared" si="0"/>
        <v>73.936170212765958</v>
      </c>
      <c r="H52">
        <f t="shared" si="1"/>
        <v>0.1773049645390071</v>
      </c>
      <c r="I52">
        <v>43.83</v>
      </c>
      <c r="J52">
        <f t="shared" si="2"/>
        <v>25.886524822695034</v>
      </c>
      <c r="K52">
        <v>0.85</v>
      </c>
      <c r="L52">
        <v>0.2</v>
      </c>
      <c r="M52">
        <v>0.7</v>
      </c>
      <c r="N52">
        <v>146</v>
      </c>
      <c r="O52">
        <v>417</v>
      </c>
      <c r="P52">
        <v>1</v>
      </c>
      <c r="Q52">
        <v>74.11</v>
      </c>
      <c r="R52" t="s">
        <v>384</v>
      </c>
      <c r="S52">
        <v>1.91</v>
      </c>
      <c r="U52">
        <v>72</v>
      </c>
    </row>
    <row r="53" spans="1:21" x14ac:dyDescent="0.25">
      <c r="A53" s="2">
        <v>46044.844444444447</v>
      </c>
      <c r="B53" t="s">
        <v>309</v>
      </c>
      <c r="C53" t="s">
        <v>372</v>
      </c>
      <c r="D53">
        <v>3</v>
      </c>
      <c r="E53" t="s">
        <v>126</v>
      </c>
      <c r="F53" t="s">
        <v>373</v>
      </c>
      <c r="G53">
        <f t="shared" si="0"/>
        <v>7.5036075036075038</v>
      </c>
      <c r="H53">
        <f t="shared" si="1"/>
        <v>0.14430014430014429</v>
      </c>
      <c r="I53">
        <v>43.83</v>
      </c>
      <c r="J53">
        <f t="shared" si="2"/>
        <v>92.352092352092356</v>
      </c>
      <c r="K53">
        <v>0.85</v>
      </c>
      <c r="L53">
        <v>0.2</v>
      </c>
      <c r="M53">
        <v>0.7</v>
      </c>
      <c r="N53">
        <v>640</v>
      </c>
      <c r="O53">
        <v>52</v>
      </c>
      <c r="P53">
        <v>1</v>
      </c>
      <c r="Q53">
        <v>7.65</v>
      </c>
      <c r="R53" t="s">
        <v>377</v>
      </c>
      <c r="S53">
        <v>0.21</v>
      </c>
      <c r="U53">
        <v>18</v>
      </c>
    </row>
    <row r="54" spans="1:21" x14ac:dyDescent="0.25">
      <c r="A54" s="2">
        <v>46044.844444444447</v>
      </c>
      <c r="B54" t="s">
        <v>309</v>
      </c>
      <c r="C54" t="s">
        <v>372</v>
      </c>
      <c r="D54">
        <v>3</v>
      </c>
      <c r="E54" t="s">
        <v>129</v>
      </c>
      <c r="F54" t="s">
        <v>373</v>
      </c>
      <c r="G54">
        <f t="shared" si="0"/>
        <v>0.46511627906976744</v>
      </c>
      <c r="H54">
        <f t="shared" si="1"/>
        <v>0</v>
      </c>
      <c r="I54">
        <v>43.83</v>
      </c>
      <c r="J54">
        <f t="shared" si="2"/>
        <v>99.534883720930239</v>
      </c>
      <c r="K54">
        <v>0.85</v>
      </c>
      <c r="L54">
        <v>0.2</v>
      </c>
      <c r="M54">
        <v>0.7</v>
      </c>
      <c r="N54">
        <v>642</v>
      </c>
      <c r="O54">
        <v>3</v>
      </c>
      <c r="P54">
        <v>0</v>
      </c>
      <c r="Q54">
        <v>0.47</v>
      </c>
      <c r="R54" t="s">
        <v>374</v>
      </c>
      <c r="S54">
        <v>0.01</v>
      </c>
      <c r="U54">
        <v>23</v>
      </c>
    </row>
    <row r="55" spans="1:21" x14ac:dyDescent="0.25">
      <c r="A55" s="2">
        <v>46044.844444444447</v>
      </c>
      <c r="B55" t="s">
        <v>309</v>
      </c>
      <c r="C55" t="s">
        <v>372</v>
      </c>
      <c r="D55">
        <v>3</v>
      </c>
      <c r="E55" t="s">
        <v>130</v>
      </c>
      <c r="F55" t="s">
        <v>373</v>
      </c>
      <c r="G55">
        <f t="shared" si="0"/>
        <v>9.8693759071117562</v>
      </c>
      <c r="H55">
        <f t="shared" si="1"/>
        <v>0.72568940493468792</v>
      </c>
      <c r="I55">
        <v>43.83</v>
      </c>
      <c r="J55">
        <f t="shared" si="2"/>
        <v>89.404934687953556</v>
      </c>
      <c r="K55">
        <v>0.85</v>
      </c>
      <c r="L55">
        <v>0.2</v>
      </c>
      <c r="M55">
        <v>0.7</v>
      </c>
      <c r="N55">
        <v>616</v>
      </c>
      <c r="O55">
        <v>68</v>
      </c>
      <c r="P55">
        <v>5</v>
      </c>
      <c r="Q55">
        <v>10.6</v>
      </c>
      <c r="R55" t="s">
        <v>377</v>
      </c>
      <c r="S55">
        <v>0.27</v>
      </c>
      <c r="U55">
        <v>35</v>
      </c>
    </row>
    <row r="56" spans="1:21" x14ac:dyDescent="0.25">
      <c r="A56" s="2">
        <v>46044.845138888886</v>
      </c>
      <c r="B56" t="s">
        <v>309</v>
      </c>
      <c r="C56" t="s">
        <v>372</v>
      </c>
      <c r="D56">
        <v>3</v>
      </c>
      <c r="E56" t="s">
        <v>131</v>
      </c>
      <c r="F56" t="s">
        <v>373</v>
      </c>
      <c r="G56">
        <f t="shared" si="0"/>
        <v>47.5</v>
      </c>
      <c r="H56">
        <f t="shared" si="1"/>
        <v>0.35714285714285715</v>
      </c>
      <c r="I56">
        <v>43.83</v>
      </c>
      <c r="J56">
        <f t="shared" si="2"/>
        <v>52.142857142857146</v>
      </c>
      <c r="K56">
        <v>0.85</v>
      </c>
      <c r="L56">
        <v>0.2</v>
      </c>
      <c r="M56">
        <v>0.7</v>
      </c>
      <c r="N56">
        <v>292</v>
      </c>
      <c r="O56">
        <v>266</v>
      </c>
      <c r="P56">
        <v>2</v>
      </c>
      <c r="Q56">
        <v>47.86</v>
      </c>
      <c r="R56" t="s">
        <v>383</v>
      </c>
      <c r="S56">
        <v>1.21</v>
      </c>
      <c r="U56">
        <v>111</v>
      </c>
    </row>
    <row r="57" spans="1:21" x14ac:dyDescent="0.25">
      <c r="A57" s="2">
        <v>46044.845138888886</v>
      </c>
      <c r="B57" t="s">
        <v>309</v>
      </c>
      <c r="C57" t="s">
        <v>372</v>
      </c>
      <c r="D57">
        <v>3</v>
      </c>
      <c r="E57" t="s">
        <v>132</v>
      </c>
      <c r="F57" t="s">
        <v>373</v>
      </c>
      <c r="G57">
        <f t="shared" si="0"/>
        <v>29.421768707482993</v>
      </c>
      <c r="H57">
        <f t="shared" si="1"/>
        <v>0.3401360544217687</v>
      </c>
      <c r="I57">
        <v>43.83</v>
      </c>
      <c r="J57">
        <f t="shared" si="2"/>
        <v>70.238095238095227</v>
      </c>
      <c r="K57">
        <v>0.85</v>
      </c>
      <c r="L57">
        <v>0.2</v>
      </c>
      <c r="M57">
        <v>0.7</v>
      </c>
      <c r="N57">
        <v>413</v>
      </c>
      <c r="O57">
        <v>173</v>
      </c>
      <c r="P57">
        <v>2</v>
      </c>
      <c r="Q57">
        <v>29.76</v>
      </c>
      <c r="R57" t="s">
        <v>375</v>
      </c>
      <c r="S57">
        <v>0.71</v>
      </c>
      <c r="U57">
        <v>86</v>
      </c>
    </row>
    <row r="58" spans="1:21" x14ac:dyDescent="0.25">
      <c r="A58" s="2">
        <v>46044.845833333333</v>
      </c>
      <c r="B58" t="s">
        <v>309</v>
      </c>
      <c r="C58" t="s">
        <v>372</v>
      </c>
      <c r="D58">
        <v>3</v>
      </c>
      <c r="E58" t="s">
        <v>135</v>
      </c>
      <c r="F58" t="s">
        <v>373</v>
      </c>
      <c r="G58">
        <f t="shared" si="0"/>
        <v>1.5673981191222568</v>
      </c>
      <c r="H58">
        <f t="shared" si="1"/>
        <v>0.31347962382445138</v>
      </c>
      <c r="I58">
        <v>43.83</v>
      </c>
      <c r="J58">
        <f t="shared" si="2"/>
        <v>98.119122257053291</v>
      </c>
      <c r="K58">
        <v>0.85</v>
      </c>
      <c r="L58">
        <v>0.2</v>
      </c>
      <c r="M58">
        <v>0.7</v>
      </c>
      <c r="N58">
        <v>626</v>
      </c>
      <c r="O58">
        <v>10</v>
      </c>
      <c r="P58">
        <v>2</v>
      </c>
      <c r="Q58">
        <v>1.88</v>
      </c>
      <c r="R58" t="s">
        <v>371</v>
      </c>
      <c r="S58">
        <v>0.05</v>
      </c>
      <c r="U58">
        <v>54</v>
      </c>
    </row>
    <row r="59" spans="1:21" x14ac:dyDescent="0.25">
      <c r="A59" s="2">
        <v>46044.845833333333</v>
      </c>
      <c r="B59" t="s">
        <v>309</v>
      </c>
      <c r="C59" t="s">
        <v>372</v>
      </c>
      <c r="D59">
        <v>3</v>
      </c>
      <c r="E59" t="s">
        <v>136</v>
      </c>
      <c r="F59" t="s">
        <v>373</v>
      </c>
      <c r="G59">
        <f t="shared" si="0"/>
        <v>4.7001620745542949</v>
      </c>
      <c r="H59">
        <f t="shared" si="1"/>
        <v>0.16207455429497569</v>
      </c>
      <c r="I59">
        <v>43.83</v>
      </c>
      <c r="J59">
        <f t="shared" si="2"/>
        <v>95.137763371150726</v>
      </c>
      <c r="K59">
        <v>0.85</v>
      </c>
      <c r="L59">
        <v>0.2</v>
      </c>
      <c r="M59">
        <v>0.7</v>
      </c>
      <c r="N59">
        <v>587</v>
      </c>
      <c r="O59">
        <v>29</v>
      </c>
      <c r="P59">
        <v>1</v>
      </c>
      <c r="Q59">
        <v>4.8600000000000003</v>
      </c>
      <c r="R59" t="s">
        <v>376</v>
      </c>
      <c r="S59">
        <v>0.11</v>
      </c>
      <c r="U59">
        <v>82</v>
      </c>
    </row>
    <row r="60" spans="1:21" x14ac:dyDescent="0.25">
      <c r="A60" s="2">
        <v>46044.84652777778</v>
      </c>
      <c r="B60" t="s">
        <v>309</v>
      </c>
      <c r="C60" t="s">
        <v>372</v>
      </c>
      <c r="D60">
        <v>3</v>
      </c>
      <c r="E60" t="s">
        <v>137</v>
      </c>
      <c r="F60" t="s">
        <v>373</v>
      </c>
      <c r="G60">
        <f t="shared" si="0"/>
        <v>83.403068340306831</v>
      </c>
      <c r="H60">
        <f t="shared" si="1"/>
        <v>1.6736401673640167</v>
      </c>
      <c r="I60">
        <v>43.83</v>
      </c>
      <c r="J60">
        <f t="shared" si="2"/>
        <v>14.923291492329149</v>
      </c>
      <c r="K60">
        <v>0.85</v>
      </c>
      <c r="L60">
        <v>0.2</v>
      </c>
      <c r="M60">
        <v>0.7</v>
      </c>
      <c r="N60">
        <v>107</v>
      </c>
      <c r="O60">
        <v>598</v>
      </c>
      <c r="P60">
        <v>12</v>
      </c>
      <c r="Q60">
        <v>85.08</v>
      </c>
      <c r="R60" t="s">
        <v>378</v>
      </c>
      <c r="S60">
        <v>2.5299999999999998</v>
      </c>
      <c r="U60">
        <v>35</v>
      </c>
    </row>
    <row r="61" spans="1:21" x14ac:dyDescent="0.25">
      <c r="A61" s="2">
        <v>46044.84652777778</v>
      </c>
      <c r="B61" t="s">
        <v>309</v>
      </c>
      <c r="C61" t="s">
        <v>372</v>
      </c>
      <c r="D61">
        <v>3</v>
      </c>
      <c r="E61" t="s">
        <v>138</v>
      </c>
      <c r="F61" t="s">
        <v>373</v>
      </c>
      <c r="G61">
        <f t="shared" si="0"/>
        <v>0.3003003003003003</v>
      </c>
      <c r="H61">
        <f t="shared" si="1"/>
        <v>0</v>
      </c>
      <c r="I61">
        <v>43.83</v>
      </c>
      <c r="J61">
        <f t="shared" si="2"/>
        <v>99.699699699699693</v>
      </c>
      <c r="K61">
        <v>0.85</v>
      </c>
      <c r="L61">
        <v>0.2</v>
      </c>
      <c r="M61">
        <v>0.7</v>
      </c>
      <c r="N61">
        <v>664</v>
      </c>
      <c r="O61">
        <v>2</v>
      </c>
      <c r="P61">
        <v>0</v>
      </c>
      <c r="Q61">
        <v>0.3</v>
      </c>
      <c r="R61" t="s">
        <v>377</v>
      </c>
      <c r="S61">
        <v>0.01</v>
      </c>
      <c r="U61">
        <v>10</v>
      </c>
    </row>
    <row r="62" spans="1:21" x14ac:dyDescent="0.25">
      <c r="A62" s="2">
        <v>46044.847222222219</v>
      </c>
      <c r="B62" t="s">
        <v>309</v>
      </c>
      <c r="C62" t="s">
        <v>372</v>
      </c>
      <c r="D62">
        <v>3</v>
      </c>
      <c r="E62" t="s">
        <v>140</v>
      </c>
      <c r="F62" t="s">
        <v>373</v>
      </c>
      <c r="G62">
        <f t="shared" si="0"/>
        <v>24.042879019908117</v>
      </c>
      <c r="H62">
        <f t="shared" si="1"/>
        <v>0.15313935681470139</v>
      </c>
      <c r="I62">
        <v>43.83</v>
      </c>
      <c r="J62">
        <f t="shared" si="2"/>
        <v>75.803981623277181</v>
      </c>
      <c r="K62">
        <v>0.85</v>
      </c>
      <c r="L62">
        <v>0.2</v>
      </c>
      <c r="M62">
        <v>0.7</v>
      </c>
      <c r="N62">
        <v>495</v>
      </c>
      <c r="O62">
        <v>157</v>
      </c>
      <c r="P62">
        <v>1</v>
      </c>
      <c r="Q62">
        <v>24.2</v>
      </c>
      <c r="R62" t="s">
        <v>375</v>
      </c>
      <c r="S62">
        <v>0.63</v>
      </c>
      <c r="U62">
        <v>55</v>
      </c>
    </row>
    <row r="63" spans="1:21" x14ac:dyDescent="0.25">
      <c r="A63" s="2">
        <v>46044.847222222219</v>
      </c>
      <c r="B63" t="s">
        <v>309</v>
      </c>
      <c r="C63" t="s">
        <v>372</v>
      </c>
      <c r="D63">
        <v>3</v>
      </c>
      <c r="E63" t="s">
        <v>141</v>
      </c>
      <c r="F63" t="s">
        <v>373</v>
      </c>
      <c r="G63">
        <f t="shared" si="0"/>
        <v>9.1472868217054266</v>
      </c>
      <c r="H63">
        <f t="shared" si="1"/>
        <v>1.3953488372093024</v>
      </c>
      <c r="I63">
        <v>43.83</v>
      </c>
      <c r="J63">
        <f t="shared" si="2"/>
        <v>89.457364341085267</v>
      </c>
      <c r="K63">
        <v>0.85</v>
      </c>
      <c r="L63">
        <v>0.2</v>
      </c>
      <c r="M63">
        <v>0.7</v>
      </c>
      <c r="N63">
        <v>577</v>
      </c>
      <c r="O63">
        <v>59</v>
      </c>
      <c r="P63">
        <v>9</v>
      </c>
      <c r="Q63">
        <v>10.54</v>
      </c>
      <c r="R63" t="s">
        <v>377</v>
      </c>
      <c r="S63">
        <v>0.28999999999999998</v>
      </c>
      <c r="U63">
        <v>45</v>
      </c>
    </row>
    <row r="64" spans="1:21" x14ac:dyDescent="0.25">
      <c r="A64" s="2">
        <v>46044.847222222219</v>
      </c>
      <c r="B64" t="s">
        <v>309</v>
      </c>
      <c r="C64" t="s">
        <v>372</v>
      </c>
      <c r="D64">
        <v>3</v>
      </c>
      <c r="E64" t="s">
        <v>146</v>
      </c>
      <c r="F64" t="s">
        <v>373</v>
      </c>
      <c r="G64">
        <f t="shared" si="0"/>
        <v>0.74738415545590431</v>
      </c>
      <c r="H64">
        <f t="shared" si="1"/>
        <v>0</v>
      </c>
      <c r="I64">
        <v>43.83</v>
      </c>
      <c r="J64">
        <f t="shared" si="2"/>
        <v>99.252615844544096</v>
      </c>
      <c r="K64">
        <v>0.85</v>
      </c>
      <c r="L64">
        <v>0.2</v>
      </c>
      <c r="M64">
        <v>0.7</v>
      </c>
      <c r="N64">
        <v>664</v>
      </c>
      <c r="O64">
        <v>5</v>
      </c>
      <c r="P64">
        <v>0</v>
      </c>
      <c r="Q64">
        <v>0.75</v>
      </c>
      <c r="R64" t="s">
        <v>371</v>
      </c>
      <c r="S64">
        <v>0.02</v>
      </c>
      <c r="U64">
        <v>34</v>
      </c>
    </row>
    <row r="65" spans="1:21" x14ac:dyDescent="0.25">
      <c r="A65" s="2">
        <v>46044.847916666666</v>
      </c>
      <c r="B65" t="s">
        <v>309</v>
      </c>
      <c r="C65" t="s">
        <v>372</v>
      </c>
      <c r="D65">
        <v>3</v>
      </c>
      <c r="E65" t="s">
        <v>148</v>
      </c>
      <c r="F65" t="s">
        <v>373</v>
      </c>
      <c r="G65">
        <f t="shared" ref="G65:G128" si="3">(O65/(N65+O65+P65))*100</f>
        <v>7.8048780487804876</v>
      </c>
      <c r="H65">
        <f t="shared" ref="H65:H128" si="4">(P65/(O65+P65+N65))*100</f>
        <v>0</v>
      </c>
      <c r="I65">
        <v>43.83</v>
      </c>
      <c r="J65">
        <f t="shared" ref="J65:J128" si="5">(N65/(P65+O65+N65))*100</f>
        <v>92.195121951219519</v>
      </c>
      <c r="K65">
        <v>0.85</v>
      </c>
      <c r="L65">
        <v>0.2</v>
      </c>
      <c r="M65">
        <v>0.7</v>
      </c>
      <c r="N65">
        <v>567</v>
      </c>
      <c r="O65">
        <v>48</v>
      </c>
      <c r="P65">
        <v>0</v>
      </c>
      <c r="Q65">
        <v>7.8</v>
      </c>
      <c r="R65" t="s">
        <v>371</v>
      </c>
      <c r="S65">
        <v>0.21</v>
      </c>
      <c r="U65">
        <v>45</v>
      </c>
    </row>
    <row r="66" spans="1:21" x14ac:dyDescent="0.25">
      <c r="A66" s="2">
        <v>46044.847916666666</v>
      </c>
      <c r="B66" t="s">
        <v>309</v>
      </c>
      <c r="C66" t="s">
        <v>372</v>
      </c>
      <c r="D66">
        <v>3</v>
      </c>
      <c r="E66" t="s">
        <v>149</v>
      </c>
      <c r="F66" t="s">
        <v>373</v>
      </c>
      <c r="G66">
        <f t="shared" si="3"/>
        <v>6.1253561253561255</v>
      </c>
      <c r="H66">
        <f t="shared" si="4"/>
        <v>0</v>
      </c>
      <c r="I66">
        <v>43.83</v>
      </c>
      <c r="J66">
        <f t="shared" si="5"/>
        <v>93.874643874643866</v>
      </c>
      <c r="K66">
        <v>0.85</v>
      </c>
      <c r="L66">
        <v>0.2</v>
      </c>
      <c r="M66">
        <v>0.7</v>
      </c>
      <c r="N66">
        <v>659</v>
      </c>
      <c r="O66">
        <v>43</v>
      </c>
      <c r="P66">
        <v>0</v>
      </c>
      <c r="Q66">
        <v>6.13</v>
      </c>
      <c r="R66" t="s">
        <v>377</v>
      </c>
      <c r="S66">
        <v>0.16</v>
      </c>
      <c r="U66">
        <v>40</v>
      </c>
    </row>
    <row r="67" spans="1:21" x14ac:dyDescent="0.25">
      <c r="A67" s="2">
        <v>46044.848611111112</v>
      </c>
      <c r="B67" t="s">
        <v>309</v>
      </c>
      <c r="C67" t="s">
        <v>372</v>
      </c>
      <c r="D67">
        <v>3</v>
      </c>
      <c r="E67" t="s">
        <v>150</v>
      </c>
      <c r="F67" t="s">
        <v>373</v>
      </c>
      <c r="G67">
        <f t="shared" si="3"/>
        <v>48.045602605863195</v>
      </c>
      <c r="H67">
        <f t="shared" si="4"/>
        <v>1.9543973941368076</v>
      </c>
      <c r="I67">
        <v>43.83</v>
      </c>
      <c r="J67">
        <f t="shared" si="5"/>
        <v>50</v>
      </c>
      <c r="K67">
        <v>0.85</v>
      </c>
      <c r="L67">
        <v>0.2</v>
      </c>
      <c r="M67">
        <v>0.7</v>
      </c>
      <c r="N67">
        <v>307</v>
      </c>
      <c r="O67">
        <v>295</v>
      </c>
      <c r="P67">
        <v>12</v>
      </c>
      <c r="Q67">
        <v>50</v>
      </c>
      <c r="R67" t="s">
        <v>383</v>
      </c>
      <c r="S67">
        <v>1.4</v>
      </c>
      <c r="U67">
        <v>56</v>
      </c>
    </row>
    <row r="68" spans="1:21" x14ac:dyDescent="0.25">
      <c r="A68" s="2">
        <v>46044.848611111112</v>
      </c>
      <c r="B68" t="s">
        <v>309</v>
      </c>
      <c r="C68" t="s">
        <v>372</v>
      </c>
      <c r="D68">
        <v>3</v>
      </c>
      <c r="E68" t="s">
        <v>155</v>
      </c>
      <c r="F68" t="s">
        <v>373</v>
      </c>
      <c r="G68">
        <f t="shared" si="3"/>
        <v>1.6638935108153077</v>
      </c>
      <c r="H68">
        <f t="shared" si="4"/>
        <v>0.16638935108153077</v>
      </c>
      <c r="I68">
        <v>43.83</v>
      </c>
      <c r="J68">
        <f t="shared" si="5"/>
        <v>98.169717138103167</v>
      </c>
      <c r="K68">
        <v>0.85</v>
      </c>
      <c r="L68">
        <v>0.2</v>
      </c>
      <c r="M68">
        <v>0.7</v>
      </c>
      <c r="N68">
        <v>590</v>
      </c>
      <c r="O68">
        <v>10</v>
      </c>
      <c r="P68">
        <v>1</v>
      </c>
      <c r="Q68">
        <v>1.83</v>
      </c>
      <c r="R68" t="s">
        <v>374</v>
      </c>
      <c r="S68">
        <v>0.05</v>
      </c>
      <c r="U68">
        <v>16</v>
      </c>
    </row>
    <row r="69" spans="1:21" x14ac:dyDescent="0.25">
      <c r="A69" s="2">
        <v>46044.849305555559</v>
      </c>
      <c r="B69" t="s">
        <v>309</v>
      </c>
      <c r="C69" t="s">
        <v>372</v>
      </c>
      <c r="D69">
        <v>3</v>
      </c>
      <c r="E69" t="s">
        <v>156</v>
      </c>
      <c r="F69" t="s">
        <v>373</v>
      </c>
      <c r="G69">
        <f t="shared" si="3"/>
        <v>81.560283687943254</v>
      </c>
      <c r="H69">
        <f t="shared" si="4"/>
        <v>0.99290780141843982</v>
      </c>
      <c r="I69">
        <v>43.83</v>
      </c>
      <c r="J69">
        <f t="shared" si="5"/>
        <v>17.446808510638299</v>
      </c>
      <c r="K69">
        <v>0.85</v>
      </c>
      <c r="L69">
        <v>0.2</v>
      </c>
      <c r="M69">
        <v>0.7</v>
      </c>
      <c r="N69">
        <v>123</v>
      </c>
      <c r="O69">
        <v>575</v>
      </c>
      <c r="P69">
        <v>7</v>
      </c>
      <c r="Q69">
        <v>82.55</v>
      </c>
      <c r="R69" t="s">
        <v>378</v>
      </c>
      <c r="S69">
        <v>2.5</v>
      </c>
      <c r="U69">
        <v>44</v>
      </c>
    </row>
    <row r="70" spans="1:21" x14ac:dyDescent="0.25">
      <c r="A70" s="2">
        <v>46044.849305555559</v>
      </c>
      <c r="B70" t="s">
        <v>309</v>
      </c>
      <c r="C70" t="s">
        <v>372</v>
      </c>
      <c r="D70">
        <v>3</v>
      </c>
      <c r="E70" t="s">
        <v>157</v>
      </c>
      <c r="F70" t="s">
        <v>373</v>
      </c>
      <c r="G70">
        <f t="shared" si="3"/>
        <v>52.341137123745817</v>
      </c>
      <c r="H70">
        <f t="shared" si="4"/>
        <v>0.16722408026755853</v>
      </c>
      <c r="I70">
        <v>43.83</v>
      </c>
      <c r="J70">
        <f t="shared" si="5"/>
        <v>47.491638795986624</v>
      </c>
      <c r="K70">
        <v>0.85</v>
      </c>
      <c r="L70">
        <v>0.2</v>
      </c>
      <c r="M70">
        <v>0.7</v>
      </c>
      <c r="N70">
        <v>284</v>
      </c>
      <c r="O70">
        <v>313</v>
      </c>
      <c r="P70">
        <v>1</v>
      </c>
      <c r="Q70">
        <v>52.51</v>
      </c>
      <c r="R70" t="s">
        <v>382</v>
      </c>
      <c r="S70">
        <v>1.46</v>
      </c>
      <c r="U70">
        <v>86</v>
      </c>
    </row>
    <row r="71" spans="1:21" x14ac:dyDescent="0.25">
      <c r="A71" s="2">
        <v>46044.85</v>
      </c>
      <c r="B71" t="s">
        <v>309</v>
      </c>
      <c r="C71" t="s">
        <v>372</v>
      </c>
      <c r="D71">
        <v>3</v>
      </c>
      <c r="E71" t="s">
        <v>161</v>
      </c>
      <c r="F71" t="s">
        <v>373</v>
      </c>
      <c r="G71">
        <f t="shared" si="3"/>
        <v>7.2322670375521563</v>
      </c>
      <c r="H71">
        <f t="shared" si="4"/>
        <v>0</v>
      </c>
      <c r="I71">
        <v>43.83</v>
      </c>
      <c r="J71">
        <f t="shared" si="5"/>
        <v>92.767732962447852</v>
      </c>
      <c r="K71">
        <v>0.85</v>
      </c>
      <c r="L71">
        <v>0.2</v>
      </c>
      <c r="M71">
        <v>0.7</v>
      </c>
      <c r="N71">
        <v>667</v>
      </c>
      <c r="O71">
        <v>52</v>
      </c>
      <c r="P71">
        <v>0</v>
      </c>
      <c r="Q71">
        <v>7.23</v>
      </c>
      <c r="R71" t="s">
        <v>380</v>
      </c>
      <c r="S71">
        <v>0.2</v>
      </c>
      <c r="U71">
        <v>33</v>
      </c>
    </row>
    <row r="72" spans="1:21" x14ac:dyDescent="0.25">
      <c r="A72" s="2">
        <v>46044.85</v>
      </c>
      <c r="B72" t="s">
        <v>309</v>
      </c>
      <c r="C72" t="s">
        <v>372</v>
      </c>
      <c r="D72">
        <v>3</v>
      </c>
      <c r="E72" t="s">
        <v>162</v>
      </c>
      <c r="F72" t="s">
        <v>373</v>
      </c>
      <c r="G72">
        <f t="shared" si="3"/>
        <v>1.0385756676557862</v>
      </c>
      <c r="H72">
        <f t="shared" si="4"/>
        <v>0.14836795252225521</v>
      </c>
      <c r="I72">
        <v>43.83</v>
      </c>
      <c r="J72">
        <f t="shared" si="5"/>
        <v>98.813056379821958</v>
      </c>
      <c r="K72">
        <v>0.85</v>
      </c>
      <c r="L72">
        <v>0.2</v>
      </c>
      <c r="M72">
        <v>0.7</v>
      </c>
      <c r="N72">
        <v>666</v>
      </c>
      <c r="O72">
        <v>7</v>
      </c>
      <c r="P72">
        <v>1</v>
      </c>
      <c r="Q72">
        <v>1.19</v>
      </c>
      <c r="R72" t="s">
        <v>375</v>
      </c>
      <c r="S72">
        <v>0.03</v>
      </c>
      <c r="U72">
        <v>19</v>
      </c>
    </row>
    <row r="73" spans="1:21" x14ac:dyDescent="0.25">
      <c r="A73" s="2">
        <v>46044.85</v>
      </c>
      <c r="B73" t="s">
        <v>309</v>
      </c>
      <c r="C73" t="s">
        <v>372</v>
      </c>
      <c r="D73">
        <v>3</v>
      </c>
      <c r="E73" t="s">
        <v>163</v>
      </c>
      <c r="F73" t="s">
        <v>373</v>
      </c>
      <c r="G73">
        <f t="shared" si="3"/>
        <v>13.181019332161686</v>
      </c>
      <c r="H73">
        <f t="shared" si="4"/>
        <v>0</v>
      </c>
      <c r="I73">
        <v>43.83</v>
      </c>
      <c r="J73">
        <f t="shared" si="5"/>
        <v>86.818980667838304</v>
      </c>
      <c r="K73">
        <v>0.85</v>
      </c>
      <c r="L73">
        <v>0.2</v>
      </c>
      <c r="M73">
        <v>0.7</v>
      </c>
      <c r="N73">
        <v>494</v>
      </c>
      <c r="O73">
        <v>75</v>
      </c>
      <c r="P73">
        <v>0</v>
      </c>
      <c r="Q73">
        <v>13.18</v>
      </c>
      <c r="R73" t="s">
        <v>376</v>
      </c>
      <c r="S73">
        <v>0.32</v>
      </c>
      <c r="U73">
        <v>37</v>
      </c>
    </row>
    <row r="74" spans="1:21" x14ac:dyDescent="0.25">
      <c r="A74" s="2">
        <v>46044.850694444445</v>
      </c>
      <c r="B74" t="s">
        <v>309</v>
      </c>
      <c r="C74" t="s">
        <v>372</v>
      </c>
      <c r="D74">
        <v>3</v>
      </c>
      <c r="E74" t="s">
        <v>325</v>
      </c>
      <c r="F74" t="s">
        <v>373</v>
      </c>
      <c r="G74">
        <f t="shared" si="3"/>
        <v>1.948051948051948</v>
      </c>
      <c r="H74">
        <f t="shared" si="4"/>
        <v>0.21645021645021645</v>
      </c>
      <c r="I74">
        <v>43.83</v>
      </c>
      <c r="J74">
        <f t="shared" si="5"/>
        <v>97.835497835497833</v>
      </c>
      <c r="K74">
        <v>0.85</v>
      </c>
      <c r="L74">
        <v>0.2</v>
      </c>
      <c r="M74">
        <v>0.7</v>
      </c>
      <c r="N74">
        <v>452</v>
      </c>
      <c r="O74">
        <v>9</v>
      </c>
      <c r="P74">
        <v>1</v>
      </c>
      <c r="Q74">
        <v>2.16</v>
      </c>
      <c r="R74" t="s">
        <v>371</v>
      </c>
      <c r="S74">
        <v>0.06</v>
      </c>
      <c r="U74">
        <v>25</v>
      </c>
    </row>
    <row r="75" spans="1:21" x14ac:dyDescent="0.25">
      <c r="A75" s="2">
        <v>46044.850694444445</v>
      </c>
      <c r="B75" t="s">
        <v>309</v>
      </c>
      <c r="C75" t="s">
        <v>372</v>
      </c>
      <c r="D75">
        <v>3</v>
      </c>
      <c r="E75" t="s">
        <v>164</v>
      </c>
      <c r="F75" t="s">
        <v>373</v>
      </c>
      <c r="G75">
        <f t="shared" si="3"/>
        <v>10.965630114566286</v>
      </c>
      <c r="H75">
        <f t="shared" si="4"/>
        <v>0</v>
      </c>
      <c r="I75">
        <v>43.83</v>
      </c>
      <c r="J75">
        <f t="shared" si="5"/>
        <v>89.034369885433719</v>
      </c>
      <c r="K75">
        <v>0.85</v>
      </c>
      <c r="L75">
        <v>0.2</v>
      </c>
      <c r="M75">
        <v>0.7</v>
      </c>
      <c r="N75">
        <v>544</v>
      </c>
      <c r="O75">
        <v>67</v>
      </c>
      <c r="P75">
        <v>0</v>
      </c>
      <c r="Q75">
        <v>10.97</v>
      </c>
      <c r="R75" t="s">
        <v>375</v>
      </c>
      <c r="S75">
        <v>0.3</v>
      </c>
      <c r="U75">
        <v>51</v>
      </c>
    </row>
    <row r="76" spans="1:21" x14ac:dyDescent="0.25">
      <c r="A76" s="2">
        <v>46044.851388888892</v>
      </c>
      <c r="B76" t="s">
        <v>309</v>
      </c>
      <c r="C76" t="s">
        <v>372</v>
      </c>
      <c r="D76">
        <v>3</v>
      </c>
      <c r="E76" t="s">
        <v>167</v>
      </c>
      <c r="F76" t="s">
        <v>373</v>
      </c>
      <c r="G76">
        <f t="shared" si="3"/>
        <v>18.809980806142036</v>
      </c>
      <c r="H76">
        <f t="shared" si="4"/>
        <v>0</v>
      </c>
      <c r="I76">
        <v>43.83</v>
      </c>
      <c r="J76">
        <f t="shared" si="5"/>
        <v>81.190019193857964</v>
      </c>
      <c r="K76">
        <v>0.85</v>
      </c>
      <c r="L76">
        <v>0.2</v>
      </c>
      <c r="M76">
        <v>0.7</v>
      </c>
      <c r="N76">
        <v>423</v>
      </c>
      <c r="O76">
        <v>98</v>
      </c>
      <c r="P76">
        <v>0</v>
      </c>
      <c r="Q76">
        <v>18.809999999999999</v>
      </c>
      <c r="R76" t="s">
        <v>380</v>
      </c>
      <c r="S76">
        <v>0.42</v>
      </c>
      <c r="U76">
        <v>90</v>
      </c>
    </row>
    <row r="77" spans="1:21" x14ac:dyDescent="0.25">
      <c r="A77" s="2">
        <v>46044.851388888892</v>
      </c>
      <c r="B77" t="s">
        <v>309</v>
      </c>
      <c r="C77" t="s">
        <v>372</v>
      </c>
      <c r="D77">
        <v>3</v>
      </c>
      <c r="E77" t="s">
        <v>168</v>
      </c>
      <c r="F77" t="s">
        <v>373</v>
      </c>
      <c r="G77">
        <f t="shared" si="3"/>
        <v>73.813708260105443</v>
      </c>
      <c r="H77">
        <f t="shared" si="4"/>
        <v>1.7574692442882252</v>
      </c>
      <c r="I77">
        <v>43.83</v>
      </c>
      <c r="J77">
        <f t="shared" si="5"/>
        <v>24.42882249560633</v>
      </c>
      <c r="K77">
        <v>0.85</v>
      </c>
      <c r="L77">
        <v>0.2</v>
      </c>
      <c r="M77">
        <v>0.7</v>
      </c>
      <c r="N77">
        <v>139</v>
      </c>
      <c r="O77">
        <v>420</v>
      </c>
      <c r="P77">
        <v>10</v>
      </c>
      <c r="Q77">
        <v>75.569999999999993</v>
      </c>
      <c r="R77" t="s">
        <v>295</v>
      </c>
      <c r="S77">
        <v>1.96</v>
      </c>
      <c r="U77">
        <v>68</v>
      </c>
    </row>
    <row r="78" spans="1:21" x14ac:dyDescent="0.25">
      <c r="A78" s="2">
        <v>46044.852083333331</v>
      </c>
      <c r="B78" t="s">
        <v>309</v>
      </c>
      <c r="C78" t="s">
        <v>372</v>
      </c>
      <c r="D78">
        <v>3</v>
      </c>
      <c r="E78" t="s">
        <v>326</v>
      </c>
      <c r="F78" t="s">
        <v>373</v>
      </c>
      <c r="G78">
        <f t="shared" si="3"/>
        <v>2.7496382054992763</v>
      </c>
      <c r="H78">
        <f t="shared" si="4"/>
        <v>0</v>
      </c>
      <c r="I78">
        <v>43.83</v>
      </c>
      <c r="J78">
        <f t="shared" si="5"/>
        <v>97.250361794500733</v>
      </c>
      <c r="K78">
        <v>0.85</v>
      </c>
      <c r="L78">
        <v>0.2</v>
      </c>
      <c r="M78">
        <v>0.7</v>
      </c>
      <c r="N78">
        <v>672</v>
      </c>
      <c r="O78">
        <v>19</v>
      </c>
      <c r="P78">
        <v>0</v>
      </c>
      <c r="Q78">
        <v>2.75</v>
      </c>
      <c r="R78" t="s">
        <v>376</v>
      </c>
      <c r="S78">
        <v>7.0000000000000007E-2</v>
      </c>
      <c r="U78">
        <v>69</v>
      </c>
    </row>
    <row r="79" spans="1:21" x14ac:dyDescent="0.25">
      <c r="A79" s="2">
        <v>46044.852083333331</v>
      </c>
      <c r="B79" t="s">
        <v>309</v>
      </c>
      <c r="C79" t="s">
        <v>372</v>
      </c>
      <c r="D79">
        <v>3</v>
      </c>
      <c r="E79" t="s">
        <v>171</v>
      </c>
      <c r="F79" t="s">
        <v>373</v>
      </c>
      <c r="G79">
        <f t="shared" si="3"/>
        <v>5.2810902896081773</v>
      </c>
      <c r="H79">
        <f t="shared" si="4"/>
        <v>0.17035775127768313</v>
      </c>
      <c r="I79">
        <v>43.83</v>
      </c>
      <c r="J79">
        <f t="shared" si="5"/>
        <v>94.548551959114135</v>
      </c>
      <c r="K79">
        <v>0.85</v>
      </c>
      <c r="L79">
        <v>0.2</v>
      </c>
      <c r="M79">
        <v>0.7</v>
      </c>
      <c r="N79">
        <v>555</v>
      </c>
      <c r="O79">
        <v>31</v>
      </c>
      <c r="P79">
        <v>1</v>
      </c>
      <c r="Q79">
        <v>5.45</v>
      </c>
      <c r="R79" t="s">
        <v>377</v>
      </c>
      <c r="S79">
        <v>0.14000000000000001</v>
      </c>
      <c r="U79">
        <v>24</v>
      </c>
    </row>
    <row r="80" spans="1:21" x14ac:dyDescent="0.25">
      <c r="A80" s="2">
        <v>46044.852777777778</v>
      </c>
      <c r="B80" t="s">
        <v>309</v>
      </c>
      <c r="C80" t="s">
        <v>372</v>
      </c>
      <c r="D80">
        <v>3</v>
      </c>
      <c r="E80" t="s">
        <v>173</v>
      </c>
      <c r="F80" t="s">
        <v>373</v>
      </c>
      <c r="G80">
        <f t="shared" si="3"/>
        <v>8.9500860585197941</v>
      </c>
      <c r="H80">
        <f t="shared" si="4"/>
        <v>0.17211703958691912</v>
      </c>
      <c r="I80">
        <v>43.83</v>
      </c>
      <c r="J80">
        <f t="shared" si="5"/>
        <v>90.877796901893291</v>
      </c>
      <c r="K80">
        <v>0.85</v>
      </c>
      <c r="L80">
        <v>0.2</v>
      </c>
      <c r="M80">
        <v>0.7</v>
      </c>
      <c r="N80">
        <v>528</v>
      </c>
      <c r="O80">
        <v>52</v>
      </c>
      <c r="P80">
        <v>1</v>
      </c>
      <c r="Q80">
        <v>9.1199999999999992</v>
      </c>
      <c r="R80" t="s">
        <v>375</v>
      </c>
      <c r="S80">
        <v>0.21</v>
      </c>
      <c r="U80">
        <v>83</v>
      </c>
    </row>
    <row r="81" spans="1:21" x14ac:dyDescent="0.25">
      <c r="A81" s="2">
        <v>46044.852777777778</v>
      </c>
      <c r="B81" t="s">
        <v>309</v>
      </c>
      <c r="C81" t="s">
        <v>372</v>
      </c>
      <c r="D81">
        <v>3</v>
      </c>
      <c r="E81" t="s">
        <v>174</v>
      </c>
      <c r="F81" t="s">
        <v>373</v>
      </c>
      <c r="G81">
        <f t="shared" si="3"/>
        <v>4.4568245125348191</v>
      </c>
      <c r="H81">
        <f t="shared" si="4"/>
        <v>0</v>
      </c>
      <c r="I81">
        <v>43.83</v>
      </c>
      <c r="J81">
        <f t="shared" si="5"/>
        <v>95.543175487465177</v>
      </c>
      <c r="K81">
        <v>0.85</v>
      </c>
      <c r="L81">
        <v>0.2</v>
      </c>
      <c r="M81">
        <v>0.7</v>
      </c>
      <c r="N81">
        <v>686</v>
      </c>
      <c r="O81">
        <v>32</v>
      </c>
      <c r="P81">
        <v>0</v>
      </c>
      <c r="Q81">
        <v>4.46</v>
      </c>
      <c r="R81" t="s">
        <v>380</v>
      </c>
      <c r="S81">
        <v>0.11</v>
      </c>
      <c r="U81">
        <v>27</v>
      </c>
    </row>
    <row r="82" spans="1:21" x14ac:dyDescent="0.25">
      <c r="A82" s="2">
        <v>46044.853472222225</v>
      </c>
      <c r="B82" t="s">
        <v>309</v>
      </c>
      <c r="C82" t="s">
        <v>372</v>
      </c>
      <c r="D82">
        <v>3</v>
      </c>
      <c r="E82" t="s">
        <v>175</v>
      </c>
      <c r="F82" t="s">
        <v>373</v>
      </c>
      <c r="G82">
        <f t="shared" si="3"/>
        <v>81.913043478260875</v>
      </c>
      <c r="H82">
        <f t="shared" si="4"/>
        <v>0.86956521739130432</v>
      </c>
      <c r="I82">
        <v>43.83</v>
      </c>
      <c r="J82">
        <f t="shared" si="5"/>
        <v>17.217391304347824</v>
      </c>
      <c r="K82">
        <v>0.85</v>
      </c>
      <c r="L82">
        <v>0.2</v>
      </c>
      <c r="M82">
        <v>0.7</v>
      </c>
      <c r="N82">
        <v>99</v>
      </c>
      <c r="O82">
        <v>471</v>
      </c>
      <c r="P82">
        <v>5</v>
      </c>
      <c r="Q82">
        <v>82.78</v>
      </c>
      <c r="R82" t="s">
        <v>385</v>
      </c>
      <c r="S82">
        <v>2.33</v>
      </c>
      <c r="U82">
        <v>65</v>
      </c>
    </row>
    <row r="83" spans="1:21" x14ac:dyDescent="0.25">
      <c r="A83" s="2">
        <v>46044.853472222225</v>
      </c>
      <c r="B83" t="s">
        <v>309</v>
      </c>
      <c r="C83" t="s">
        <v>372</v>
      </c>
      <c r="D83">
        <v>3</v>
      </c>
      <c r="E83" t="s">
        <v>178</v>
      </c>
      <c r="F83" t="s">
        <v>373</v>
      </c>
      <c r="G83">
        <f t="shared" si="3"/>
        <v>5.7863501483679523</v>
      </c>
      <c r="H83">
        <f t="shared" si="4"/>
        <v>0</v>
      </c>
      <c r="I83">
        <v>43.83</v>
      </c>
      <c r="J83">
        <f t="shared" si="5"/>
        <v>94.213649851632042</v>
      </c>
      <c r="K83">
        <v>0.85</v>
      </c>
      <c r="L83">
        <v>0.2</v>
      </c>
      <c r="M83">
        <v>0.7</v>
      </c>
      <c r="N83">
        <v>635</v>
      </c>
      <c r="O83">
        <v>39</v>
      </c>
      <c r="P83">
        <v>0</v>
      </c>
      <c r="Q83">
        <v>5.79</v>
      </c>
      <c r="R83" t="s">
        <v>380</v>
      </c>
      <c r="S83">
        <v>0.16</v>
      </c>
      <c r="U83">
        <v>88</v>
      </c>
    </row>
    <row r="84" spans="1:21" x14ac:dyDescent="0.25">
      <c r="A84" s="2">
        <v>46044.854166666664</v>
      </c>
      <c r="B84" t="s">
        <v>309</v>
      </c>
      <c r="C84" t="s">
        <v>372</v>
      </c>
      <c r="D84">
        <v>3</v>
      </c>
      <c r="E84" t="s">
        <v>179</v>
      </c>
      <c r="F84" t="s">
        <v>373</v>
      </c>
      <c r="G84">
        <f t="shared" si="3"/>
        <v>18.64406779661017</v>
      </c>
      <c r="H84">
        <f t="shared" si="4"/>
        <v>0.15408320493066258</v>
      </c>
      <c r="I84">
        <v>43.83</v>
      </c>
      <c r="J84">
        <f t="shared" si="5"/>
        <v>81.20184899845917</v>
      </c>
      <c r="K84">
        <v>0.85</v>
      </c>
      <c r="L84">
        <v>0.2</v>
      </c>
      <c r="M84">
        <v>0.7</v>
      </c>
      <c r="N84">
        <v>527</v>
      </c>
      <c r="O84">
        <v>121</v>
      </c>
      <c r="P84">
        <v>1</v>
      </c>
      <c r="Q84">
        <v>18.8</v>
      </c>
      <c r="R84" t="s">
        <v>379</v>
      </c>
      <c r="S84">
        <v>0.5</v>
      </c>
      <c r="U84">
        <v>75</v>
      </c>
    </row>
    <row r="85" spans="1:21" x14ac:dyDescent="0.25">
      <c r="A85" s="2">
        <v>46044.854166666664</v>
      </c>
      <c r="B85" t="s">
        <v>309</v>
      </c>
      <c r="C85" t="s">
        <v>372</v>
      </c>
      <c r="D85">
        <v>3</v>
      </c>
      <c r="E85" t="s">
        <v>180</v>
      </c>
      <c r="F85" t="s">
        <v>373</v>
      </c>
      <c r="G85">
        <f t="shared" si="3"/>
        <v>4.2158516020236094</v>
      </c>
      <c r="H85">
        <f t="shared" si="4"/>
        <v>0.16863406408094433</v>
      </c>
      <c r="I85">
        <v>43.83</v>
      </c>
      <c r="J85">
        <f t="shared" si="5"/>
        <v>95.615514333895447</v>
      </c>
      <c r="K85">
        <v>0.85</v>
      </c>
      <c r="L85">
        <v>0.2</v>
      </c>
      <c r="M85">
        <v>0.7</v>
      </c>
      <c r="N85">
        <v>567</v>
      </c>
      <c r="O85">
        <v>25</v>
      </c>
      <c r="P85">
        <v>1</v>
      </c>
      <c r="Q85">
        <v>4.38</v>
      </c>
      <c r="R85" t="s">
        <v>375</v>
      </c>
      <c r="S85">
        <v>0.11</v>
      </c>
      <c r="U85">
        <v>53</v>
      </c>
    </row>
    <row r="86" spans="1:21" x14ac:dyDescent="0.25">
      <c r="A86" s="2">
        <v>46044.854861111111</v>
      </c>
      <c r="B86" t="s">
        <v>309</v>
      </c>
      <c r="C86" t="s">
        <v>372</v>
      </c>
      <c r="D86">
        <v>3</v>
      </c>
      <c r="E86" t="s">
        <v>185</v>
      </c>
      <c r="F86" t="s">
        <v>373</v>
      </c>
      <c r="G86">
        <f t="shared" si="3"/>
        <v>4</v>
      </c>
      <c r="H86">
        <f t="shared" si="4"/>
        <v>0</v>
      </c>
      <c r="I86">
        <v>43.83</v>
      </c>
      <c r="J86">
        <f t="shared" si="5"/>
        <v>96</v>
      </c>
      <c r="K86">
        <v>0.85</v>
      </c>
      <c r="L86">
        <v>0.2</v>
      </c>
      <c r="M86">
        <v>0.7</v>
      </c>
      <c r="N86">
        <v>576</v>
      </c>
      <c r="O86">
        <v>24</v>
      </c>
      <c r="P86">
        <v>0</v>
      </c>
      <c r="Q86">
        <v>4</v>
      </c>
      <c r="R86" t="s">
        <v>375</v>
      </c>
      <c r="S86">
        <v>0.1</v>
      </c>
      <c r="U86">
        <v>53</v>
      </c>
    </row>
    <row r="87" spans="1:21" x14ac:dyDescent="0.25">
      <c r="A87" s="2">
        <v>46044.854861111111</v>
      </c>
      <c r="B87" t="s">
        <v>309</v>
      </c>
      <c r="C87" t="s">
        <v>372</v>
      </c>
      <c r="D87">
        <v>3</v>
      </c>
      <c r="E87" t="s">
        <v>188</v>
      </c>
      <c r="F87" t="s">
        <v>373</v>
      </c>
      <c r="G87">
        <f t="shared" si="3"/>
        <v>0.44313146233382572</v>
      </c>
      <c r="H87">
        <f t="shared" si="4"/>
        <v>0</v>
      </c>
      <c r="I87">
        <v>43.83</v>
      </c>
      <c r="J87">
        <f t="shared" si="5"/>
        <v>99.556868537666176</v>
      </c>
      <c r="K87">
        <v>0.85</v>
      </c>
      <c r="L87">
        <v>0.2</v>
      </c>
      <c r="M87">
        <v>0.7</v>
      </c>
      <c r="N87">
        <v>674</v>
      </c>
      <c r="O87">
        <v>3</v>
      </c>
      <c r="P87">
        <v>0</v>
      </c>
      <c r="Q87">
        <v>0.44</v>
      </c>
      <c r="R87" t="s">
        <v>376</v>
      </c>
      <c r="S87">
        <v>0.01</v>
      </c>
      <c r="U87">
        <v>18</v>
      </c>
    </row>
    <row r="88" spans="1:21" x14ac:dyDescent="0.25">
      <c r="A88" s="2">
        <v>46044.854861111111</v>
      </c>
      <c r="B88" t="s">
        <v>309</v>
      </c>
      <c r="C88" t="s">
        <v>372</v>
      </c>
      <c r="D88">
        <v>3</v>
      </c>
      <c r="E88" t="s">
        <v>189</v>
      </c>
      <c r="F88" t="s">
        <v>373</v>
      </c>
      <c r="G88">
        <f t="shared" si="3"/>
        <v>27.586206896551722</v>
      </c>
      <c r="H88">
        <f t="shared" si="4"/>
        <v>0</v>
      </c>
      <c r="I88">
        <v>43.83</v>
      </c>
      <c r="J88">
        <f t="shared" si="5"/>
        <v>72.41379310344827</v>
      </c>
      <c r="K88">
        <v>0.85</v>
      </c>
      <c r="L88">
        <v>0.2</v>
      </c>
      <c r="M88">
        <v>0.7</v>
      </c>
      <c r="N88">
        <v>462</v>
      </c>
      <c r="O88">
        <v>176</v>
      </c>
      <c r="P88">
        <v>0</v>
      </c>
      <c r="Q88">
        <v>27.59</v>
      </c>
      <c r="R88" t="s">
        <v>375</v>
      </c>
      <c r="S88">
        <v>0.67</v>
      </c>
      <c r="U88">
        <v>72</v>
      </c>
    </row>
    <row r="89" spans="1:21" x14ac:dyDescent="0.25">
      <c r="A89" s="2">
        <v>46044.855555555558</v>
      </c>
      <c r="B89" t="s">
        <v>309</v>
      </c>
      <c r="C89" t="s">
        <v>372</v>
      </c>
      <c r="D89">
        <v>3</v>
      </c>
      <c r="E89" t="s">
        <v>327</v>
      </c>
      <c r="F89" t="s">
        <v>373</v>
      </c>
      <c r="G89">
        <f t="shared" si="3"/>
        <v>37.837837837837839</v>
      </c>
      <c r="H89">
        <f t="shared" si="4"/>
        <v>0.1589825119236884</v>
      </c>
      <c r="I89">
        <v>43.83</v>
      </c>
      <c r="J89">
        <f t="shared" si="5"/>
        <v>62.003179650238472</v>
      </c>
      <c r="K89">
        <v>0.85</v>
      </c>
      <c r="L89">
        <v>0.2</v>
      </c>
      <c r="M89">
        <v>0.7</v>
      </c>
      <c r="N89">
        <v>390</v>
      </c>
      <c r="O89">
        <v>238</v>
      </c>
      <c r="P89">
        <v>1</v>
      </c>
      <c r="Q89">
        <v>38</v>
      </c>
      <c r="R89" t="s">
        <v>379</v>
      </c>
      <c r="S89">
        <v>1.06</v>
      </c>
      <c r="U89">
        <v>67</v>
      </c>
    </row>
    <row r="90" spans="1:21" x14ac:dyDescent="0.25">
      <c r="A90" s="2">
        <v>46044.855555555558</v>
      </c>
      <c r="B90" t="s">
        <v>309</v>
      </c>
      <c r="C90" t="s">
        <v>372</v>
      </c>
      <c r="D90">
        <v>3</v>
      </c>
      <c r="E90" t="s">
        <v>190</v>
      </c>
      <c r="F90" t="s">
        <v>373</v>
      </c>
      <c r="G90">
        <f t="shared" si="3"/>
        <v>13.407821229050279</v>
      </c>
      <c r="H90">
        <f t="shared" si="4"/>
        <v>0.13966480446927373</v>
      </c>
      <c r="I90">
        <v>43.83</v>
      </c>
      <c r="J90">
        <f t="shared" si="5"/>
        <v>86.452513966480453</v>
      </c>
      <c r="K90">
        <v>0.85</v>
      </c>
      <c r="L90">
        <v>0.2</v>
      </c>
      <c r="M90">
        <v>0.7</v>
      </c>
      <c r="N90">
        <v>619</v>
      </c>
      <c r="O90">
        <v>96</v>
      </c>
      <c r="P90">
        <v>1</v>
      </c>
      <c r="Q90">
        <v>13.55</v>
      </c>
      <c r="R90" t="s">
        <v>383</v>
      </c>
      <c r="S90">
        <v>0.38</v>
      </c>
      <c r="U90">
        <v>25</v>
      </c>
    </row>
    <row r="91" spans="1:21" x14ac:dyDescent="0.25">
      <c r="A91" s="2">
        <v>46044.856249999997</v>
      </c>
      <c r="B91" t="s">
        <v>309</v>
      </c>
      <c r="C91" t="s">
        <v>372</v>
      </c>
      <c r="D91">
        <v>3</v>
      </c>
      <c r="E91" t="s">
        <v>193</v>
      </c>
      <c r="F91" t="s">
        <v>373</v>
      </c>
      <c r="G91">
        <f t="shared" si="3"/>
        <v>9.0301003344481607</v>
      </c>
      <c r="H91">
        <f t="shared" si="4"/>
        <v>0</v>
      </c>
      <c r="I91">
        <v>43.83</v>
      </c>
      <c r="J91">
        <f t="shared" si="5"/>
        <v>90.969899665551836</v>
      </c>
      <c r="K91">
        <v>0.85</v>
      </c>
      <c r="L91">
        <v>0.2</v>
      </c>
      <c r="M91">
        <v>0.7</v>
      </c>
      <c r="N91">
        <v>544</v>
      </c>
      <c r="O91">
        <v>54</v>
      </c>
      <c r="P91">
        <v>0</v>
      </c>
      <c r="Q91">
        <v>9.0299999999999994</v>
      </c>
      <c r="R91" t="s">
        <v>380</v>
      </c>
      <c r="S91">
        <v>0.23</v>
      </c>
      <c r="U91">
        <v>46</v>
      </c>
    </row>
    <row r="92" spans="1:21" x14ac:dyDescent="0.25">
      <c r="A92" s="2">
        <v>46044.856249999997</v>
      </c>
      <c r="B92" t="s">
        <v>309</v>
      </c>
      <c r="C92" t="s">
        <v>372</v>
      </c>
      <c r="D92">
        <v>3</v>
      </c>
      <c r="E92" t="s">
        <v>194</v>
      </c>
      <c r="F92" t="s">
        <v>373</v>
      </c>
      <c r="G92">
        <f t="shared" si="3"/>
        <v>39.897260273972599</v>
      </c>
      <c r="H92">
        <f t="shared" si="4"/>
        <v>0.17123287671232876</v>
      </c>
      <c r="I92">
        <v>43.83</v>
      </c>
      <c r="J92">
        <f t="shared" si="5"/>
        <v>59.931506849315063</v>
      </c>
      <c r="K92">
        <v>0.85</v>
      </c>
      <c r="L92">
        <v>0.2</v>
      </c>
      <c r="M92">
        <v>0.7</v>
      </c>
      <c r="N92">
        <v>350</v>
      </c>
      <c r="O92">
        <v>233</v>
      </c>
      <c r="P92">
        <v>1</v>
      </c>
      <c r="Q92">
        <v>40.07</v>
      </c>
      <c r="R92" t="s">
        <v>384</v>
      </c>
      <c r="S92">
        <v>1.04</v>
      </c>
      <c r="U92">
        <v>78</v>
      </c>
    </row>
    <row r="93" spans="1:21" x14ac:dyDescent="0.25">
      <c r="A93" s="2">
        <v>46044.856944444444</v>
      </c>
      <c r="B93" t="s">
        <v>309</v>
      </c>
      <c r="C93" t="s">
        <v>372</v>
      </c>
      <c r="D93">
        <v>3</v>
      </c>
      <c r="E93" t="s">
        <v>197</v>
      </c>
      <c r="F93" t="s">
        <v>373</v>
      </c>
      <c r="G93">
        <f t="shared" si="3"/>
        <v>8.4628670120898093</v>
      </c>
      <c r="H93">
        <f t="shared" si="4"/>
        <v>0.17271157167530224</v>
      </c>
      <c r="I93">
        <v>43.83</v>
      </c>
      <c r="J93">
        <f t="shared" si="5"/>
        <v>91.36442141623489</v>
      </c>
      <c r="K93">
        <v>0.85</v>
      </c>
      <c r="L93">
        <v>0.2</v>
      </c>
      <c r="M93">
        <v>0.7</v>
      </c>
      <c r="N93">
        <v>529</v>
      </c>
      <c r="O93">
        <v>49</v>
      </c>
      <c r="P93">
        <v>1</v>
      </c>
      <c r="Q93">
        <v>8.64</v>
      </c>
      <c r="R93" t="s">
        <v>380</v>
      </c>
      <c r="S93">
        <v>0.22</v>
      </c>
      <c r="U93">
        <v>88</v>
      </c>
    </row>
    <row r="94" spans="1:21" x14ac:dyDescent="0.25">
      <c r="A94" s="2">
        <v>46044.856944444444</v>
      </c>
      <c r="B94" t="s">
        <v>309</v>
      </c>
      <c r="C94" t="s">
        <v>372</v>
      </c>
      <c r="D94">
        <v>3</v>
      </c>
      <c r="E94" t="s">
        <v>198</v>
      </c>
      <c r="F94" t="s">
        <v>373</v>
      </c>
      <c r="G94">
        <f t="shared" si="3"/>
        <v>92.919075144508668</v>
      </c>
      <c r="H94">
        <f t="shared" si="4"/>
        <v>5.6358381502890174</v>
      </c>
      <c r="I94">
        <v>43.83</v>
      </c>
      <c r="J94">
        <f t="shared" si="5"/>
        <v>1.4450867052023122</v>
      </c>
      <c r="K94">
        <v>0.85</v>
      </c>
      <c r="L94">
        <v>0.2</v>
      </c>
      <c r="M94">
        <v>0.7</v>
      </c>
      <c r="N94">
        <v>10</v>
      </c>
      <c r="O94">
        <v>643</v>
      </c>
      <c r="P94">
        <v>39</v>
      </c>
      <c r="Q94">
        <v>98.55</v>
      </c>
      <c r="R94" t="s">
        <v>386</v>
      </c>
      <c r="S94">
        <v>3.16</v>
      </c>
      <c r="U94">
        <v>8</v>
      </c>
    </row>
    <row r="95" spans="1:21" x14ac:dyDescent="0.25">
      <c r="A95" s="2">
        <v>46044.857638888891</v>
      </c>
      <c r="B95" t="s">
        <v>309</v>
      </c>
      <c r="C95" t="s">
        <v>372</v>
      </c>
      <c r="D95">
        <v>3</v>
      </c>
      <c r="E95" t="s">
        <v>200</v>
      </c>
      <c r="F95" t="s">
        <v>373</v>
      </c>
      <c r="G95">
        <f t="shared" si="3"/>
        <v>14.678899082568808</v>
      </c>
      <c r="H95">
        <f t="shared" si="4"/>
        <v>0.1529051987767584</v>
      </c>
      <c r="I95">
        <v>43.83</v>
      </c>
      <c r="J95">
        <f t="shared" si="5"/>
        <v>85.168195718654431</v>
      </c>
      <c r="K95">
        <v>0.85</v>
      </c>
      <c r="L95">
        <v>0.2</v>
      </c>
      <c r="M95">
        <v>0.7</v>
      </c>
      <c r="N95">
        <v>557</v>
      </c>
      <c r="O95">
        <v>96</v>
      </c>
      <c r="P95">
        <v>1</v>
      </c>
      <c r="Q95">
        <v>14.83</v>
      </c>
      <c r="R95" t="s">
        <v>375</v>
      </c>
      <c r="S95">
        <v>0.42</v>
      </c>
      <c r="U95">
        <v>53</v>
      </c>
    </row>
    <row r="96" spans="1:21" x14ac:dyDescent="0.25">
      <c r="A96" s="2">
        <v>46044.857638888891</v>
      </c>
      <c r="B96" t="s">
        <v>309</v>
      </c>
      <c r="C96" t="s">
        <v>372</v>
      </c>
      <c r="D96">
        <v>3</v>
      </c>
      <c r="E96" t="s">
        <v>202</v>
      </c>
      <c r="F96" t="s">
        <v>373</v>
      </c>
      <c r="G96">
        <f t="shared" si="3"/>
        <v>77.64705882352942</v>
      </c>
      <c r="H96">
        <f t="shared" si="4"/>
        <v>4.117647058823529</v>
      </c>
      <c r="I96">
        <v>43.83</v>
      </c>
      <c r="J96">
        <f t="shared" si="5"/>
        <v>18.235294117647058</v>
      </c>
      <c r="K96">
        <v>0.85</v>
      </c>
      <c r="L96">
        <v>0.2</v>
      </c>
      <c r="M96">
        <v>0.7</v>
      </c>
      <c r="N96">
        <v>124</v>
      </c>
      <c r="O96">
        <v>528</v>
      </c>
      <c r="P96">
        <v>28</v>
      </c>
      <c r="Q96">
        <v>81.760000000000005</v>
      </c>
      <c r="R96" t="s">
        <v>387</v>
      </c>
      <c r="S96">
        <v>2.48</v>
      </c>
      <c r="U96">
        <v>38</v>
      </c>
    </row>
    <row r="97" spans="1:21" x14ac:dyDescent="0.25">
      <c r="A97" s="2">
        <v>46044.85833333333</v>
      </c>
      <c r="B97" t="s">
        <v>309</v>
      </c>
      <c r="C97" t="s">
        <v>372</v>
      </c>
      <c r="D97">
        <v>3</v>
      </c>
      <c r="E97" t="s">
        <v>204</v>
      </c>
      <c r="F97" t="s">
        <v>373</v>
      </c>
      <c r="G97">
        <f t="shared" si="3"/>
        <v>1.2750455373406193</v>
      </c>
      <c r="H97">
        <f t="shared" si="4"/>
        <v>0</v>
      </c>
      <c r="I97">
        <v>43.83</v>
      </c>
      <c r="J97">
        <f t="shared" si="5"/>
        <v>98.724954462659369</v>
      </c>
      <c r="K97">
        <v>0.85</v>
      </c>
      <c r="L97">
        <v>0.2</v>
      </c>
      <c r="M97">
        <v>0.7</v>
      </c>
      <c r="N97">
        <v>542</v>
      </c>
      <c r="O97">
        <v>7</v>
      </c>
      <c r="P97">
        <v>0</v>
      </c>
      <c r="Q97">
        <v>1.28</v>
      </c>
      <c r="R97" t="s">
        <v>371</v>
      </c>
      <c r="S97">
        <v>0.03</v>
      </c>
      <c r="U97">
        <v>19</v>
      </c>
    </row>
    <row r="98" spans="1:21" x14ac:dyDescent="0.25">
      <c r="A98" s="2">
        <v>46044.85833333333</v>
      </c>
      <c r="B98" t="s">
        <v>309</v>
      </c>
      <c r="C98" t="s">
        <v>372</v>
      </c>
      <c r="D98">
        <v>3</v>
      </c>
      <c r="E98" t="s">
        <v>207</v>
      </c>
      <c r="F98" t="s">
        <v>373</v>
      </c>
      <c r="G98">
        <f t="shared" si="3"/>
        <v>6.7590987868284227</v>
      </c>
      <c r="H98">
        <f t="shared" si="4"/>
        <v>0</v>
      </c>
      <c r="I98">
        <v>43.83</v>
      </c>
      <c r="J98">
        <f t="shared" si="5"/>
        <v>93.240901213171583</v>
      </c>
      <c r="K98">
        <v>0.85</v>
      </c>
      <c r="L98">
        <v>0.2</v>
      </c>
      <c r="M98">
        <v>0.7</v>
      </c>
      <c r="N98">
        <v>538</v>
      </c>
      <c r="O98">
        <v>39</v>
      </c>
      <c r="P98">
        <v>0</v>
      </c>
      <c r="Q98">
        <v>6.76</v>
      </c>
      <c r="R98" t="s">
        <v>380</v>
      </c>
      <c r="S98">
        <v>0.18</v>
      </c>
      <c r="U98">
        <v>59</v>
      </c>
    </row>
    <row r="99" spans="1:21" x14ac:dyDescent="0.25">
      <c r="A99" s="2">
        <v>46044.859027777777</v>
      </c>
      <c r="B99" t="s">
        <v>309</v>
      </c>
      <c r="C99" t="s">
        <v>372</v>
      </c>
      <c r="D99">
        <v>3</v>
      </c>
      <c r="E99" t="s">
        <v>211</v>
      </c>
      <c r="F99" t="s">
        <v>373</v>
      </c>
      <c r="G99">
        <f t="shared" si="3"/>
        <v>2.2491349480968861</v>
      </c>
      <c r="H99">
        <f t="shared" si="4"/>
        <v>0</v>
      </c>
      <c r="I99">
        <v>43.83</v>
      </c>
      <c r="J99">
        <f t="shared" si="5"/>
        <v>97.750865051903119</v>
      </c>
      <c r="K99">
        <v>0.85</v>
      </c>
      <c r="L99">
        <v>0.2</v>
      </c>
      <c r="M99">
        <v>0.7</v>
      </c>
      <c r="N99">
        <v>565</v>
      </c>
      <c r="O99">
        <v>13</v>
      </c>
      <c r="P99">
        <v>0</v>
      </c>
      <c r="Q99">
        <v>2.25</v>
      </c>
      <c r="R99" t="s">
        <v>377</v>
      </c>
      <c r="S99">
        <v>0.06</v>
      </c>
      <c r="U99">
        <v>58</v>
      </c>
    </row>
    <row r="100" spans="1:21" x14ac:dyDescent="0.25">
      <c r="A100" s="2">
        <v>46044.859027777777</v>
      </c>
      <c r="B100" t="s">
        <v>309</v>
      </c>
      <c r="C100" t="s">
        <v>372</v>
      </c>
      <c r="D100">
        <v>3</v>
      </c>
      <c r="E100" t="s">
        <v>212</v>
      </c>
      <c r="F100" t="s">
        <v>373</v>
      </c>
      <c r="G100">
        <f t="shared" si="3"/>
        <v>42.546583850931682</v>
      </c>
      <c r="H100">
        <f t="shared" si="4"/>
        <v>1.0869565217391304</v>
      </c>
      <c r="I100">
        <v>43.83</v>
      </c>
      <c r="J100">
        <f t="shared" si="5"/>
        <v>56.366459627329192</v>
      </c>
      <c r="K100">
        <v>0.85</v>
      </c>
      <c r="L100">
        <v>0.2</v>
      </c>
      <c r="M100">
        <v>0.7</v>
      </c>
      <c r="N100">
        <v>363</v>
      </c>
      <c r="O100">
        <v>274</v>
      </c>
      <c r="P100">
        <v>7</v>
      </c>
      <c r="Q100">
        <v>43.63</v>
      </c>
      <c r="R100" t="s">
        <v>295</v>
      </c>
      <c r="S100">
        <v>1.17</v>
      </c>
      <c r="U100">
        <v>49</v>
      </c>
    </row>
    <row r="101" spans="1:21" x14ac:dyDescent="0.25">
      <c r="A101" s="2">
        <v>46044.902395833335</v>
      </c>
      <c r="B101" t="s">
        <v>309</v>
      </c>
      <c r="C101" t="s">
        <v>372</v>
      </c>
      <c r="D101">
        <v>3</v>
      </c>
      <c r="E101" t="s">
        <v>21</v>
      </c>
      <c r="F101" t="s">
        <v>388</v>
      </c>
      <c r="G101">
        <f t="shared" si="3"/>
        <v>3.6334913112164293</v>
      </c>
      <c r="H101">
        <f t="shared" si="4"/>
        <v>0</v>
      </c>
      <c r="I101">
        <v>43.83</v>
      </c>
      <c r="J101">
        <f t="shared" si="5"/>
        <v>96.366508688783568</v>
      </c>
      <c r="K101">
        <v>0.85</v>
      </c>
      <c r="L101">
        <v>0.2</v>
      </c>
      <c r="M101">
        <v>0.7</v>
      </c>
      <c r="N101">
        <v>610</v>
      </c>
      <c r="O101">
        <v>23</v>
      </c>
      <c r="P101">
        <v>0</v>
      </c>
      <c r="Q101">
        <v>3.63</v>
      </c>
      <c r="R101" t="s">
        <v>380</v>
      </c>
      <c r="S101">
        <v>0.09</v>
      </c>
      <c r="U101">
        <v>23</v>
      </c>
    </row>
    <row r="102" spans="1:21" x14ac:dyDescent="0.25">
      <c r="A102" s="2">
        <v>46044.902708333335</v>
      </c>
      <c r="B102" t="s">
        <v>309</v>
      </c>
      <c r="C102" t="s">
        <v>372</v>
      </c>
      <c r="D102">
        <v>3</v>
      </c>
      <c r="E102" t="s">
        <v>25</v>
      </c>
      <c r="F102" t="s">
        <v>388</v>
      </c>
      <c r="G102">
        <f t="shared" si="3"/>
        <v>1.9607843137254901</v>
      </c>
      <c r="H102">
        <f t="shared" si="4"/>
        <v>0</v>
      </c>
      <c r="I102">
        <v>43.83</v>
      </c>
      <c r="J102">
        <f t="shared" si="5"/>
        <v>98.039215686274503</v>
      </c>
      <c r="K102">
        <v>0.85</v>
      </c>
      <c r="L102">
        <v>0.2</v>
      </c>
      <c r="M102">
        <v>0.7</v>
      </c>
      <c r="N102">
        <v>600</v>
      </c>
      <c r="O102">
        <v>12</v>
      </c>
      <c r="P102">
        <v>0</v>
      </c>
      <c r="Q102">
        <v>1.96</v>
      </c>
      <c r="R102" t="s">
        <v>376</v>
      </c>
      <c r="S102">
        <v>0.05</v>
      </c>
      <c r="U102">
        <v>18</v>
      </c>
    </row>
    <row r="103" spans="1:21" x14ac:dyDescent="0.25">
      <c r="A103" s="2">
        <v>46044.903009259258</v>
      </c>
      <c r="B103" t="s">
        <v>309</v>
      </c>
      <c r="C103" t="s">
        <v>372</v>
      </c>
      <c r="D103">
        <v>3</v>
      </c>
      <c r="E103" t="s">
        <v>26</v>
      </c>
      <c r="F103" t="s">
        <v>388</v>
      </c>
      <c r="G103">
        <f t="shared" si="3"/>
        <v>13.333333333333334</v>
      </c>
      <c r="H103">
        <f t="shared" si="4"/>
        <v>27.575757575757574</v>
      </c>
      <c r="I103">
        <v>43.83</v>
      </c>
      <c r="J103">
        <f t="shared" si="5"/>
        <v>59.090909090909093</v>
      </c>
      <c r="K103">
        <v>0.85</v>
      </c>
      <c r="L103">
        <v>0.2</v>
      </c>
      <c r="M103">
        <v>0.7</v>
      </c>
      <c r="N103">
        <v>390</v>
      </c>
      <c r="O103">
        <v>88</v>
      </c>
      <c r="P103">
        <v>182</v>
      </c>
      <c r="Q103">
        <v>40.909999999999997</v>
      </c>
      <c r="R103" t="s">
        <v>379</v>
      </c>
      <c r="S103">
        <v>1.1299999999999999</v>
      </c>
      <c r="U103">
        <v>39</v>
      </c>
    </row>
    <row r="104" spans="1:21" x14ac:dyDescent="0.25">
      <c r="A104" s="2">
        <v>46044.903368055559</v>
      </c>
      <c r="B104" t="s">
        <v>309</v>
      </c>
      <c r="C104" t="s">
        <v>372</v>
      </c>
      <c r="D104">
        <v>3</v>
      </c>
      <c r="E104" t="s">
        <v>30</v>
      </c>
      <c r="F104" t="s">
        <v>388</v>
      </c>
      <c r="G104">
        <f t="shared" si="3"/>
        <v>0.1492537313432836</v>
      </c>
      <c r="H104">
        <f t="shared" si="4"/>
        <v>0</v>
      </c>
      <c r="I104">
        <v>43.83</v>
      </c>
      <c r="J104">
        <f t="shared" si="5"/>
        <v>99.850746268656721</v>
      </c>
      <c r="K104">
        <v>0.85</v>
      </c>
      <c r="L104">
        <v>0.2</v>
      </c>
      <c r="M104">
        <v>0.7</v>
      </c>
      <c r="N104">
        <v>669</v>
      </c>
      <c r="O104">
        <v>1</v>
      </c>
      <c r="P104">
        <v>0</v>
      </c>
      <c r="Q104">
        <v>0.15</v>
      </c>
      <c r="R104" t="s">
        <v>376</v>
      </c>
      <c r="S104">
        <v>0</v>
      </c>
      <c r="U104">
        <v>7</v>
      </c>
    </row>
    <row r="105" spans="1:21" x14ac:dyDescent="0.25">
      <c r="A105" s="2">
        <v>46044.903668981482</v>
      </c>
      <c r="B105" t="s">
        <v>309</v>
      </c>
      <c r="C105" t="s">
        <v>372</v>
      </c>
      <c r="D105">
        <v>3</v>
      </c>
      <c r="E105" t="s">
        <v>31</v>
      </c>
      <c r="F105" t="s">
        <v>388</v>
      </c>
      <c r="G105">
        <f t="shared" si="3"/>
        <v>3.554868624420402</v>
      </c>
      <c r="H105">
        <f t="shared" si="4"/>
        <v>0.46367851622874806</v>
      </c>
      <c r="I105">
        <v>43.83</v>
      </c>
      <c r="J105">
        <f t="shared" si="5"/>
        <v>95.981452859350853</v>
      </c>
      <c r="K105">
        <v>0.85</v>
      </c>
      <c r="L105">
        <v>0.2</v>
      </c>
      <c r="M105">
        <v>0.7</v>
      </c>
      <c r="N105">
        <v>621</v>
      </c>
      <c r="O105">
        <v>23</v>
      </c>
      <c r="P105">
        <v>3</v>
      </c>
      <c r="Q105">
        <v>4.0199999999999996</v>
      </c>
      <c r="R105" t="s">
        <v>375</v>
      </c>
      <c r="S105">
        <v>0.1</v>
      </c>
      <c r="U105">
        <v>29</v>
      </c>
    </row>
    <row r="106" spans="1:21" x14ac:dyDescent="0.25">
      <c r="A106" s="2">
        <v>46044.903969907406</v>
      </c>
      <c r="B106" t="s">
        <v>309</v>
      </c>
      <c r="C106" t="s">
        <v>372</v>
      </c>
      <c r="D106">
        <v>3</v>
      </c>
      <c r="E106" t="s">
        <v>33</v>
      </c>
      <c r="F106" t="s">
        <v>388</v>
      </c>
      <c r="G106">
        <f t="shared" si="3"/>
        <v>17.744360902255639</v>
      </c>
      <c r="H106">
        <f t="shared" si="4"/>
        <v>12.93233082706767</v>
      </c>
      <c r="I106">
        <v>43.83</v>
      </c>
      <c r="J106">
        <f t="shared" si="5"/>
        <v>69.323308270676691</v>
      </c>
      <c r="K106">
        <v>0.85</v>
      </c>
      <c r="L106">
        <v>0.2</v>
      </c>
      <c r="M106">
        <v>0.7</v>
      </c>
      <c r="N106">
        <v>461</v>
      </c>
      <c r="O106">
        <v>118</v>
      </c>
      <c r="P106">
        <v>86</v>
      </c>
      <c r="Q106">
        <v>30.68</v>
      </c>
      <c r="R106" t="s">
        <v>379</v>
      </c>
      <c r="S106">
        <v>0.85</v>
      </c>
      <c r="U106">
        <v>59</v>
      </c>
    </row>
    <row r="107" spans="1:21" x14ac:dyDescent="0.25">
      <c r="A107" s="2">
        <v>46044.904317129629</v>
      </c>
      <c r="B107" t="s">
        <v>309</v>
      </c>
      <c r="C107" t="s">
        <v>372</v>
      </c>
      <c r="D107">
        <v>3</v>
      </c>
      <c r="E107" t="s">
        <v>35</v>
      </c>
      <c r="F107" t="s">
        <v>388</v>
      </c>
      <c r="G107">
        <f t="shared" si="3"/>
        <v>3.1879194630872485</v>
      </c>
      <c r="H107">
        <f t="shared" si="4"/>
        <v>0</v>
      </c>
      <c r="I107">
        <v>43.83</v>
      </c>
      <c r="J107">
        <f t="shared" si="5"/>
        <v>96.812080536912745</v>
      </c>
      <c r="K107">
        <v>0.85</v>
      </c>
      <c r="L107">
        <v>0.2</v>
      </c>
      <c r="M107">
        <v>0.7</v>
      </c>
      <c r="N107">
        <v>577</v>
      </c>
      <c r="O107">
        <v>19</v>
      </c>
      <c r="P107">
        <v>0</v>
      </c>
      <c r="Q107">
        <v>3.19</v>
      </c>
      <c r="R107" t="s">
        <v>377</v>
      </c>
      <c r="S107">
        <v>0.08</v>
      </c>
      <c r="U107">
        <v>18</v>
      </c>
    </row>
    <row r="108" spans="1:21" x14ac:dyDescent="0.25">
      <c r="A108" s="2">
        <v>46044.904606481483</v>
      </c>
      <c r="B108" t="s">
        <v>309</v>
      </c>
      <c r="C108" t="s">
        <v>372</v>
      </c>
      <c r="D108">
        <v>3</v>
      </c>
      <c r="E108" t="s">
        <v>38</v>
      </c>
      <c r="F108" t="s">
        <v>388</v>
      </c>
      <c r="G108">
        <f t="shared" si="3"/>
        <v>0.88105726872246704</v>
      </c>
      <c r="H108">
        <f t="shared" si="4"/>
        <v>0.14684287812041116</v>
      </c>
      <c r="I108">
        <v>43.83</v>
      </c>
      <c r="J108">
        <f t="shared" si="5"/>
        <v>98.972099853157118</v>
      </c>
      <c r="K108">
        <v>0.85</v>
      </c>
      <c r="L108">
        <v>0.2</v>
      </c>
      <c r="M108">
        <v>0.7</v>
      </c>
      <c r="N108">
        <v>674</v>
      </c>
      <c r="O108">
        <v>6</v>
      </c>
      <c r="P108">
        <v>1</v>
      </c>
      <c r="Q108">
        <v>1.03</v>
      </c>
      <c r="R108" t="s">
        <v>376</v>
      </c>
      <c r="S108">
        <v>0.03</v>
      </c>
      <c r="U108">
        <v>15</v>
      </c>
    </row>
    <row r="109" spans="1:21" x14ac:dyDescent="0.25">
      <c r="A109" s="2">
        <v>46044.904895833337</v>
      </c>
      <c r="B109" t="s">
        <v>309</v>
      </c>
      <c r="C109" t="s">
        <v>372</v>
      </c>
      <c r="D109">
        <v>3</v>
      </c>
      <c r="E109" t="s">
        <v>39</v>
      </c>
      <c r="F109" t="s">
        <v>388</v>
      </c>
      <c r="G109">
        <f t="shared" si="3"/>
        <v>13.677811550151976</v>
      </c>
      <c r="H109">
        <f t="shared" si="4"/>
        <v>0</v>
      </c>
      <c r="I109">
        <v>43.83</v>
      </c>
      <c r="J109">
        <f t="shared" si="5"/>
        <v>86.322188449848028</v>
      </c>
      <c r="K109">
        <v>0.85</v>
      </c>
      <c r="L109">
        <v>0.2</v>
      </c>
      <c r="M109">
        <v>0.7</v>
      </c>
      <c r="N109">
        <v>568</v>
      </c>
      <c r="O109">
        <v>90</v>
      </c>
      <c r="P109">
        <v>0</v>
      </c>
      <c r="Q109">
        <v>13.68</v>
      </c>
      <c r="R109" t="s">
        <v>383</v>
      </c>
      <c r="S109">
        <v>0.33</v>
      </c>
      <c r="U109">
        <v>81</v>
      </c>
    </row>
    <row r="110" spans="1:21" x14ac:dyDescent="0.25">
      <c r="A110" s="2">
        <v>46044.905219907407</v>
      </c>
      <c r="B110" t="s">
        <v>309</v>
      </c>
      <c r="C110" t="s">
        <v>372</v>
      </c>
      <c r="D110">
        <v>3</v>
      </c>
      <c r="E110" t="s">
        <v>40</v>
      </c>
      <c r="F110" t="s">
        <v>388</v>
      </c>
      <c r="G110">
        <f t="shared" si="3"/>
        <v>0.29985007496251875</v>
      </c>
      <c r="H110">
        <f t="shared" si="4"/>
        <v>0</v>
      </c>
      <c r="I110">
        <v>43.83</v>
      </c>
      <c r="J110">
        <f t="shared" si="5"/>
        <v>99.700149925037479</v>
      </c>
      <c r="K110">
        <v>0.85</v>
      </c>
      <c r="L110">
        <v>0.2</v>
      </c>
      <c r="M110">
        <v>0.7</v>
      </c>
      <c r="N110">
        <v>665</v>
      </c>
      <c r="O110">
        <v>2</v>
      </c>
      <c r="P110">
        <v>0</v>
      </c>
      <c r="Q110">
        <v>0.3</v>
      </c>
      <c r="R110" t="s">
        <v>376</v>
      </c>
      <c r="S110">
        <v>0.01</v>
      </c>
      <c r="U110">
        <v>3</v>
      </c>
    </row>
    <row r="111" spans="1:21" x14ac:dyDescent="0.25">
      <c r="A111" s="2">
        <v>46044.90552083333</v>
      </c>
      <c r="B111" t="s">
        <v>309</v>
      </c>
      <c r="C111" t="s">
        <v>372</v>
      </c>
      <c r="D111">
        <v>3</v>
      </c>
      <c r="E111" t="s">
        <v>46</v>
      </c>
      <c r="F111" t="s">
        <v>388</v>
      </c>
      <c r="G111">
        <f t="shared" si="3"/>
        <v>22.089552238805972</v>
      </c>
      <c r="H111">
        <f t="shared" si="4"/>
        <v>66.417910447761201</v>
      </c>
      <c r="I111">
        <v>43.83</v>
      </c>
      <c r="J111">
        <f t="shared" si="5"/>
        <v>11.492537313432836</v>
      </c>
      <c r="K111">
        <v>0.85</v>
      </c>
      <c r="L111">
        <v>0.2</v>
      </c>
      <c r="M111">
        <v>0.7</v>
      </c>
      <c r="N111">
        <v>77</v>
      </c>
      <c r="O111">
        <v>148</v>
      </c>
      <c r="P111">
        <v>445</v>
      </c>
      <c r="Q111">
        <v>88.51</v>
      </c>
      <c r="R111" t="s">
        <v>385</v>
      </c>
      <c r="S111">
        <v>2.5099999999999998</v>
      </c>
      <c r="U111">
        <v>26</v>
      </c>
    </row>
    <row r="112" spans="1:21" x14ac:dyDescent="0.25">
      <c r="A112" s="2">
        <v>46044.905949074076</v>
      </c>
      <c r="B112" t="s">
        <v>309</v>
      </c>
      <c r="C112" t="s">
        <v>372</v>
      </c>
      <c r="D112">
        <v>3</v>
      </c>
      <c r="E112" t="s">
        <v>48</v>
      </c>
      <c r="F112" t="s">
        <v>388</v>
      </c>
      <c r="G112">
        <f t="shared" si="3"/>
        <v>0</v>
      </c>
      <c r="H112">
        <f t="shared" si="4"/>
        <v>0.27739251040221913</v>
      </c>
      <c r="I112">
        <v>43.83</v>
      </c>
      <c r="J112">
        <f t="shared" si="5"/>
        <v>99.722607489597777</v>
      </c>
      <c r="K112">
        <v>0.85</v>
      </c>
      <c r="L112">
        <v>0.2</v>
      </c>
      <c r="M112">
        <v>0.7</v>
      </c>
      <c r="N112">
        <v>719</v>
      </c>
      <c r="O112">
        <v>0</v>
      </c>
      <c r="P112">
        <v>2</v>
      </c>
      <c r="Q112">
        <v>0.28000000000000003</v>
      </c>
      <c r="R112" t="s">
        <v>376</v>
      </c>
      <c r="S112">
        <v>0.01</v>
      </c>
      <c r="U112">
        <v>15</v>
      </c>
    </row>
    <row r="113" spans="1:21" x14ac:dyDescent="0.25">
      <c r="A113" s="2">
        <v>46044.90625</v>
      </c>
      <c r="B113" t="s">
        <v>309</v>
      </c>
      <c r="C113" t="s">
        <v>372</v>
      </c>
      <c r="D113">
        <v>3</v>
      </c>
      <c r="E113" t="s">
        <v>49</v>
      </c>
      <c r="F113" t="s">
        <v>388</v>
      </c>
      <c r="G113">
        <f t="shared" si="3"/>
        <v>34.573643410852711</v>
      </c>
      <c r="H113">
        <f t="shared" si="4"/>
        <v>31.627906976744185</v>
      </c>
      <c r="I113">
        <v>43.83</v>
      </c>
      <c r="J113">
        <f t="shared" si="5"/>
        <v>33.798449612403104</v>
      </c>
      <c r="K113">
        <v>0.85</v>
      </c>
      <c r="L113">
        <v>0.2</v>
      </c>
      <c r="M113">
        <v>0.7</v>
      </c>
      <c r="N113">
        <v>218</v>
      </c>
      <c r="O113">
        <v>223</v>
      </c>
      <c r="P113">
        <v>204</v>
      </c>
      <c r="Q113">
        <v>66.2</v>
      </c>
      <c r="R113" t="s">
        <v>295</v>
      </c>
      <c r="S113">
        <v>1.79</v>
      </c>
      <c r="U113">
        <v>65</v>
      </c>
    </row>
    <row r="114" spans="1:21" x14ac:dyDescent="0.25">
      <c r="A114" s="2">
        <v>46044.906643518516</v>
      </c>
      <c r="B114" t="s">
        <v>309</v>
      </c>
      <c r="C114" t="s">
        <v>372</v>
      </c>
      <c r="D114">
        <v>3</v>
      </c>
      <c r="E114" t="s">
        <v>50</v>
      </c>
      <c r="F114" t="s">
        <v>388</v>
      </c>
      <c r="G114">
        <f t="shared" si="3"/>
        <v>11.773700305810397</v>
      </c>
      <c r="H114">
        <f t="shared" si="4"/>
        <v>13.149847094801222</v>
      </c>
      <c r="I114">
        <v>43.83</v>
      </c>
      <c r="J114">
        <f t="shared" si="5"/>
        <v>75.076452599388375</v>
      </c>
      <c r="K114">
        <v>0.85</v>
      </c>
      <c r="L114">
        <v>0.2</v>
      </c>
      <c r="M114">
        <v>0.7</v>
      </c>
      <c r="N114">
        <v>491</v>
      </c>
      <c r="O114">
        <v>77</v>
      </c>
      <c r="P114">
        <v>86</v>
      </c>
      <c r="Q114">
        <v>24.92</v>
      </c>
      <c r="R114" t="s">
        <v>382</v>
      </c>
      <c r="S114">
        <v>0.68</v>
      </c>
      <c r="U114">
        <v>36</v>
      </c>
    </row>
    <row r="115" spans="1:21" x14ac:dyDescent="0.25">
      <c r="A115" s="2">
        <v>46044.90697916667</v>
      </c>
      <c r="B115" t="s">
        <v>309</v>
      </c>
      <c r="C115" t="s">
        <v>372</v>
      </c>
      <c r="D115">
        <v>3</v>
      </c>
      <c r="E115" t="s">
        <v>51</v>
      </c>
      <c r="F115" t="s">
        <v>388</v>
      </c>
      <c r="G115">
        <f t="shared" si="3"/>
        <v>54.914196567862717</v>
      </c>
      <c r="H115">
        <f t="shared" si="4"/>
        <v>14.35257410296412</v>
      </c>
      <c r="I115">
        <v>43.83</v>
      </c>
      <c r="J115">
        <f t="shared" si="5"/>
        <v>30.733229329173167</v>
      </c>
      <c r="K115">
        <v>0.85</v>
      </c>
      <c r="L115">
        <v>0.2</v>
      </c>
      <c r="M115">
        <v>0.7</v>
      </c>
      <c r="N115">
        <v>197</v>
      </c>
      <c r="O115">
        <v>352</v>
      </c>
      <c r="P115">
        <v>92</v>
      </c>
      <c r="Q115">
        <v>69.27</v>
      </c>
      <c r="R115" t="s">
        <v>385</v>
      </c>
      <c r="S115">
        <v>1.93</v>
      </c>
      <c r="U115">
        <v>46</v>
      </c>
    </row>
    <row r="116" spans="1:21" x14ac:dyDescent="0.25">
      <c r="A116" s="2">
        <v>46044.907418981478</v>
      </c>
      <c r="B116" t="s">
        <v>309</v>
      </c>
      <c r="C116" t="s">
        <v>372</v>
      </c>
      <c r="D116">
        <v>3</v>
      </c>
      <c r="E116" t="s">
        <v>55</v>
      </c>
      <c r="F116" t="s">
        <v>388</v>
      </c>
      <c r="G116">
        <f t="shared" si="3"/>
        <v>0.64412238325281801</v>
      </c>
      <c r="H116">
        <f t="shared" si="4"/>
        <v>0</v>
      </c>
      <c r="I116">
        <v>43.83</v>
      </c>
      <c r="J116">
        <f t="shared" si="5"/>
        <v>99.355877616747179</v>
      </c>
      <c r="K116">
        <v>0.85</v>
      </c>
      <c r="L116">
        <v>0.2</v>
      </c>
      <c r="M116">
        <v>0.7</v>
      </c>
      <c r="N116">
        <v>617</v>
      </c>
      <c r="O116">
        <v>4</v>
      </c>
      <c r="P116">
        <v>0</v>
      </c>
      <c r="Q116">
        <v>0.64</v>
      </c>
      <c r="R116" t="s">
        <v>375</v>
      </c>
      <c r="S116">
        <v>0.02</v>
      </c>
      <c r="U116">
        <v>33</v>
      </c>
    </row>
    <row r="117" spans="1:21" x14ac:dyDescent="0.25">
      <c r="A117" s="2">
        <v>46044.907719907409</v>
      </c>
      <c r="B117" t="s">
        <v>309</v>
      </c>
      <c r="C117" t="s">
        <v>372</v>
      </c>
      <c r="D117">
        <v>3</v>
      </c>
      <c r="E117" t="s">
        <v>56</v>
      </c>
      <c r="F117" t="s">
        <v>388</v>
      </c>
      <c r="G117">
        <f t="shared" si="3"/>
        <v>15.032679738562091</v>
      </c>
      <c r="H117">
        <f t="shared" si="4"/>
        <v>76.143790849673195</v>
      </c>
      <c r="I117">
        <v>43.83</v>
      </c>
      <c r="J117">
        <f t="shared" si="5"/>
        <v>8.8235294117647065</v>
      </c>
      <c r="K117">
        <v>0.85</v>
      </c>
      <c r="L117">
        <v>0.2</v>
      </c>
      <c r="M117">
        <v>0.7</v>
      </c>
      <c r="N117">
        <v>54</v>
      </c>
      <c r="O117">
        <v>92</v>
      </c>
      <c r="P117">
        <v>466</v>
      </c>
      <c r="Q117">
        <v>91.18</v>
      </c>
      <c r="R117" t="s">
        <v>385</v>
      </c>
      <c r="S117">
        <v>2.5499999999999998</v>
      </c>
      <c r="U117">
        <v>25</v>
      </c>
    </row>
    <row r="118" spans="1:21" x14ac:dyDescent="0.25">
      <c r="A118" s="2">
        <v>46044.908159722225</v>
      </c>
      <c r="B118" t="s">
        <v>309</v>
      </c>
      <c r="C118" t="s">
        <v>372</v>
      </c>
      <c r="D118">
        <v>3</v>
      </c>
      <c r="E118" t="s">
        <v>58</v>
      </c>
      <c r="F118" t="s">
        <v>388</v>
      </c>
      <c r="G118">
        <f t="shared" si="3"/>
        <v>23.113964686998393</v>
      </c>
      <c r="H118">
        <f t="shared" si="4"/>
        <v>0.32102728731942215</v>
      </c>
      <c r="I118">
        <v>43.83</v>
      </c>
      <c r="J118">
        <f t="shared" si="5"/>
        <v>76.565008025682175</v>
      </c>
      <c r="K118">
        <v>0.85</v>
      </c>
      <c r="L118">
        <v>0.2</v>
      </c>
      <c r="M118">
        <v>0.7</v>
      </c>
      <c r="N118">
        <v>477</v>
      </c>
      <c r="O118">
        <v>144</v>
      </c>
      <c r="P118">
        <v>2</v>
      </c>
      <c r="Q118">
        <v>23.43</v>
      </c>
      <c r="R118" t="s">
        <v>379</v>
      </c>
      <c r="S118">
        <v>0.6</v>
      </c>
      <c r="U118">
        <v>54</v>
      </c>
    </row>
    <row r="119" spans="1:21" x14ac:dyDescent="0.25">
      <c r="A119" s="2">
        <v>46044.908506944441</v>
      </c>
      <c r="B119" t="s">
        <v>309</v>
      </c>
      <c r="C119" t="s">
        <v>372</v>
      </c>
      <c r="D119">
        <v>3</v>
      </c>
      <c r="E119" t="s">
        <v>62</v>
      </c>
      <c r="F119" t="s">
        <v>388</v>
      </c>
      <c r="G119">
        <f t="shared" si="3"/>
        <v>3.3690658499234303</v>
      </c>
      <c r="H119">
        <f t="shared" si="4"/>
        <v>1.0719754977029097</v>
      </c>
      <c r="I119">
        <v>43.83</v>
      </c>
      <c r="J119">
        <f t="shared" si="5"/>
        <v>95.558958652373661</v>
      </c>
      <c r="K119">
        <v>0.85</v>
      </c>
      <c r="L119">
        <v>0.2</v>
      </c>
      <c r="M119">
        <v>0.7</v>
      </c>
      <c r="N119">
        <v>624</v>
      </c>
      <c r="O119">
        <v>22</v>
      </c>
      <c r="P119">
        <v>7</v>
      </c>
      <c r="Q119">
        <v>4.4400000000000004</v>
      </c>
      <c r="R119" t="s">
        <v>376</v>
      </c>
      <c r="S119">
        <v>0.12</v>
      </c>
      <c r="U119">
        <v>21</v>
      </c>
    </row>
    <row r="120" spans="1:21" x14ac:dyDescent="0.25">
      <c r="A120" s="2">
        <v>46044.908807870372</v>
      </c>
      <c r="B120" t="s">
        <v>309</v>
      </c>
      <c r="C120" t="s">
        <v>372</v>
      </c>
      <c r="D120">
        <v>3</v>
      </c>
      <c r="E120" t="s">
        <v>65</v>
      </c>
      <c r="F120" t="s">
        <v>388</v>
      </c>
      <c r="G120">
        <f t="shared" si="3"/>
        <v>16.220238095238095</v>
      </c>
      <c r="H120">
        <f t="shared" si="4"/>
        <v>14.285714285714285</v>
      </c>
      <c r="I120">
        <v>43.83</v>
      </c>
      <c r="J120">
        <f t="shared" si="5"/>
        <v>69.49404761904762</v>
      </c>
      <c r="K120">
        <v>0.85</v>
      </c>
      <c r="L120">
        <v>0.2</v>
      </c>
      <c r="M120">
        <v>0.7</v>
      </c>
      <c r="N120">
        <v>467</v>
      </c>
      <c r="O120">
        <v>109</v>
      </c>
      <c r="P120">
        <v>96</v>
      </c>
      <c r="Q120">
        <v>30.51</v>
      </c>
      <c r="R120" t="s">
        <v>382</v>
      </c>
      <c r="S120">
        <v>0.82</v>
      </c>
      <c r="U120">
        <v>40</v>
      </c>
    </row>
    <row r="121" spans="1:21" x14ac:dyDescent="0.25">
      <c r="A121" s="2">
        <v>46044.909143518518</v>
      </c>
      <c r="B121" t="s">
        <v>309</v>
      </c>
      <c r="C121" t="s">
        <v>372</v>
      </c>
      <c r="D121">
        <v>3</v>
      </c>
      <c r="E121" t="s">
        <v>66</v>
      </c>
      <c r="F121" t="s">
        <v>388</v>
      </c>
      <c r="G121">
        <f t="shared" si="3"/>
        <v>0.5714285714285714</v>
      </c>
      <c r="H121">
        <f t="shared" si="4"/>
        <v>0</v>
      </c>
      <c r="I121">
        <v>43.83</v>
      </c>
      <c r="J121">
        <f t="shared" si="5"/>
        <v>99.428571428571431</v>
      </c>
      <c r="K121">
        <v>0.85</v>
      </c>
      <c r="L121">
        <v>0.2</v>
      </c>
      <c r="M121">
        <v>0.7</v>
      </c>
      <c r="N121">
        <v>696</v>
      </c>
      <c r="O121">
        <v>4</v>
      </c>
      <c r="P121">
        <v>0</v>
      </c>
      <c r="Q121">
        <v>0.56999999999999995</v>
      </c>
      <c r="R121" t="s">
        <v>375</v>
      </c>
      <c r="S121">
        <v>0.02</v>
      </c>
      <c r="U121">
        <v>17</v>
      </c>
    </row>
    <row r="122" spans="1:21" x14ac:dyDescent="0.25">
      <c r="A122" s="2">
        <v>46044.909456018519</v>
      </c>
      <c r="B122" t="s">
        <v>309</v>
      </c>
      <c r="C122" t="s">
        <v>372</v>
      </c>
      <c r="D122">
        <v>3</v>
      </c>
      <c r="E122" t="s">
        <v>67</v>
      </c>
      <c r="F122" t="s">
        <v>388</v>
      </c>
      <c r="G122">
        <f t="shared" si="3"/>
        <v>25.240054869684496</v>
      </c>
      <c r="H122">
        <f t="shared" si="4"/>
        <v>62.277091906721537</v>
      </c>
      <c r="I122">
        <v>43.83</v>
      </c>
      <c r="J122">
        <f t="shared" si="5"/>
        <v>12.482853223593965</v>
      </c>
      <c r="K122">
        <v>0.85</v>
      </c>
      <c r="L122">
        <v>0.2</v>
      </c>
      <c r="M122">
        <v>0.7</v>
      </c>
      <c r="N122">
        <v>91</v>
      </c>
      <c r="O122">
        <v>184</v>
      </c>
      <c r="P122">
        <v>454</v>
      </c>
      <c r="Q122">
        <v>87.52</v>
      </c>
      <c r="R122" t="s">
        <v>389</v>
      </c>
      <c r="S122">
        <v>2.56</v>
      </c>
      <c r="U122">
        <v>17</v>
      </c>
    </row>
    <row r="123" spans="1:21" x14ac:dyDescent="0.25">
      <c r="A123" s="2">
        <v>46044.909907407404</v>
      </c>
      <c r="B123" t="s">
        <v>309</v>
      </c>
      <c r="C123" t="s">
        <v>372</v>
      </c>
      <c r="D123">
        <v>3</v>
      </c>
      <c r="E123" t="s">
        <v>68</v>
      </c>
      <c r="F123" t="s">
        <v>388</v>
      </c>
      <c r="G123">
        <f t="shared" si="3"/>
        <v>25.694444444444443</v>
      </c>
      <c r="H123">
        <f t="shared" si="4"/>
        <v>10.138888888888889</v>
      </c>
      <c r="I123">
        <v>43.83</v>
      </c>
      <c r="J123">
        <f t="shared" si="5"/>
        <v>64.166666666666671</v>
      </c>
      <c r="K123">
        <v>0.85</v>
      </c>
      <c r="L123">
        <v>0.2</v>
      </c>
      <c r="M123">
        <v>0.7</v>
      </c>
      <c r="N123">
        <v>462</v>
      </c>
      <c r="O123">
        <v>185</v>
      </c>
      <c r="P123">
        <v>73</v>
      </c>
      <c r="Q123">
        <v>35.83</v>
      </c>
      <c r="R123" t="s">
        <v>390</v>
      </c>
      <c r="S123">
        <v>1.01</v>
      </c>
      <c r="U123">
        <v>38</v>
      </c>
    </row>
    <row r="124" spans="1:21" x14ac:dyDescent="0.25">
      <c r="A124" s="2">
        <v>46044.910277777781</v>
      </c>
      <c r="B124" t="s">
        <v>309</v>
      </c>
      <c r="C124" t="s">
        <v>372</v>
      </c>
      <c r="D124">
        <v>3</v>
      </c>
      <c r="E124" t="s">
        <v>73</v>
      </c>
      <c r="F124" t="s">
        <v>388</v>
      </c>
      <c r="G124">
        <f t="shared" si="3"/>
        <v>1.28</v>
      </c>
      <c r="H124">
        <f t="shared" si="4"/>
        <v>0.48</v>
      </c>
      <c r="I124">
        <v>43.83</v>
      </c>
      <c r="J124">
        <f t="shared" si="5"/>
        <v>98.240000000000009</v>
      </c>
      <c r="K124">
        <v>0.85</v>
      </c>
      <c r="L124">
        <v>0.2</v>
      </c>
      <c r="M124">
        <v>0.7</v>
      </c>
      <c r="N124">
        <v>614</v>
      </c>
      <c r="O124">
        <v>8</v>
      </c>
      <c r="P124">
        <v>3</v>
      </c>
      <c r="Q124">
        <v>1.76</v>
      </c>
      <c r="R124" t="s">
        <v>376</v>
      </c>
      <c r="S124">
        <v>0.05</v>
      </c>
      <c r="U124">
        <v>42</v>
      </c>
    </row>
    <row r="125" spans="1:21" x14ac:dyDescent="0.25">
      <c r="A125" s="2">
        <v>46044.910578703704</v>
      </c>
      <c r="B125" t="s">
        <v>309</v>
      </c>
      <c r="C125" t="s">
        <v>372</v>
      </c>
      <c r="D125">
        <v>3</v>
      </c>
      <c r="E125" t="s">
        <v>323</v>
      </c>
      <c r="F125" t="s">
        <v>388</v>
      </c>
      <c r="G125">
        <f t="shared" si="3"/>
        <v>19.410745233968804</v>
      </c>
      <c r="H125">
        <f t="shared" si="4"/>
        <v>0.17331022530329288</v>
      </c>
      <c r="I125">
        <v>43.83</v>
      </c>
      <c r="J125">
        <f t="shared" si="5"/>
        <v>80.415944540727907</v>
      </c>
      <c r="K125">
        <v>0.85</v>
      </c>
      <c r="L125">
        <v>0.2</v>
      </c>
      <c r="M125">
        <v>0.7</v>
      </c>
      <c r="N125">
        <v>464</v>
      </c>
      <c r="O125">
        <v>112</v>
      </c>
      <c r="P125">
        <v>1</v>
      </c>
      <c r="Q125">
        <v>19.579999999999998</v>
      </c>
      <c r="R125" t="s">
        <v>382</v>
      </c>
      <c r="S125">
        <v>0.45</v>
      </c>
      <c r="U125">
        <v>117</v>
      </c>
    </row>
    <row r="126" spans="1:21" x14ac:dyDescent="0.25">
      <c r="A126" s="2">
        <v>46044.910914351851</v>
      </c>
      <c r="B126" t="s">
        <v>309</v>
      </c>
      <c r="C126" t="s">
        <v>372</v>
      </c>
      <c r="D126">
        <v>3</v>
      </c>
      <c r="E126" t="s">
        <v>76</v>
      </c>
      <c r="F126" t="s">
        <v>388</v>
      </c>
      <c r="G126">
        <f t="shared" si="3"/>
        <v>45.754716981132077</v>
      </c>
      <c r="H126">
        <f t="shared" si="4"/>
        <v>18.867924528301888</v>
      </c>
      <c r="I126">
        <v>43.83</v>
      </c>
      <c r="J126">
        <f t="shared" si="5"/>
        <v>35.377358490566039</v>
      </c>
      <c r="K126">
        <v>0.85</v>
      </c>
      <c r="L126">
        <v>0.2</v>
      </c>
      <c r="M126">
        <v>0.7</v>
      </c>
      <c r="N126">
        <v>225</v>
      </c>
      <c r="O126">
        <v>291</v>
      </c>
      <c r="P126">
        <v>120</v>
      </c>
      <c r="Q126">
        <v>64.62</v>
      </c>
      <c r="R126" t="s">
        <v>387</v>
      </c>
      <c r="S126">
        <v>1.71</v>
      </c>
      <c r="U126">
        <v>80</v>
      </c>
    </row>
    <row r="127" spans="1:21" x14ac:dyDescent="0.25">
      <c r="A127" s="2">
        <v>46044.91133101852</v>
      </c>
      <c r="B127" t="s">
        <v>309</v>
      </c>
      <c r="C127" t="s">
        <v>372</v>
      </c>
      <c r="D127">
        <v>3</v>
      </c>
      <c r="E127" t="s">
        <v>77</v>
      </c>
      <c r="F127" t="s">
        <v>388</v>
      </c>
      <c r="G127">
        <f t="shared" si="3"/>
        <v>33.846153846153847</v>
      </c>
      <c r="H127">
        <f t="shared" si="4"/>
        <v>28.615384615384613</v>
      </c>
      <c r="I127">
        <v>43.83</v>
      </c>
      <c r="J127">
        <f t="shared" si="5"/>
        <v>37.53846153846154</v>
      </c>
      <c r="K127">
        <v>0.85</v>
      </c>
      <c r="L127">
        <v>0.2</v>
      </c>
      <c r="M127">
        <v>0.7</v>
      </c>
      <c r="N127">
        <v>244</v>
      </c>
      <c r="O127">
        <v>220</v>
      </c>
      <c r="P127">
        <v>186</v>
      </c>
      <c r="Q127">
        <v>62.46</v>
      </c>
      <c r="R127" t="s">
        <v>295</v>
      </c>
      <c r="S127">
        <v>1.72</v>
      </c>
      <c r="U127">
        <v>44</v>
      </c>
    </row>
    <row r="128" spans="1:21" x14ac:dyDescent="0.25">
      <c r="A128" s="2">
        <v>46044.911724537036</v>
      </c>
      <c r="B128" t="s">
        <v>309</v>
      </c>
      <c r="C128" t="s">
        <v>372</v>
      </c>
      <c r="D128">
        <v>3</v>
      </c>
      <c r="E128" t="s">
        <v>78</v>
      </c>
      <c r="F128" t="s">
        <v>388</v>
      </c>
      <c r="G128">
        <f t="shared" si="3"/>
        <v>30.476190476190478</v>
      </c>
      <c r="H128">
        <f t="shared" si="4"/>
        <v>26.666666666666668</v>
      </c>
      <c r="I128">
        <v>43.83</v>
      </c>
      <c r="J128">
        <f t="shared" si="5"/>
        <v>42.857142857142854</v>
      </c>
      <c r="K128">
        <v>0.85</v>
      </c>
      <c r="L128">
        <v>0.2</v>
      </c>
      <c r="M128">
        <v>0.7</v>
      </c>
      <c r="N128">
        <v>225</v>
      </c>
      <c r="O128">
        <v>160</v>
      </c>
      <c r="P128">
        <v>140</v>
      </c>
      <c r="Q128">
        <v>57.14</v>
      </c>
      <c r="R128" t="s">
        <v>379</v>
      </c>
      <c r="S128">
        <v>1.57</v>
      </c>
      <c r="U128">
        <v>25</v>
      </c>
    </row>
    <row r="129" spans="1:21" x14ac:dyDescent="0.25">
      <c r="A129" s="2">
        <v>46044.91207175926</v>
      </c>
      <c r="B129" t="s">
        <v>309</v>
      </c>
      <c r="C129" t="s">
        <v>372</v>
      </c>
      <c r="D129">
        <v>3</v>
      </c>
      <c r="E129" t="s">
        <v>79</v>
      </c>
      <c r="F129" t="s">
        <v>388</v>
      </c>
      <c r="G129">
        <f t="shared" ref="G129:G192" si="6">(O129/(N129+O129+P129))*100</f>
        <v>33.385335413416541</v>
      </c>
      <c r="H129">
        <f t="shared" ref="H129:H192" si="7">(P129/(O129+P129+N129))*100</f>
        <v>10.764430577223088</v>
      </c>
      <c r="I129">
        <v>43.83</v>
      </c>
      <c r="J129">
        <f t="shared" ref="J129:J192" si="8">(N129/(P129+O129+N129))*100</f>
        <v>55.850234009360378</v>
      </c>
      <c r="K129">
        <v>0.85</v>
      </c>
      <c r="L129">
        <v>0.2</v>
      </c>
      <c r="M129">
        <v>0.7</v>
      </c>
      <c r="N129">
        <v>358</v>
      </c>
      <c r="O129">
        <v>214</v>
      </c>
      <c r="P129">
        <v>69</v>
      </c>
      <c r="Q129">
        <v>44.15</v>
      </c>
      <c r="R129" t="s">
        <v>384</v>
      </c>
      <c r="S129">
        <v>1.1599999999999999</v>
      </c>
      <c r="U129">
        <v>50</v>
      </c>
    </row>
    <row r="130" spans="1:21" x14ac:dyDescent="0.25">
      <c r="A130" s="2">
        <v>46044.912442129629</v>
      </c>
      <c r="B130" t="s">
        <v>309</v>
      </c>
      <c r="C130" t="s">
        <v>372</v>
      </c>
      <c r="D130">
        <v>3</v>
      </c>
      <c r="E130" t="s">
        <v>80</v>
      </c>
      <c r="F130" t="s">
        <v>388</v>
      </c>
      <c r="G130">
        <f t="shared" si="6"/>
        <v>8.9153046062407135</v>
      </c>
      <c r="H130">
        <f t="shared" si="7"/>
        <v>5.052005943536404</v>
      </c>
      <c r="I130">
        <v>43.83</v>
      </c>
      <c r="J130">
        <f t="shared" si="8"/>
        <v>86.03268945022289</v>
      </c>
      <c r="K130">
        <v>0.85</v>
      </c>
      <c r="L130">
        <v>0.2</v>
      </c>
      <c r="M130">
        <v>0.7</v>
      </c>
      <c r="N130">
        <v>579</v>
      </c>
      <c r="O130">
        <v>60</v>
      </c>
      <c r="P130">
        <v>34</v>
      </c>
      <c r="Q130">
        <v>13.97</v>
      </c>
      <c r="R130" t="s">
        <v>383</v>
      </c>
      <c r="S130">
        <v>0.4</v>
      </c>
      <c r="U130">
        <v>15</v>
      </c>
    </row>
    <row r="131" spans="1:21" x14ac:dyDescent="0.25">
      <c r="A131" s="2">
        <v>46044.912777777776</v>
      </c>
      <c r="B131" t="s">
        <v>309</v>
      </c>
      <c r="C131" t="s">
        <v>372</v>
      </c>
      <c r="D131">
        <v>3</v>
      </c>
      <c r="E131" t="s">
        <v>82</v>
      </c>
      <c r="F131" t="s">
        <v>388</v>
      </c>
      <c r="G131">
        <f t="shared" si="6"/>
        <v>55.303030303030297</v>
      </c>
      <c r="H131">
        <f t="shared" si="7"/>
        <v>6.0606060606060606</v>
      </c>
      <c r="I131">
        <v>43.83</v>
      </c>
      <c r="J131">
        <f t="shared" si="8"/>
        <v>38.636363636363633</v>
      </c>
      <c r="K131">
        <v>0.85</v>
      </c>
      <c r="L131">
        <v>0.2</v>
      </c>
      <c r="M131">
        <v>0.7</v>
      </c>
      <c r="N131">
        <v>255</v>
      </c>
      <c r="O131">
        <v>365</v>
      </c>
      <c r="P131">
        <v>40</v>
      </c>
      <c r="Q131">
        <v>61.36</v>
      </c>
      <c r="R131" t="s">
        <v>385</v>
      </c>
      <c r="S131">
        <v>1.63</v>
      </c>
      <c r="U131">
        <v>71</v>
      </c>
    </row>
    <row r="132" spans="1:21" x14ac:dyDescent="0.25">
      <c r="A132" s="2">
        <v>46044.913206018522</v>
      </c>
      <c r="B132" t="s">
        <v>309</v>
      </c>
      <c r="C132" t="s">
        <v>372</v>
      </c>
      <c r="D132">
        <v>3</v>
      </c>
      <c r="E132" t="s">
        <v>85</v>
      </c>
      <c r="F132" t="s">
        <v>388</v>
      </c>
      <c r="G132">
        <f t="shared" si="6"/>
        <v>15.691489361702127</v>
      </c>
      <c r="H132">
        <f t="shared" si="7"/>
        <v>78.856382978723403</v>
      </c>
      <c r="I132">
        <v>43.83</v>
      </c>
      <c r="J132">
        <f t="shared" si="8"/>
        <v>5.4521276595744688</v>
      </c>
      <c r="K132">
        <v>0.85</v>
      </c>
      <c r="L132">
        <v>0.2</v>
      </c>
      <c r="M132">
        <v>0.7</v>
      </c>
      <c r="N132">
        <v>41</v>
      </c>
      <c r="O132">
        <v>118</v>
      </c>
      <c r="P132">
        <v>593</v>
      </c>
      <c r="Q132">
        <v>94.55</v>
      </c>
      <c r="R132" t="s">
        <v>391</v>
      </c>
      <c r="S132">
        <v>2.73</v>
      </c>
      <c r="U132">
        <v>11</v>
      </c>
    </row>
    <row r="133" spans="1:21" x14ac:dyDescent="0.25">
      <c r="A133" s="2">
        <v>46044.913703703707</v>
      </c>
      <c r="B133" t="s">
        <v>309</v>
      </c>
      <c r="C133" t="s">
        <v>372</v>
      </c>
      <c r="D133">
        <v>3</v>
      </c>
      <c r="E133" t="s">
        <v>88</v>
      </c>
      <c r="F133" t="s">
        <v>388</v>
      </c>
      <c r="G133">
        <f t="shared" si="6"/>
        <v>11.095700416088766</v>
      </c>
      <c r="H133">
        <f t="shared" si="7"/>
        <v>77.947295423023576</v>
      </c>
      <c r="I133">
        <v>43.83</v>
      </c>
      <c r="J133">
        <f t="shared" si="8"/>
        <v>10.957004160887656</v>
      </c>
      <c r="K133">
        <v>0.85</v>
      </c>
      <c r="L133">
        <v>0.2</v>
      </c>
      <c r="M133">
        <v>0.7</v>
      </c>
      <c r="N133">
        <v>79</v>
      </c>
      <c r="O133">
        <v>80</v>
      </c>
      <c r="P133">
        <v>562</v>
      </c>
      <c r="Q133">
        <v>89.04</v>
      </c>
      <c r="R133" t="s">
        <v>386</v>
      </c>
      <c r="S133">
        <v>2.57</v>
      </c>
      <c r="U133">
        <v>15</v>
      </c>
    </row>
    <row r="134" spans="1:21" x14ac:dyDescent="0.25">
      <c r="A134" s="2">
        <v>46044.914155092592</v>
      </c>
      <c r="B134" t="s">
        <v>309</v>
      </c>
      <c r="C134" t="s">
        <v>372</v>
      </c>
      <c r="D134">
        <v>3</v>
      </c>
      <c r="E134" t="s">
        <v>90</v>
      </c>
      <c r="F134" t="s">
        <v>388</v>
      </c>
      <c r="G134">
        <f t="shared" si="6"/>
        <v>1.3966480446927374</v>
      </c>
      <c r="H134">
        <f t="shared" si="7"/>
        <v>0.13966480446927373</v>
      </c>
      <c r="I134">
        <v>43.83</v>
      </c>
      <c r="J134">
        <f t="shared" si="8"/>
        <v>98.463687150837984</v>
      </c>
      <c r="K134">
        <v>0.85</v>
      </c>
      <c r="L134">
        <v>0.2</v>
      </c>
      <c r="M134">
        <v>0.7</v>
      </c>
      <c r="N134">
        <v>705</v>
      </c>
      <c r="O134">
        <v>10</v>
      </c>
      <c r="P134">
        <v>1</v>
      </c>
      <c r="Q134">
        <v>1.54</v>
      </c>
      <c r="R134" t="s">
        <v>380</v>
      </c>
      <c r="S134">
        <v>0.04</v>
      </c>
      <c r="U134">
        <v>26</v>
      </c>
    </row>
    <row r="135" spans="1:21" x14ac:dyDescent="0.25">
      <c r="A135" s="2">
        <v>46044.914467592593</v>
      </c>
      <c r="B135" t="s">
        <v>309</v>
      </c>
      <c r="C135" t="s">
        <v>372</v>
      </c>
      <c r="D135">
        <v>3</v>
      </c>
      <c r="E135" t="s">
        <v>91</v>
      </c>
      <c r="F135" t="s">
        <v>388</v>
      </c>
      <c r="G135">
        <f t="shared" si="6"/>
        <v>18.243243243243242</v>
      </c>
      <c r="H135">
        <f t="shared" si="7"/>
        <v>0.16891891891891891</v>
      </c>
      <c r="I135">
        <v>43.83</v>
      </c>
      <c r="J135">
        <f t="shared" si="8"/>
        <v>81.587837837837839</v>
      </c>
      <c r="K135">
        <v>0.85</v>
      </c>
      <c r="L135">
        <v>0.2</v>
      </c>
      <c r="M135">
        <v>0.7</v>
      </c>
      <c r="N135">
        <v>483</v>
      </c>
      <c r="O135">
        <v>108</v>
      </c>
      <c r="P135">
        <v>1</v>
      </c>
      <c r="Q135">
        <v>18.41</v>
      </c>
      <c r="R135" t="s">
        <v>380</v>
      </c>
      <c r="S135">
        <v>0.46</v>
      </c>
      <c r="U135">
        <v>57</v>
      </c>
    </row>
    <row r="136" spans="1:21" x14ac:dyDescent="0.25">
      <c r="A136" s="2">
        <v>46044.91479166667</v>
      </c>
      <c r="B136" t="s">
        <v>309</v>
      </c>
      <c r="C136" t="s">
        <v>372</v>
      </c>
      <c r="D136">
        <v>3</v>
      </c>
      <c r="E136" t="s">
        <v>93</v>
      </c>
      <c r="F136" t="s">
        <v>388</v>
      </c>
      <c r="G136">
        <f t="shared" si="6"/>
        <v>5.9027777777777777</v>
      </c>
      <c r="H136">
        <f t="shared" si="7"/>
        <v>0.34722222222222221</v>
      </c>
      <c r="I136">
        <v>43.83</v>
      </c>
      <c r="J136">
        <f t="shared" si="8"/>
        <v>93.75</v>
      </c>
      <c r="K136">
        <v>0.85</v>
      </c>
      <c r="L136">
        <v>0.2</v>
      </c>
      <c r="M136">
        <v>0.7</v>
      </c>
      <c r="N136">
        <v>540</v>
      </c>
      <c r="O136">
        <v>34</v>
      </c>
      <c r="P136">
        <v>2</v>
      </c>
      <c r="Q136">
        <v>6.25</v>
      </c>
      <c r="R136" t="s">
        <v>376</v>
      </c>
      <c r="S136">
        <v>0.14000000000000001</v>
      </c>
      <c r="U136">
        <v>39</v>
      </c>
    </row>
    <row r="137" spans="1:21" x14ac:dyDescent="0.25">
      <c r="A137" s="2">
        <v>46044.915081018517</v>
      </c>
      <c r="B137" t="s">
        <v>309</v>
      </c>
      <c r="C137" t="s">
        <v>372</v>
      </c>
      <c r="D137">
        <v>3</v>
      </c>
      <c r="E137" t="s">
        <v>95</v>
      </c>
      <c r="F137" t="s">
        <v>388</v>
      </c>
      <c r="G137">
        <f t="shared" si="6"/>
        <v>16.546762589928058</v>
      </c>
      <c r="H137">
        <f t="shared" si="7"/>
        <v>70.791366906474821</v>
      </c>
      <c r="I137">
        <v>43.83</v>
      </c>
      <c r="J137">
        <f t="shared" si="8"/>
        <v>12.661870503597122</v>
      </c>
      <c r="K137">
        <v>0.85</v>
      </c>
      <c r="L137">
        <v>0.2</v>
      </c>
      <c r="M137">
        <v>0.7</v>
      </c>
      <c r="N137">
        <v>88</v>
      </c>
      <c r="O137">
        <v>115</v>
      </c>
      <c r="P137">
        <v>492</v>
      </c>
      <c r="Q137">
        <v>87.34</v>
      </c>
      <c r="R137" t="s">
        <v>385</v>
      </c>
      <c r="S137">
        <v>2.54</v>
      </c>
      <c r="U137">
        <v>5</v>
      </c>
    </row>
    <row r="138" spans="1:21" x14ac:dyDescent="0.25">
      <c r="A138" s="2">
        <v>46044.915520833332</v>
      </c>
      <c r="B138" t="s">
        <v>309</v>
      </c>
      <c r="C138" t="s">
        <v>372</v>
      </c>
      <c r="D138">
        <v>3</v>
      </c>
      <c r="E138" t="s">
        <v>96</v>
      </c>
      <c r="F138" t="s">
        <v>388</v>
      </c>
      <c r="G138">
        <f t="shared" si="6"/>
        <v>14.90125673249551</v>
      </c>
      <c r="H138">
        <f t="shared" si="7"/>
        <v>84.919210053859956</v>
      </c>
      <c r="I138">
        <v>43.83</v>
      </c>
      <c r="J138">
        <f t="shared" si="8"/>
        <v>0.17953321364452424</v>
      </c>
      <c r="K138">
        <v>0.85</v>
      </c>
      <c r="L138">
        <v>0.2</v>
      </c>
      <c r="M138">
        <v>0.7</v>
      </c>
      <c r="N138">
        <v>1</v>
      </c>
      <c r="O138">
        <v>83</v>
      </c>
      <c r="P138">
        <v>473</v>
      </c>
      <c r="Q138">
        <v>99.82</v>
      </c>
      <c r="R138" t="s">
        <v>392</v>
      </c>
      <c r="S138">
        <v>2.94</v>
      </c>
      <c r="U138">
        <v>1</v>
      </c>
    </row>
    <row r="139" spans="1:21" x14ac:dyDescent="0.25">
      <c r="A139" s="2">
        <v>46044.915925925925</v>
      </c>
      <c r="B139" t="s">
        <v>309</v>
      </c>
      <c r="C139" t="s">
        <v>372</v>
      </c>
      <c r="D139">
        <v>3</v>
      </c>
      <c r="E139" t="s">
        <v>99</v>
      </c>
      <c r="F139" t="s">
        <v>388</v>
      </c>
      <c r="G139">
        <f t="shared" si="6"/>
        <v>28.111273792093705</v>
      </c>
      <c r="H139">
        <f t="shared" si="7"/>
        <v>55.344070278184475</v>
      </c>
      <c r="I139">
        <v>43.83</v>
      </c>
      <c r="J139">
        <f t="shared" si="8"/>
        <v>16.544655929721817</v>
      </c>
      <c r="K139">
        <v>0.85</v>
      </c>
      <c r="L139">
        <v>0.2</v>
      </c>
      <c r="M139">
        <v>0.7</v>
      </c>
      <c r="N139">
        <v>113</v>
      </c>
      <c r="O139">
        <v>192</v>
      </c>
      <c r="P139">
        <v>378</v>
      </c>
      <c r="Q139">
        <v>83.46</v>
      </c>
      <c r="R139" t="s">
        <v>385</v>
      </c>
      <c r="S139">
        <v>2.34</v>
      </c>
      <c r="U139">
        <v>21</v>
      </c>
    </row>
    <row r="140" spans="1:21" x14ac:dyDescent="0.25">
      <c r="A140" s="2">
        <v>46044.916365740741</v>
      </c>
      <c r="B140" t="s">
        <v>309</v>
      </c>
      <c r="C140" t="s">
        <v>372</v>
      </c>
      <c r="D140">
        <v>3</v>
      </c>
      <c r="E140" t="s">
        <v>324</v>
      </c>
      <c r="F140" t="s">
        <v>388</v>
      </c>
      <c r="G140">
        <f t="shared" si="6"/>
        <v>26.106870229007633</v>
      </c>
      <c r="H140">
        <f t="shared" si="7"/>
        <v>11.908396946564885</v>
      </c>
      <c r="I140">
        <v>43.83</v>
      </c>
      <c r="J140">
        <f t="shared" si="8"/>
        <v>61.984732824427482</v>
      </c>
      <c r="K140">
        <v>0.85</v>
      </c>
      <c r="L140">
        <v>0.2</v>
      </c>
      <c r="M140">
        <v>0.7</v>
      </c>
      <c r="N140">
        <v>406</v>
      </c>
      <c r="O140">
        <v>171</v>
      </c>
      <c r="P140">
        <v>78</v>
      </c>
      <c r="Q140">
        <v>38.020000000000003</v>
      </c>
      <c r="R140" t="s">
        <v>384</v>
      </c>
      <c r="S140">
        <v>0.99</v>
      </c>
      <c r="U140">
        <v>80</v>
      </c>
    </row>
    <row r="141" spans="1:21" x14ac:dyDescent="0.25">
      <c r="A141" s="2">
        <v>46044.916724537034</v>
      </c>
      <c r="B141" t="s">
        <v>309</v>
      </c>
      <c r="C141" t="s">
        <v>372</v>
      </c>
      <c r="D141">
        <v>3</v>
      </c>
      <c r="E141" t="s">
        <v>101</v>
      </c>
      <c r="F141" t="s">
        <v>388</v>
      </c>
      <c r="G141">
        <f t="shared" si="6"/>
        <v>25.431711145996861</v>
      </c>
      <c r="H141">
        <f t="shared" si="7"/>
        <v>67.66091051805337</v>
      </c>
      <c r="I141">
        <v>43.83</v>
      </c>
      <c r="J141">
        <f t="shared" si="8"/>
        <v>6.9073783359497636</v>
      </c>
      <c r="K141">
        <v>0.85</v>
      </c>
      <c r="L141">
        <v>0.2</v>
      </c>
      <c r="M141">
        <v>0.7</v>
      </c>
      <c r="N141">
        <v>44</v>
      </c>
      <c r="O141">
        <v>162</v>
      </c>
      <c r="P141">
        <v>431</v>
      </c>
      <c r="Q141">
        <v>93.09</v>
      </c>
      <c r="R141" t="s">
        <v>385</v>
      </c>
      <c r="S141">
        <v>2.64</v>
      </c>
      <c r="U141">
        <v>18</v>
      </c>
    </row>
    <row r="142" spans="1:21" x14ac:dyDescent="0.25">
      <c r="A142" s="2">
        <v>46044.91715277778</v>
      </c>
      <c r="B142" t="s">
        <v>309</v>
      </c>
      <c r="C142" t="s">
        <v>372</v>
      </c>
      <c r="D142">
        <v>3</v>
      </c>
      <c r="E142" t="s">
        <v>102</v>
      </c>
      <c r="F142" t="s">
        <v>388</v>
      </c>
      <c r="G142">
        <f t="shared" si="6"/>
        <v>29.067930489731435</v>
      </c>
      <c r="H142">
        <f t="shared" si="7"/>
        <v>21.169036334913113</v>
      </c>
      <c r="I142">
        <v>43.83</v>
      </c>
      <c r="J142">
        <f t="shared" si="8"/>
        <v>49.763033175355446</v>
      </c>
      <c r="K142">
        <v>0.85</v>
      </c>
      <c r="L142">
        <v>0.2</v>
      </c>
      <c r="M142">
        <v>0.7</v>
      </c>
      <c r="N142">
        <v>315</v>
      </c>
      <c r="O142">
        <v>184</v>
      </c>
      <c r="P142">
        <v>134</v>
      </c>
      <c r="Q142">
        <v>50.24</v>
      </c>
      <c r="R142" t="s">
        <v>384</v>
      </c>
      <c r="S142">
        <v>1.44</v>
      </c>
      <c r="U142">
        <v>32</v>
      </c>
    </row>
    <row r="143" spans="1:21" x14ac:dyDescent="0.25">
      <c r="A143" s="2">
        <v>46044.917523148149</v>
      </c>
      <c r="B143" t="s">
        <v>309</v>
      </c>
      <c r="C143" t="s">
        <v>372</v>
      </c>
      <c r="D143">
        <v>3</v>
      </c>
      <c r="E143" t="s">
        <v>103</v>
      </c>
      <c r="F143" t="s">
        <v>388</v>
      </c>
      <c r="G143">
        <f t="shared" si="6"/>
        <v>70.3588143525741</v>
      </c>
      <c r="H143">
        <f t="shared" si="7"/>
        <v>8.7363494539781588</v>
      </c>
      <c r="I143">
        <v>43.83</v>
      </c>
      <c r="J143">
        <f t="shared" si="8"/>
        <v>20.904836193447736</v>
      </c>
      <c r="K143">
        <v>0.85</v>
      </c>
      <c r="L143">
        <v>0.2</v>
      </c>
      <c r="M143">
        <v>0.7</v>
      </c>
      <c r="N143">
        <v>134</v>
      </c>
      <c r="O143">
        <v>451</v>
      </c>
      <c r="P143">
        <v>56</v>
      </c>
      <c r="Q143">
        <v>79.099999999999994</v>
      </c>
      <c r="R143" t="s">
        <v>386</v>
      </c>
      <c r="S143">
        <v>2.1800000000000002</v>
      </c>
      <c r="U143">
        <v>51</v>
      </c>
    </row>
    <row r="144" spans="1:21" x14ac:dyDescent="0.25">
      <c r="A144" s="2">
        <v>46044.917962962965</v>
      </c>
      <c r="B144" t="s">
        <v>309</v>
      </c>
      <c r="C144" t="s">
        <v>372</v>
      </c>
      <c r="D144">
        <v>3</v>
      </c>
      <c r="E144" t="s">
        <v>105</v>
      </c>
      <c r="F144" t="s">
        <v>388</v>
      </c>
      <c r="G144">
        <f t="shared" si="6"/>
        <v>9.8009188361408892</v>
      </c>
      <c r="H144">
        <f t="shared" si="7"/>
        <v>6.7381316998468606</v>
      </c>
      <c r="I144">
        <v>43.83</v>
      </c>
      <c r="J144">
        <f t="shared" si="8"/>
        <v>83.460949464012245</v>
      </c>
      <c r="K144">
        <v>0.85</v>
      </c>
      <c r="L144">
        <v>0.2</v>
      </c>
      <c r="M144">
        <v>0.7</v>
      </c>
      <c r="N144">
        <v>545</v>
      </c>
      <c r="O144">
        <v>64</v>
      </c>
      <c r="P144">
        <v>44</v>
      </c>
      <c r="Q144">
        <v>16.54</v>
      </c>
      <c r="R144" t="s">
        <v>382</v>
      </c>
      <c r="S144">
        <v>0.45</v>
      </c>
      <c r="U144">
        <v>44</v>
      </c>
    </row>
    <row r="145" spans="1:21" x14ac:dyDescent="0.25">
      <c r="A145" s="2">
        <v>46044.918310185189</v>
      </c>
      <c r="B145" t="s">
        <v>309</v>
      </c>
      <c r="C145" t="s">
        <v>372</v>
      </c>
      <c r="D145">
        <v>3</v>
      </c>
      <c r="E145" t="s">
        <v>106</v>
      </c>
      <c r="F145" t="s">
        <v>388</v>
      </c>
      <c r="G145">
        <f t="shared" si="6"/>
        <v>5.9147180192572213</v>
      </c>
      <c r="H145">
        <f t="shared" si="7"/>
        <v>88.858321870701516</v>
      </c>
      <c r="I145">
        <v>43.83</v>
      </c>
      <c r="J145">
        <f t="shared" si="8"/>
        <v>5.2269601100412659</v>
      </c>
      <c r="K145">
        <v>0.85</v>
      </c>
      <c r="L145">
        <v>0.2</v>
      </c>
      <c r="M145">
        <v>0.7</v>
      </c>
      <c r="N145">
        <v>38</v>
      </c>
      <c r="O145">
        <v>43</v>
      </c>
      <c r="P145">
        <v>646</v>
      </c>
      <c r="Q145">
        <v>94.77</v>
      </c>
      <c r="R145" t="s">
        <v>393</v>
      </c>
      <c r="S145">
        <v>2.79</v>
      </c>
      <c r="U145">
        <v>3</v>
      </c>
    </row>
    <row r="146" spans="1:21" x14ac:dyDescent="0.25">
      <c r="A146" s="2">
        <v>46044.918796296297</v>
      </c>
      <c r="B146" t="s">
        <v>309</v>
      </c>
      <c r="C146" t="s">
        <v>372</v>
      </c>
      <c r="D146">
        <v>3</v>
      </c>
      <c r="E146" t="s">
        <v>109</v>
      </c>
      <c r="F146" t="s">
        <v>388</v>
      </c>
      <c r="G146">
        <f t="shared" si="6"/>
        <v>7.1428571428571423</v>
      </c>
      <c r="H146">
        <f t="shared" si="7"/>
        <v>0.16611295681063123</v>
      </c>
      <c r="I146">
        <v>43.83</v>
      </c>
      <c r="J146">
        <f t="shared" si="8"/>
        <v>92.691029900332225</v>
      </c>
      <c r="K146">
        <v>0.85</v>
      </c>
      <c r="L146">
        <v>0.2</v>
      </c>
      <c r="M146">
        <v>0.7</v>
      </c>
      <c r="N146">
        <v>558</v>
      </c>
      <c r="O146">
        <v>43</v>
      </c>
      <c r="P146">
        <v>1</v>
      </c>
      <c r="Q146">
        <v>7.31</v>
      </c>
      <c r="R146" t="s">
        <v>383</v>
      </c>
      <c r="S146">
        <v>0.2</v>
      </c>
      <c r="U146">
        <v>80</v>
      </c>
    </row>
    <row r="147" spans="1:21" x14ac:dyDescent="0.25">
      <c r="A147" s="2">
        <v>46044.919131944444</v>
      </c>
      <c r="B147" t="s">
        <v>309</v>
      </c>
      <c r="C147" t="s">
        <v>372</v>
      </c>
      <c r="D147">
        <v>3</v>
      </c>
      <c r="E147" t="s">
        <v>110</v>
      </c>
      <c r="F147" t="s">
        <v>388</v>
      </c>
      <c r="G147">
        <f t="shared" si="6"/>
        <v>10.835913312693499</v>
      </c>
      <c r="H147">
        <f t="shared" si="7"/>
        <v>4.0247678018575854</v>
      </c>
      <c r="I147">
        <v>43.83</v>
      </c>
      <c r="J147">
        <f t="shared" si="8"/>
        <v>85.139318885448915</v>
      </c>
      <c r="K147">
        <v>0.85</v>
      </c>
      <c r="L147">
        <v>0.2</v>
      </c>
      <c r="M147">
        <v>0.7</v>
      </c>
      <c r="N147">
        <v>550</v>
      </c>
      <c r="O147">
        <v>70</v>
      </c>
      <c r="P147">
        <v>26</v>
      </c>
      <c r="Q147">
        <v>14.86</v>
      </c>
      <c r="R147" t="s">
        <v>375</v>
      </c>
      <c r="S147">
        <v>0.4</v>
      </c>
      <c r="U147">
        <v>31</v>
      </c>
    </row>
    <row r="148" spans="1:21" x14ac:dyDescent="0.25">
      <c r="A148" s="2">
        <v>46044.919432870367</v>
      </c>
      <c r="B148" t="s">
        <v>309</v>
      </c>
      <c r="C148" t="s">
        <v>372</v>
      </c>
      <c r="D148">
        <v>3</v>
      </c>
      <c r="E148" t="s">
        <v>111</v>
      </c>
      <c r="F148" t="s">
        <v>388</v>
      </c>
      <c r="G148">
        <f t="shared" si="6"/>
        <v>37.461300309597526</v>
      </c>
      <c r="H148">
        <f t="shared" si="7"/>
        <v>19.040247678018577</v>
      </c>
      <c r="I148">
        <v>43.83</v>
      </c>
      <c r="J148">
        <f t="shared" si="8"/>
        <v>43.4984520123839</v>
      </c>
      <c r="K148">
        <v>0.85</v>
      </c>
      <c r="L148">
        <v>0.2</v>
      </c>
      <c r="M148">
        <v>0.7</v>
      </c>
      <c r="N148">
        <v>281</v>
      </c>
      <c r="O148">
        <v>242</v>
      </c>
      <c r="P148">
        <v>123</v>
      </c>
      <c r="Q148">
        <v>56.5</v>
      </c>
      <c r="R148" t="s">
        <v>390</v>
      </c>
      <c r="S148">
        <v>1.5</v>
      </c>
      <c r="U148">
        <v>72</v>
      </c>
    </row>
    <row r="149" spans="1:21" x14ac:dyDescent="0.25">
      <c r="A149" s="2">
        <v>46044.919814814813</v>
      </c>
      <c r="B149" t="s">
        <v>309</v>
      </c>
      <c r="C149" t="s">
        <v>372</v>
      </c>
      <c r="D149">
        <v>3</v>
      </c>
      <c r="E149" t="s">
        <v>112</v>
      </c>
      <c r="F149" t="s">
        <v>388</v>
      </c>
      <c r="G149">
        <f t="shared" si="6"/>
        <v>6.666666666666667</v>
      </c>
      <c r="H149">
        <f t="shared" si="7"/>
        <v>0</v>
      </c>
      <c r="I149">
        <v>43.83</v>
      </c>
      <c r="J149">
        <f t="shared" si="8"/>
        <v>93.333333333333329</v>
      </c>
      <c r="K149">
        <v>0.85</v>
      </c>
      <c r="L149">
        <v>0.2</v>
      </c>
      <c r="M149">
        <v>0.7</v>
      </c>
      <c r="N149">
        <v>644</v>
      </c>
      <c r="O149">
        <v>46</v>
      </c>
      <c r="P149">
        <v>0</v>
      </c>
      <c r="Q149">
        <v>6.67</v>
      </c>
      <c r="R149" t="s">
        <v>380</v>
      </c>
      <c r="S149">
        <v>0.17</v>
      </c>
      <c r="U149">
        <v>56</v>
      </c>
    </row>
    <row r="150" spans="1:21" x14ac:dyDescent="0.25">
      <c r="A150" s="2">
        <v>46044.920127314814</v>
      </c>
      <c r="B150" t="s">
        <v>309</v>
      </c>
      <c r="C150" t="s">
        <v>372</v>
      </c>
      <c r="D150">
        <v>3</v>
      </c>
      <c r="E150" t="s">
        <v>113</v>
      </c>
      <c r="F150" t="s">
        <v>388</v>
      </c>
      <c r="G150">
        <f t="shared" si="6"/>
        <v>7.518796992481203</v>
      </c>
      <c r="H150">
        <f t="shared" si="7"/>
        <v>0</v>
      </c>
      <c r="I150">
        <v>43.83</v>
      </c>
      <c r="J150">
        <f t="shared" si="8"/>
        <v>92.481203007518801</v>
      </c>
      <c r="K150">
        <v>0.85</v>
      </c>
      <c r="L150">
        <v>0.2</v>
      </c>
      <c r="M150">
        <v>0.7</v>
      </c>
      <c r="N150">
        <v>615</v>
      </c>
      <c r="O150">
        <v>50</v>
      </c>
      <c r="P150">
        <v>0</v>
      </c>
      <c r="Q150">
        <v>7.52</v>
      </c>
      <c r="R150" t="s">
        <v>375</v>
      </c>
      <c r="S150">
        <v>0.2</v>
      </c>
      <c r="U150">
        <v>57</v>
      </c>
    </row>
    <row r="151" spans="1:21" x14ac:dyDescent="0.25">
      <c r="A151" s="2">
        <v>46044.920428240737</v>
      </c>
      <c r="B151" t="s">
        <v>309</v>
      </c>
      <c r="C151" t="s">
        <v>372</v>
      </c>
      <c r="D151">
        <v>3</v>
      </c>
      <c r="E151" t="s">
        <v>114</v>
      </c>
      <c r="F151" t="s">
        <v>388</v>
      </c>
      <c r="G151">
        <f t="shared" si="6"/>
        <v>42.539682539682538</v>
      </c>
      <c r="H151">
        <f t="shared" si="7"/>
        <v>1.746031746031746</v>
      </c>
      <c r="I151">
        <v>43.83</v>
      </c>
      <c r="J151">
        <f t="shared" si="8"/>
        <v>55.714285714285715</v>
      </c>
      <c r="K151">
        <v>0.85</v>
      </c>
      <c r="L151">
        <v>0.2</v>
      </c>
      <c r="M151">
        <v>0.7</v>
      </c>
      <c r="N151">
        <v>351</v>
      </c>
      <c r="O151">
        <v>268</v>
      </c>
      <c r="P151">
        <v>11</v>
      </c>
      <c r="Q151">
        <v>44.29</v>
      </c>
      <c r="R151" t="s">
        <v>295</v>
      </c>
      <c r="S151">
        <v>1.07</v>
      </c>
      <c r="U151">
        <v>92</v>
      </c>
    </row>
    <row r="152" spans="1:21" x14ac:dyDescent="0.25">
      <c r="A152" s="2">
        <v>46044.92082175926</v>
      </c>
      <c r="B152" t="s">
        <v>309</v>
      </c>
      <c r="C152" t="s">
        <v>372</v>
      </c>
      <c r="D152">
        <v>3</v>
      </c>
      <c r="E152" t="s">
        <v>115</v>
      </c>
      <c r="F152" t="s">
        <v>388</v>
      </c>
      <c r="G152">
        <f t="shared" si="6"/>
        <v>49.445324881141048</v>
      </c>
      <c r="H152">
        <f t="shared" si="7"/>
        <v>29.318541996830426</v>
      </c>
      <c r="I152">
        <v>43.83</v>
      </c>
      <c r="J152">
        <f t="shared" si="8"/>
        <v>21.236133122028527</v>
      </c>
      <c r="K152">
        <v>0.85</v>
      </c>
      <c r="L152">
        <v>0.2</v>
      </c>
      <c r="M152">
        <v>0.7</v>
      </c>
      <c r="N152">
        <v>134</v>
      </c>
      <c r="O152">
        <v>312</v>
      </c>
      <c r="P152">
        <v>185</v>
      </c>
      <c r="Q152">
        <v>78.760000000000005</v>
      </c>
      <c r="R152" t="s">
        <v>387</v>
      </c>
      <c r="S152">
        <v>2.2200000000000002</v>
      </c>
      <c r="U152">
        <v>41</v>
      </c>
    </row>
    <row r="153" spans="1:21" x14ac:dyDescent="0.25">
      <c r="A153" s="2">
        <v>46044.921238425923</v>
      </c>
      <c r="B153" t="s">
        <v>309</v>
      </c>
      <c r="C153" t="s">
        <v>372</v>
      </c>
      <c r="D153">
        <v>3</v>
      </c>
      <c r="E153" t="s">
        <v>117</v>
      </c>
      <c r="F153" t="s">
        <v>388</v>
      </c>
      <c r="G153">
        <f t="shared" si="6"/>
        <v>3.2544378698224854</v>
      </c>
      <c r="H153">
        <f t="shared" si="7"/>
        <v>0.14792899408284024</v>
      </c>
      <c r="I153">
        <v>43.83</v>
      </c>
      <c r="J153">
        <f t="shared" si="8"/>
        <v>96.597633136094672</v>
      </c>
      <c r="K153">
        <v>0.85</v>
      </c>
      <c r="L153">
        <v>0.2</v>
      </c>
      <c r="M153">
        <v>0.7</v>
      </c>
      <c r="N153">
        <v>653</v>
      </c>
      <c r="O153">
        <v>22</v>
      </c>
      <c r="P153">
        <v>1</v>
      </c>
      <c r="Q153">
        <v>3.4</v>
      </c>
      <c r="R153" t="s">
        <v>383</v>
      </c>
      <c r="S153">
        <v>0.09</v>
      </c>
      <c r="U153">
        <v>38</v>
      </c>
    </row>
    <row r="154" spans="1:21" x14ac:dyDescent="0.25">
      <c r="A154" s="2">
        <v>46044.921574074076</v>
      </c>
      <c r="B154" t="s">
        <v>309</v>
      </c>
      <c r="C154" t="s">
        <v>372</v>
      </c>
      <c r="D154">
        <v>3</v>
      </c>
      <c r="E154" t="s">
        <v>121</v>
      </c>
      <c r="F154" t="s">
        <v>388</v>
      </c>
      <c r="G154">
        <f t="shared" si="6"/>
        <v>29.313232830820766</v>
      </c>
      <c r="H154">
        <f t="shared" si="7"/>
        <v>15.577889447236181</v>
      </c>
      <c r="I154">
        <v>43.83</v>
      </c>
      <c r="J154">
        <f t="shared" si="8"/>
        <v>55.108877721943053</v>
      </c>
      <c r="K154">
        <v>0.85</v>
      </c>
      <c r="L154">
        <v>0.2</v>
      </c>
      <c r="M154">
        <v>0.7</v>
      </c>
      <c r="N154">
        <v>329</v>
      </c>
      <c r="O154">
        <v>175</v>
      </c>
      <c r="P154">
        <v>93</v>
      </c>
      <c r="Q154">
        <v>44.89</v>
      </c>
      <c r="R154" t="s">
        <v>384</v>
      </c>
      <c r="S154">
        <v>1.26</v>
      </c>
      <c r="U154">
        <v>30</v>
      </c>
    </row>
    <row r="155" spans="1:21" x14ac:dyDescent="0.25">
      <c r="A155" s="2">
        <v>46044.921944444446</v>
      </c>
      <c r="B155" t="s">
        <v>309</v>
      </c>
      <c r="C155" t="s">
        <v>372</v>
      </c>
      <c r="D155">
        <v>3</v>
      </c>
      <c r="E155" t="s">
        <v>122</v>
      </c>
      <c r="F155" t="s">
        <v>388</v>
      </c>
      <c r="G155">
        <f t="shared" si="6"/>
        <v>30.64516129032258</v>
      </c>
      <c r="H155">
        <f t="shared" si="7"/>
        <v>16.862170087976537</v>
      </c>
      <c r="I155">
        <v>43.83</v>
      </c>
      <c r="J155">
        <f t="shared" si="8"/>
        <v>52.492668621700879</v>
      </c>
      <c r="K155">
        <v>0.85</v>
      </c>
      <c r="L155">
        <v>0.2</v>
      </c>
      <c r="M155">
        <v>0.7</v>
      </c>
      <c r="N155">
        <v>358</v>
      </c>
      <c r="O155">
        <v>209</v>
      </c>
      <c r="P155">
        <v>115</v>
      </c>
      <c r="Q155">
        <v>47.51</v>
      </c>
      <c r="R155" t="s">
        <v>295</v>
      </c>
      <c r="S155">
        <v>1.31</v>
      </c>
      <c r="U155">
        <v>47</v>
      </c>
    </row>
    <row r="156" spans="1:21" x14ac:dyDescent="0.25">
      <c r="A156" s="2">
        <v>46044.922326388885</v>
      </c>
      <c r="B156" t="s">
        <v>309</v>
      </c>
      <c r="C156" t="s">
        <v>372</v>
      </c>
      <c r="D156">
        <v>3</v>
      </c>
      <c r="E156" t="s">
        <v>127</v>
      </c>
      <c r="F156" t="s">
        <v>388</v>
      </c>
      <c r="G156">
        <f t="shared" si="6"/>
        <v>6.1359867330016584</v>
      </c>
      <c r="H156">
        <f t="shared" si="7"/>
        <v>0.82918739635157546</v>
      </c>
      <c r="I156">
        <v>43.83</v>
      </c>
      <c r="J156">
        <f t="shared" si="8"/>
        <v>93.03482587064677</v>
      </c>
      <c r="K156">
        <v>0.85</v>
      </c>
      <c r="L156">
        <v>0.2</v>
      </c>
      <c r="M156">
        <v>0.7</v>
      </c>
      <c r="N156">
        <v>561</v>
      </c>
      <c r="O156">
        <v>37</v>
      </c>
      <c r="P156">
        <v>5</v>
      </c>
      <c r="Q156">
        <v>6.97</v>
      </c>
      <c r="R156" t="s">
        <v>375</v>
      </c>
      <c r="S156">
        <v>0.19</v>
      </c>
      <c r="U156">
        <v>14</v>
      </c>
    </row>
    <row r="157" spans="1:21" x14ac:dyDescent="0.25">
      <c r="A157" s="2">
        <v>46044.922638888886</v>
      </c>
      <c r="B157" t="s">
        <v>309</v>
      </c>
      <c r="C157" t="s">
        <v>372</v>
      </c>
      <c r="D157">
        <v>3</v>
      </c>
      <c r="E157" t="s">
        <v>128</v>
      </c>
      <c r="F157" t="s">
        <v>388</v>
      </c>
      <c r="G157">
        <f t="shared" si="6"/>
        <v>0.6259780907668232</v>
      </c>
      <c r="H157">
        <f t="shared" si="7"/>
        <v>0.1564945226917058</v>
      </c>
      <c r="I157">
        <v>43.83</v>
      </c>
      <c r="J157">
        <f t="shared" si="8"/>
        <v>99.217527386541477</v>
      </c>
      <c r="K157">
        <v>0.85</v>
      </c>
      <c r="L157">
        <v>0.2</v>
      </c>
      <c r="M157">
        <v>0.7</v>
      </c>
      <c r="N157">
        <v>634</v>
      </c>
      <c r="O157">
        <v>4</v>
      </c>
      <c r="P157">
        <v>1</v>
      </c>
      <c r="Q157">
        <v>0.78</v>
      </c>
      <c r="R157" t="s">
        <v>375</v>
      </c>
      <c r="S157">
        <v>0.02</v>
      </c>
      <c r="U157">
        <v>19</v>
      </c>
    </row>
    <row r="158" spans="1:21" x14ac:dyDescent="0.25">
      <c r="A158" s="2">
        <v>46044.922939814816</v>
      </c>
      <c r="B158" t="s">
        <v>309</v>
      </c>
      <c r="C158" t="s">
        <v>372</v>
      </c>
      <c r="D158">
        <v>3</v>
      </c>
      <c r="E158" t="s">
        <v>133</v>
      </c>
      <c r="F158" t="s">
        <v>388</v>
      </c>
      <c r="G158">
        <f t="shared" si="6"/>
        <v>39.05996758508914</v>
      </c>
      <c r="H158">
        <f t="shared" si="7"/>
        <v>11.9935170178282</v>
      </c>
      <c r="I158">
        <v>43.83</v>
      </c>
      <c r="J158">
        <f t="shared" si="8"/>
        <v>48.946515397082656</v>
      </c>
      <c r="K158">
        <v>0.85</v>
      </c>
      <c r="L158">
        <v>0.2</v>
      </c>
      <c r="M158">
        <v>0.7</v>
      </c>
      <c r="N158">
        <v>302</v>
      </c>
      <c r="O158">
        <v>241</v>
      </c>
      <c r="P158">
        <v>74</v>
      </c>
      <c r="Q158">
        <v>51.05</v>
      </c>
      <c r="R158" t="s">
        <v>390</v>
      </c>
      <c r="S158">
        <v>1.31</v>
      </c>
      <c r="U158">
        <v>70</v>
      </c>
    </row>
    <row r="159" spans="1:21" x14ac:dyDescent="0.25">
      <c r="A159" s="2">
        <v>46044.923321759263</v>
      </c>
      <c r="B159" t="s">
        <v>309</v>
      </c>
      <c r="C159" t="s">
        <v>372</v>
      </c>
      <c r="D159">
        <v>3</v>
      </c>
      <c r="E159" t="s">
        <v>134</v>
      </c>
      <c r="F159" t="s">
        <v>388</v>
      </c>
      <c r="G159">
        <f t="shared" si="6"/>
        <v>23.607038123167158</v>
      </c>
      <c r="H159">
        <f t="shared" si="7"/>
        <v>69.061583577712611</v>
      </c>
      <c r="I159">
        <v>43.83</v>
      </c>
      <c r="J159">
        <f t="shared" si="8"/>
        <v>7.3313782991202352</v>
      </c>
      <c r="K159">
        <v>0.85</v>
      </c>
      <c r="L159">
        <v>0.2</v>
      </c>
      <c r="M159">
        <v>0.7</v>
      </c>
      <c r="N159">
        <v>50</v>
      </c>
      <c r="O159">
        <v>161</v>
      </c>
      <c r="P159">
        <v>471</v>
      </c>
      <c r="Q159">
        <v>92.67</v>
      </c>
      <c r="R159" t="s">
        <v>386</v>
      </c>
      <c r="S159">
        <v>2.68</v>
      </c>
      <c r="U159">
        <v>13</v>
      </c>
    </row>
    <row r="160" spans="1:21" x14ac:dyDescent="0.25">
      <c r="A160" s="2">
        <v>46044.923773148148</v>
      </c>
      <c r="B160" t="s">
        <v>309</v>
      </c>
      <c r="C160" t="s">
        <v>372</v>
      </c>
      <c r="D160">
        <v>3</v>
      </c>
      <c r="E160" t="s">
        <v>139</v>
      </c>
      <c r="F160" t="s">
        <v>388</v>
      </c>
      <c r="G160">
        <f t="shared" si="6"/>
        <v>57.473035439137135</v>
      </c>
      <c r="H160">
        <f t="shared" si="7"/>
        <v>18.64406779661017</v>
      </c>
      <c r="I160">
        <v>43.83</v>
      </c>
      <c r="J160">
        <f t="shared" si="8"/>
        <v>23.882896764252695</v>
      </c>
      <c r="K160">
        <v>0.85</v>
      </c>
      <c r="L160">
        <v>0.2</v>
      </c>
      <c r="M160">
        <v>0.7</v>
      </c>
      <c r="N160">
        <v>155</v>
      </c>
      <c r="O160">
        <v>373</v>
      </c>
      <c r="P160">
        <v>121</v>
      </c>
      <c r="Q160">
        <v>76.12</v>
      </c>
      <c r="R160" t="s">
        <v>385</v>
      </c>
      <c r="S160">
        <v>2.0099999999999998</v>
      </c>
      <c r="U160">
        <v>57</v>
      </c>
    </row>
    <row r="161" spans="1:21" x14ac:dyDescent="0.25">
      <c r="A161" s="2">
        <v>46044.924201388887</v>
      </c>
      <c r="B161" t="s">
        <v>309</v>
      </c>
      <c r="C161" t="s">
        <v>372</v>
      </c>
      <c r="D161">
        <v>3</v>
      </c>
      <c r="E161" t="s">
        <v>142</v>
      </c>
      <c r="F161" t="s">
        <v>388</v>
      </c>
      <c r="G161">
        <f t="shared" si="6"/>
        <v>65.764331210191088</v>
      </c>
      <c r="H161">
        <f t="shared" si="7"/>
        <v>20.063694267515924</v>
      </c>
      <c r="I161">
        <v>43.83</v>
      </c>
      <c r="J161">
        <f t="shared" si="8"/>
        <v>14.171974522292993</v>
      </c>
      <c r="K161">
        <v>0.85</v>
      </c>
      <c r="L161">
        <v>0.2</v>
      </c>
      <c r="M161">
        <v>0.7</v>
      </c>
      <c r="N161">
        <v>89</v>
      </c>
      <c r="O161">
        <v>413</v>
      </c>
      <c r="P161">
        <v>126</v>
      </c>
      <c r="Q161">
        <v>85.83</v>
      </c>
      <c r="R161" t="s">
        <v>387</v>
      </c>
      <c r="S161">
        <v>2.54</v>
      </c>
      <c r="U161">
        <v>28</v>
      </c>
    </row>
    <row r="162" spans="1:21" x14ac:dyDescent="0.25">
      <c r="A162" s="2">
        <v>46044.924629629626</v>
      </c>
      <c r="B162" t="s">
        <v>309</v>
      </c>
      <c r="C162" t="s">
        <v>372</v>
      </c>
      <c r="D162">
        <v>3</v>
      </c>
      <c r="E162" t="s">
        <v>143</v>
      </c>
      <c r="F162" t="s">
        <v>388</v>
      </c>
      <c r="G162">
        <f t="shared" si="6"/>
        <v>10.492845786963434</v>
      </c>
      <c r="H162">
        <f t="shared" si="7"/>
        <v>88.553259141494436</v>
      </c>
      <c r="I162">
        <v>43.83</v>
      </c>
      <c r="J162">
        <f t="shared" si="8"/>
        <v>0.95389507154213027</v>
      </c>
      <c r="K162">
        <v>0.85</v>
      </c>
      <c r="L162">
        <v>0.2</v>
      </c>
      <c r="M162">
        <v>0.7</v>
      </c>
      <c r="N162">
        <v>6</v>
      </c>
      <c r="O162">
        <v>66</v>
      </c>
      <c r="P162">
        <v>557</v>
      </c>
      <c r="Q162">
        <v>99.05</v>
      </c>
      <c r="R162" t="s">
        <v>387</v>
      </c>
      <c r="S162">
        <v>3.03</v>
      </c>
      <c r="U162">
        <v>4</v>
      </c>
    </row>
    <row r="163" spans="1:21" x14ac:dyDescent="0.25">
      <c r="A163" s="2">
        <v>46044.925057870372</v>
      </c>
      <c r="B163" t="s">
        <v>309</v>
      </c>
      <c r="C163" t="s">
        <v>372</v>
      </c>
      <c r="D163">
        <v>3</v>
      </c>
      <c r="E163" t="s">
        <v>144</v>
      </c>
      <c r="F163" t="s">
        <v>388</v>
      </c>
      <c r="G163">
        <f t="shared" si="6"/>
        <v>1.3774104683195594</v>
      </c>
      <c r="H163">
        <f t="shared" si="7"/>
        <v>0</v>
      </c>
      <c r="I163">
        <v>43.83</v>
      </c>
      <c r="J163">
        <f t="shared" si="8"/>
        <v>98.622589531680433</v>
      </c>
      <c r="K163">
        <v>0.85</v>
      </c>
      <c r="L163">
        <v>0.2</v>
      </c>
      <c r="M163">
        <v>0.7</v>
      </c>
      <c r="N163">
        <v>716</v>
      </c>
      <c r="O163">
        <v>10</v>
      </c>
      <c r="P163">
        <v>0</v>
      </c>
      <c r="Q163">
        <v>1.38</v>
      </c>
      <c r="R163" t="s">
        <v>380</v>
      </c>
      <c r="S163">
        <v>0.03</v>
      </c>
      <c r="U163">
        <v>20</v>
      </c>
    </row>
    <row r="164" spans="1:21" x14ac:dyDescent="0.25">
      <c r="A164" s="2">
        <v>46044.925370370373</v>
      </c>
      <c r="B164" t="s">
        <v>309</v>
      </c>
      <c r="C164" t="s">
        <v>372</v>
      </c>
      <c r="D164">
        <v>3</v>
      </c>
      <c r="E164" t="s">
        <v>145</v>
      </c>
      <c r="F164" t="s">
        <v>388</v>
      </c>
      <c r="G164">
        <f t="shared" si="6"/>
        <v>27.371695178849144</v>
      </c>
      <c r="H164">
        <f t="shared" si="7"/>
        <v>16.174183514774494</v>
      </c>
      <c r="I164">
        <v>43.83</v>
      </c>
      <c r="J164">
        <f t="shared" si="8"/>
        <v>56.454121306376358</v>
      </c>
      <c r="K164">
        <v>0.85</v>
      </c>
      <c r="L164">
        <v>0.2</v>
      </c>
      <c r="M164">
        <v>0.7</v>
      </c>
      <c r="N164">
        <v>363</v>
      </c>
      <c r="O164">
        <v>176</v>
      </c>
      <c r="P164">
        <v>104</v>
      </c>
      <c r="Q164">
        <v>43.55</v>
      </c>
      <c r="R164" t="s">
        <v>384</v>
      </c>
      <c r="S164">
        <v>1.25</v>
      </c>
      <c r="U164">
        <v>21</v>
      </c>
    </row>
    <row r="165" spans="1:21" x14ac:dyDescent="0.25">
      <c r="A165" s="2">
        <v>46044.925729166665</v>
      </c>
      <c r="B165" t="s">
        <v>309</v>
      </c>
      <c r="C165" t="s">
        <v>372</v>
      </c>
      <c r="D165">
        <v>3</v>
      </c>
      <c r="E165" t="s">
        <v>147</v>
      </c>
      <c r="F165" t="s">
        <v>388</v>
      </c>
      <c r="G165">
        <f t="shared" si="6"/>
        <v>2.2801302931596092</v>
      </c>
      <c r="H165">
        <f t="shared" si="7"/>
        <v>0</v>
      </c>
      <c r="I165">
        <v>43.83</v>
      </c>
      <c r="J165">
        <f t="shared" si="8"/>
        <v>97.719869706840385</v>
      </c>
      <c r="K165">
        <v>0.85</v>
      </c>
      <c r="L165">
        <v>0.2</v>
      </c>
      <c r="M165">
        <v>0.7</v>
      </c>
      <c r="N165">
        <v>600</v>
      </c>
      <c r="O165">
        <v>14</v>
      </c>
      <c r="P165">
        <v>0</v>
      </c>
      <c r="Q165">
        <v>2.2799999999999998</v>
      </c>
      <c r="R165" t="s">
        <v>375</v>
      </c>
      <c r="S165">
        <v>0.06</v>
      </c>
      <c r="U165">
        <v>27</v>
      </c>
    </row>
    <row r="166" spans="1:21" x14ac:dyDescent="0.25">
      <c r="A166" s="2">
        <v>46044.926041666666</v>
      </c>
      <c r="B166" t="s">
        <v>309</v>
      </c>
      <c r="C166" t="s">
        <v>372</v>
      </c>
      <c r="D166">
        <v>3</v>
      </c>
      <c r="E166" t="s">
        <v>151</v>
      </c>
      <c r="F166" t="s">
        <v>388</v>
      </c>
      <c r="G166">
        <f t="shared" si="6"/>
        <v>26.017441860465119</v>
      </c>
      <c r="H166">
        <f t="shared" si="7"/>
        <v>57.267441860465119</v>
      </c>
      <c r="I166">
        <v>43.83</v>
      </c>
      <c r="J166">
        <f t="shared" si="8"/>
        <v>16.715116279069768</v>
      </c>
      <c r="K166">
        <v>0.85</v>
      </c>
      <c r="L166">
        <v>0.2</v>
      </c>
      <c r="M166">
        <v>0.7</v>
      </c>
      <c r="N166">
        <v>115</v>
      </c>
      <c r="O166">
        <v>179</v>
      </c>
      <c r="P166">
        <v>394</v>
      </c>
      <c r="Q166">
        <v>83.28</v>
      </c>
      <c r="R166" t="s">
        <v>385</v>
      </c>
      <c r="S166">
        <v>2.3199999999999998</v>
      </c>
      <c r="U166">
        <v>27</v>
      </c>
    </row>
    <row r="167" spans="1:21" x14ac:dyDescent="0.25">
      <c r="A167" s="2">
        <v>46044.926469907405</v>
      </c>
      <c r="B167" t="s">
        <v>309</v>
      </c>
      <c r="C167" t="s">
        <v>372</v>
      </c>
      <c r="D167">
        <v>3</v>
      </c>
      <c r="E167" t="s">
        <v>152</v>
      </c>
      <c r="F167" t="s">
        <v>388</v>
      </c>
      <c r="G167">
        <f t="shared" si="6"/>
        <v>0.83612040133779264</v>
      </c>
      <c r="H167">
        <f t="shared" si="7"/>
        <v>0</v>
      </c>
      <c r="I167">
        <v>43.83</v>
      </c>
      <c r="J167">
        <f t="shared" si="8"/>
        <v>99.163879598662206</v>
      </c>
      <c r="K167">
        <v>0.85</v>
      </c>
      <c r="L167">
        <v>0.2</v>
      </c>
      <c r="M167">
        <v>0.7</v>
      </c>
      <c r="N167">
        <v>593</v>
      </c>
      <c r="O167">
        <v>5</v>
      </c>
      <c r="P167">
        <v>0</v>
      </c>
      <c r="Q167">
        <v>0.84</v>
      </c>
      <c r="R167" t="s">
        <v>377</v>
      </c>
      <c r="S167">
        <v>0.02</v>
      </c>
      <c r="U167">
        <v>23</v>
      </c>
    </row>
    <row r="168" spans="1:21" x14ac:dyDescent="0.25">
      <c r="A168" s="2">
        <v>46044.926759259259</v>
      </c>
      <c r="B168" t="s">
        <v>309</v>
      </c>
      <c r="C168" t="s">
        <v>372</v>
      </c>
      <c r="D168">
        <v>3</v>
      </c>
      <c r="E168" t="s">
        <v>153</v>
      </c>
      <c r="F168" t="s">
        <v>388</v>
      </c>
      <c r="G168">
        <f t="shared" si="6"/>
        <v>18.086696562032888</v>
      </c>
      <c r="H168">
        <f t="shared" si="7"/>
        <v>35.426008968609871</v>
      </c>
      <c r="I168">
        <v>43.83</v>
      </c>
      <c r="J168">
        <f t="shared" si="8"/>
        <v>46.487294469357252</v>
      </c>
      <c r="K168">
        <v>0.85</v>
      </c>
      <c r="L168">
        <v>0.2</v>
      </c>
      <c r="M168">
        <v>0.7</v>
      </c>
      <c r="N168">
        <v>311</v>
      </c>
      <c r="O168">
        <v>121</v>
      </c>
      <c r="P168">
        <v>237</v>
      </c>
      <c r="Q168">
        <v>53.51</v>
      </c>
      <c r="R168" t="s">
        <v>392</v>
      </c>
      <c r="S168">
        <v>1.51</v>
      </c>
      <c r="U168">
        <v>31</v>
      </c>
    </row>
    <row r="169" spans="1:21" x14ac:dyDescent="0.25">
      <c r="A169" s="2">
        <v>46044.927164351851</v>
      </c>
      <c r="B169" t="s">
        <v>309</v>
      </c>
      <c r="C169" t="s">
        <v>372</v>
      </c>
      <c r="D169">
        <v>3</v>
      </c>
      <c r="E169" t="s">
        <v>154</v>
      </c>
      <c r="F169" t="s">
        <v>388</v>
      </c>
      <c r="G169">
        <f t="shared" si="6"/>
        <v>14.523449319213313</v>
      </c>
      <c r="H169">
        <f t="shared" si="7"/>
        <v>1.3615733736762481</v>
      </c>
      <c r="I169">
        <v>43.83</v>
      </c>
      <c r="J169">
        <f t="shared" si="8"/>
        <v>84.114977307110436</v>
      </c>
      <c r="K169">
        <v>0.85</v>
      </c>
      <c r="L169">
        <v>0.2</v>
      </c>
      <c r="M169">
        <v>0.7</v>
      </c>
      <c r="N169">
        <v>556</v>
      </c>
      <c r="O169">
        <v>96</v>
      </c>
      <c r="P169">
        <v>9</v>
      </c>
      <c r="Q169">
        <v>15.89</v>
      </c>
      <c r="R169" t="s">
        <v>384</v>
      </c>
      <c r="S169">
        <v>0.42</v>
      </c>
      <c r="U169">
        <v>50</v>
      </c>
    </row>
    <row r="170" spans="1:21" x14ac:dyDescent="0.25">
      <c r="A170" s="2">
        <v>46044.927534722221</v>
      </c>
      <c r="B170" t="s">
        <v>309</v>
      </c>
      <c r="C170" t="s">
        <v>372</v>
      </c>
      <c r="D170">
        <v>3</v>
      </c>
      <c r="E170" t="s">
        <v>158</v>
      </c>
      <c r="F170" t="s">
        <v>388</v>
      </c>
      <c r="G170">
        <f t="shared" si="6"/>
        <v>51.390922401171302</v>
      </c>
      <c r="H170">
        <f t="shared" si="7"/>
        <v>18.008784773060029</v>
      </c>
      <c r="I170">
        <v>43.83</v>
      </c>
      <c r="J170">
        <f t="shared" si="8"/>
        <v>30.600292825768665</v>
      </c>
      <c r="K170">
        <v>0.85</v>
      </c>
      <c r="L170">
        <v>0.2</v>
      </c>
      <c r="M170">
        <v>0.7</v>
      </c>
      <c r="N170">
        <v>209</v>
      </c>
      <c r="O170">
        <v>351</v>
      </c>
      <c r="P170">
        <v>123</v>
      </c>
      <c r="Q170">
        <v>69.400000000000006</v>
      </c>
      <c r="R170" t="s">
        <v>387</v>
      </c>
      <c r="S170">
        <v>1.85</v>
      </c>
      <c r="U170">
        <v>51</v>
      </c>
    </row>
    <row r="171" spans="1:21" x14ac:dyDescent="0.25">
      <c r="A171" s="2">
        <v>46044.927951388891</v>
      </c>
      <c r="B171" t="s">
        <v>309</v>
      </c>
      <c r="C171" t="s">
        <v>372</v>
      </c>
      <c r="D171">
        <v>3</v>
      </c>
      <c r="E171" t="s">
        <v>159</v>
      </c>
      <c r="F171" t="s">
        <v>388</v>
      </c>
      <c r="G171">
        <f t="shared" si="6"/>
        <v>48.59550561797753</v>
      </c>
      <c r="H171">
        <f t="shared" si="7"/>
        <v>50.421348314606739</v>
      </c>
      <c r="I171">
        <v>43.83</v>
      </c>
      <c r="J171">
        <f t="shared" si="8"/>
        <v>0.9831460674157303</v>
      </c>
      <c r="K171">
        <v>0.85</v>
      </c>
      <c r="L171">
        <v>0.2</v>
      </c>
      <c r="M171">
        <v>0.7</v>
      </c>
      <c r="N171">
        <v>7</v>
      </c>
      <c r="O171">
        <v>346</v>
      </c>
      <c r="P171">
        <v>359</v>
      </c>
      <c r="Q171">
        <v>99.02</v>
      </c>
      <c r="R171" t="s">
        <v>386</v>
      </c>
      <c r="S171">
        <v>2.96</v>
      </c>
      <c r="U171">
        <v>6</v>
      </c>
    </row>
    <row r="172" spans="1:21" x14ac:dyDescent="0.25">
      <c r="A172" s="2">
        <v>46044.928402777776</v>
      </c>
      <c r="B172" t="s">
        <v>309</v>
      </c>
      <c r="C172" t="s">
        <v>372</v>
      </c>
      <c r="D172">
        <v>3</v>
      </c>
      <c r="E172" t="s">
        <v>160</v>
      </c>
      <c r="F172" t="s">
        <v>388</v>
      </c>
      <c r="G172">
        <f t="shared" si="6"/>
        <v>6.0931899641577063</v>
      </c>
      <c r="H172">
        <f t="shared" si="7"/>
        <v>0.17921146953405018</v>
      </c>
      <c r="I172">
        <v>43.83</v>
      </c>
      <c r="J172">
        <f t="shared" si="8"/>
        <v>93.727598566308245</v>
      </c>
      <c r="K172">
        <v>0.85</v>
      </c>
      <c r="L172">
        <v>0.2</v>
      </c>
      <c r="M172">
        <v>0.7</v>
      </c>
      <c r="N172">
        <v>523</v>
      </c>
      <c r="O172">
        <v>34</v>
      </c>
      <c r="P172">
        <v>1</v>
      </c>
      <c r="Q172">
        <v>6.27</v>
      </c>
      <c r="R172" t="s">
        <v>377</v>
      </c>
      <c r="S172">
        <v>0.16</v>
      </c>
      <c r="U172">
        <v>14</v>
      </c>
    </row>
    <row r="173" spans="1:21" x14ac:dyDescent="0.25">
      <c r="A173" s="2">
        <v>46044.92869212963</v>
      </c>
      <c r="B173" t="s">
        <v>309</v>
      </c>
      <c r="C173" t="s">
        <v>372</v>
      </c>
      <c r="D173">
        <v>3</v>
      </c>
      <c r="E173" t="s">
        <v>325</v>
      </c>
      <c r="F173" t="s">
        <v>388</v>
      </c>
      <c r="G173">
        <f t="shared" si="6"/>
        <v>6.5543071161048685</v>
      </c>
      <c r="H173">
        <f t="shared" si="7"/>
        <v>0</v>
      </c>
      <c r="I173">
        <v>43.83</v>
      </c>
      <c r="J173">
        <f t="shared" si="8"/>
        <v>93.44569288389512</v>
      </c>
      <c r="K173">
        <v>0.85</v>
      </c>
      <c r="L173">
        <v>0.2</v>
      </c>
      <c r="M173">
        <v>0.7</v>
      </c>
      <c r="N173">
        <v>499</v>
      </c>
      <c r="O173">
        <v>35</v>
      </c>
      <c r="P173">
        <v>0</v>
      </c>
      <c r="Q173">
        <v>6.55</v>
      </c>
      <c r="R173" t="s">
        <v>377</v>
      </c>
      <c r="S173">
        <v>0.17</v>
      </c>
      <c r="U173">
        <v>25</v>
      </c>
    </row>
    <row r="174" spans="1:21" x14ac:dyDescent="0.25">
      <c r="A174" s="2">
        <v>46044.928969907407</v>
      </c>
      <c r="B174" t="s">
        <v>309</v>
      </c>
      <c r="C174" t="s">
        <v>372</v>
      </c>
      <c r="D174">
        <v>3</v>
      </c>
      <c r="E174" t="s">
        <v>165</v>
      </c>
      <c r="F174" t="s">
        <v>388</v>
      </c>
      <c r="G174">
        <f t="shared" si="6"/>
        <v>33.115823817292004</v>
      </c>
      <c r="H174">
        <f t="shared" si="7"/>
        <v>52.854812398042419</v>
      </c>
      <c r="I174">
        <v>43.83</v>
      </c>
      <c r="J174">
        <f t="shared" si="8"/>
        <v>14.029363784665581</v>
      </c>
      <c r="K174">
        <v>0.85</v>
      </c>
      <c r="L174">
        <v>0.2</v>
      </c>
      <c r="M174">
        <v>0.7</v>
      </c>
      <c r="N174">
        <v>86</v>
      </c>
      <c r="O174">
        <v>203</v>
      </c>
      <c r="P174">
        <v>324</v>
      </c>
      <c r="Q174">
        <v>85.97</v>
      </c>
      <c r="R174" t="s">
        <v>378</v>
      </c>
      <c r="S174">
        <v>2.5299999999999998</v>
      </c>
      <c r="U174">
        <v>25</v>
      </c>
    </row>
    <row r="175" spans="1:21" x14ac:dyDescent="0.25">
      <c r="A175" s="2">
        <v>46044.929375</v>
      </c>
      <c r="B175" t="s">
        <v>309</v>
      </c>
      <c r="C175" t="s">
        <v>372</v>
      </c>
      <c r="D175">
        <v>3</v>
      </c>
      <c r="E175" t="s">
        <v>166</v>
      </c>
      <c r="F175" t="s">
        <v>388</v>
      </c>
      <c r="G175">
        <f t="shared" si="6"/>
        <v>5.6338028169014089</v>
      </c>
      <c r="H175">
        <f t="shared" si="7"/>
        <v>0.78247261345852892</v>
      </c>
      <c r="I175">
        <v>43.83</v>
      </c>
      <c r="J175">
        <f t="shared" si="8"/>
        <v>93.583724569640054</v>
      </c>
      <c r="K175">
        <v>0.85</v>
      </c>
      <c r="L175">
        <v>0.2</v>
      </c>
      <c r="M175">
        <v>0.7</v>
      </c>
      <c r="N175">
        <v>598</v>
      </c>
      <c r="O175">
        <v>36</v>
      </c>
      <c r="P175">
        <v>5</v>
      </c>
      <c r="Q175">
        <v>6.42</v>
      </c>
      <c r="R175" t="s">
        <v>375</v>
      </c>
      <c r="S175">
        <v>0.16</v>
      </c>
      <c r="U175">
        <v>38</v>
      </c>
    </row>
    <row r="176" spans="1:21" x14ac:dyDescent="0.25">
      <c r="A176" s="2">
        <v>46044.9296875</v>
      </c>
      <c r="B176" t="s">
        <v>309</v>
      </c>
      <c r="C176" t="s">
        <v>372</v>
      </c>
      <c r="D176">
        <v>3</v>
      </c>
      <c r="E176" t="s">
        <v>169</v>
      </c>
      <c r="F176" t="s">
        <v>388</v>
      </c>
      <c r="G176">
        <f t="shared" si="6"/>
        <v>9.9644128113879002</v>
      </c>
      <c r="H176">
        <f t="shared" si="7"/>
        <v>0.1779359430604982</v>
      </c>
      <c r="I176">
        <v>43.83</v>
      </c>
      <c r="J176">
        <f t="shared" si="8"/>
        <v>89.857651245551608</v>
      </c>
      <c r="K176">
        <v>0.85</v>
      </c>
      <c r="L176">
        <v>0.2</v>
      </c>
      <c r="M176">
        <v>0.7</v>
      </c>
      <c r="N176">
        <v>505</v>
      </c>
      <c r="O176">
        <v>56</v>
      </c>
      <c r="P176">
        <v>1</v>
      </c>
      <c r="Q176">
        <v>10.14</v>
      </c>
      <c r="R176" t="s">
        <v>380</v>
      </c>
      <c r="S176">
        <v>0.27</v>
      </c>
      <c r="U176">
        <v>20</v>
      </c>
    </row>
    <row r="177" spans="1:21" x14ac:dyDescent="0.25">
      <c r="A177" s="2">
        <v>46044.93</v>
      </c>
      <c r="B177" t="s">
        <v>309</v>
      </c>
      <c r="C177" t="s">
        <v>372</v>
      </c>
      <c r="D177">
        <v>3</v>
      </c>
      <c r="E177" t="s">
        <v>170</v>
      </c>
      <c r="F177" t="s">
        <v>388</v>
      </c>
      <c r="G177">
        <f t="shared" si="6"/>
        <v>25.075528700906347</v>
      </c>
      <c r="H177">
        <f t="shared" si="7"/>
        <v>1.5105740181268883</v>
      </c>
      <c r="I177">
        <v>43.83</v>
      </c>
      <c r="J177">
        <f t="shared" si="8"/>
        <v>73.413897280966765</v>
      </c>
      <c r="K177">
        <v>0.85</v>
      </c>
      <c r="L177">
        <v>0.2</v>
      </c>
      <c r="M177">
        <v>0.7</v>
      </c>
      <c r="N177">
        <v>486</v>
      </c>
      <c r="O177">
        <v>166</v>
      </c>
      <c r="P177">
        <v>10</v>
      </c>
      <c r="Q177">
        <v>26.59</v>
      </c>
      <c r="R177" t="s">
        <v>382</v>
      </c>
      <c r="S177">
        <v>0.72</v>
      </c>
      <c r="U177">
        <v>47</v>
      </c>
    </row>
    <row r="178" spans="1:21" x14ac:dyDescent="0.25">
      <c r="A178" s="2">
        <v>46044.930347222224</v>
      </c>
      <c r="B178" t="s">
        <v>309</v>
      </c>
      <c r="C178" t="s">
        <v>372</v>
      </c>
      <c r="D178">
        <v>3</v>
      </c>
      <c r="E178" t="s">
        <v>326</v>
      </c>
      <c r="F178" t="s">
        <v>388</v>
      </c>
      <c r="G178">
        <f t="shared" si="6"/>
        <v>5.6047197640117989</v>
      </c>
      <c r="H178">
        <f t="shared" si="7"/>
        <v>0.73746312684365778</v>
      </c>
      <c r="I178">
        <v>43.83</v>
      </c>
      <c r="J178">
        <f t="shared" si="8"/>
        <v>93.657817109144545</v>
      </c>
      <c r="K178">
        <v>0.85</v>
      </c>
      <c r="L178">
        <v>0.2</v>
      </c>
      <c r="M178">
        <v>0.7</v>
      </c>
      <c r="N178">
        <v>635</v>
      </c>
      <c r="O178">
        <v>38</v>
      </c>
      <c r="P178">
        <v>5</v>
      </c>
      <c r="Q178">
        <v>6.34</v>
      </c>
      <c r="R178" t="s">
        <v>383</v>
      </c>
      <c r="S178">
        <v>0.17</v>
      </c>
      <c r="U178">
        <v>45</v>
      </c>
    </row>
    <row r="179" spans="1:21" x14ac:dyDescent="0.25">
      <c r="A179" s="2">
        <v>46044.930671296293</v>
      </c>
      <c r="B179" t="s">
        <v>309</v>
      </c>
      <c r="C179" t="s">
        <v>372</v>
      </c>
      <c r="D179">
        <v>3</v>
      </c>
      <c r="E179" t="s">
        <v>172</v>
      </c>
      <c r="F179" t="s">
        <v>388</v>
      </c>
      <c r="G179">
        <f t="shared" si="6"/>
        <v>30.960854092526692</v>
      </c>
      <c r="H179">
        <f t="shared" si="7"/>
        <v>3.0249110320284696</v>
      </c>
      <c r="I179">
        <v>43.83</v>
      </c>
      <c r="J179">
        <f t="shared" si="8"/>
        <v>66.014234875444842</v>
      </c>
      <c r="K179">
        <v>0.85</v>
      </c>
      <c r="L179">
        <v>0.2</v>
      </c>
      <c r="M179">
        <v>0.7</v>
      </c>
      <c r="N179">
        <v>371</v>
      </c>
      <c r="O179">
        <v>174</v>
      </c>
      <c r="P179">
        <v>17</v>
      </c>
      <c r="Q179">
        <v>33.99</v>
      </c>
      <c r="R179" t="s">
        <v>383</v>
      </c>
      <c r="S179">
        <v>0.86</v>
      </c>
      <c r="U179">
        <v>46</v>
      </c>
    </row>
    <row r="180" spans="1:21" x14ac:dyDescent="0.25">
      <c r="A180" s="2">
        <v>46044.931006944447</v>
      </c>
      <c r="B180" t="s">
        <v>309</v>
      </c>
      <c r="C180" t="s">
        <v>372</v>
      </c>
      <c r="D180">
        <v>3</v>
      </c>
      <c r="E180" t="s">
        <v>176</v>
      </c>
      <c r="F180" t="s">
        <v>388</v>
      </c>
      <c r="G180">
        <f t="shared" si="6"/>
        <v>3.7249283667621778</v>
      </c>
      <c r="H180">
        <f t="shared" si="7"/>
        <v>96.275071633237815</v>
      </c>
      <c r="I180">
        <v>43.83</v>
      </c>
      <c r="J180">
        <f t="shared" si="8"/>
        <v>0</v>
      </c>
      <c r="K180">
        <v>0.85</v>
      </c>
      <c r="L180">
        <v>0.2</v>
      </c>
      <c r="M180">
        <v>0.7</v>
      </c>
      <c r="N180">
        <v>0</v>
      </c>
      <c r="O180">
        <v>26</v>
      </c>
      <c r="P180">
        <v>672</v>
      </c>
      <c r="Q180">
        <v>100</v>
      </c>
      <c r="R180" t="s">
        <v>389</v>
      </c>
      <c r="S180">
        <v>2.82</v>
      </c>
      <c r="U180">
        <v>0</v>
      </c>
    </row>
    <row r="181" spans="1:21" x14ac:dyDescent="0.25">
      <c r="A181" s="2">
        <v>46044.931458333333</v>
      </c>
      <c r="B181" t="s">
        <v>309</v>
      </c>
      <c r="C181" t="s">
        <v>372</v>
      </c>
      <c r="D181">
        <v>3</v>
      </c>
      <c r="E181" t="s">
        <v>177</v>
      </c>
      <c r="F181" t="s">
        <v>388</v>
      </c>
      <c r="G181">
        <f t="shared" si="6"/>
        <v>26.376811594202898</v>
      </c>
      <c r="H181">
        <f t="shared" si="7"/>
        <v>11.014492753623188</v>
      </c>
      <c r="I181">
        <v>43.83</v>
      </c>
      <c r="J181">
        <f t="shared" si="8"/>
        <v>62.608695652173921</v>
      </c>
      <c r="K181">
        <v>0.85</v>
      </c>
      <c r="L181">
        <v>0.2</v>
      </c>
      <c r="M181">
        <v>0.7</v>
      </c>
      <c r="N181">
        <v>432</v>
      </c>
      <c r="O181">
        <v>182</v>
      </c>
      <c r="P181">
        <v>76</v>
      </c>
      <c r="Q181">
        <v>37.39</v>
      </c>
      <c r="R181" t="s">
        <v>390</v>
      </c>
      <c r="S181">
        <v>1.05</v>
      </c>
      <c r="U181">
        <v>54</v>
      </c>
    </row>
    <row r="182" spans="1:21" x14ac:dyDescent="0.25">
      <c r="A182" s="2">
        <v>46044.931828703702</v>
      </c>
      <c r="B182" t="s">
        <v>309</v>
      </c>
      <c r="C182" t="s">
        <v>372</v>
      </c>
      <c r="D182">
        <v>3</v>
      </c>
      <c r="E182" t="s">
        <v>181</v>
      </c>
      <c r="F182" t="s">
        <v>388</v>
      </c>
      <c r="G182">
        <f t="shared" si="6"/>
        <v>24.569640062597809</v>
      </c>
      <c r="H182">
        <f t="shared" si="7"/>
        <v>42.879499217527389</v>
      </c>
      <c r="I182">
        <v>43.83</v>
      </c>
      <c r="J182">
        <f t="shared" si="8"/>
        <v>32.550860719874805</v>
      </c>
      <c r="K182">
        <v>0.85</v>
      </c>
      <c r="L182">
        <v>0.2</v>
      </c>
      <c r="M182">
        <v>0.7</v>
      </c>
      <c r="N182">
        <v>208</v>
      </c>
      <c r="O182">
        <v>157</v>
      </c>
      <c r="P182">
        <v>274</v>
      </c>
      <c r="Q182">
        <v>67.45</v>
      </c>
      <c r="R182" t="s">
        <v>378</v>
      </c>
      <c r="S182">
        <v>1.85</v>
      </c>
      <c r="U182">
        <v>25</v>
      </c>
    </row>
    <row r="183" spans="1:21" x14ac:dyDescent="0.25">
      <c r="A183" s="2">
        <v>46044.932233796295</v>
      </c>
      <c r="B183" t="s">
        <v>309</v>
      </c>
      <c r="C183" t="s">
        <v>372</v>
      </c>
      <c r="D183">
        <v>3</v>
      </c>
      <c r="E183" t="s">
        <v>182</v>
      </c>
      <c r="F183" t="s">
        <v>388</v>
      </c>
      <c r="G183">
        <f t="shared" si="6"/>
        <v>6.9131832797427659</v>
      </c>
      <c r="H183">
        <f t="shared" si="7"/>
        <v>0.32154340836012862</v>
      </c>
      <c r="I183">
        <v>43.83</v>
      </c>
      <c r="J183">
        <f t="shared" si="8"/>
        <v>92.765273311897104</v>
      </c>
      <c r="K183">
        <v>0.85</v>
      </c>
      <c r="L183">
        <v>0.2</v>
      </c>
      <c r="M183">
        <v>0.7</v>
      </c>
      <c r="N183">
        <v>577</v>
      </c>
      <c r="O183">
        <v>43</v>
      </c>
      <c r="P183">
        <v>2</v>
      </c>
      <c r="Q183">
        <v>7.23</v>
      </c>
      <c r="R183" t="s">
        <v>380</v>
      </c>
      <c r="S183">
        <v>0.18</v>
      </c>
      <c r="U183">
        <v>72</v>
      </c>
    </row>
    <row r="184" spans="1:21" x14ac:dyDescent="0.25">
      <c r="A184" s="2">
        <v>46044.932546296295</v>
      </c>
      <c r="B184" t="s">
        <v>309</v>
      </c>
      <c r="C184" t="s">
        <v>372</v>
      </c>
      <c r="D184">
        <v>3</v>
      </c>
      <c r="E184" t="s">
        <v>183</v>
      </c>
      <c r="F184" t="s">
        <v>388</v>
      </c>
      <c r="G184">
        <f t="shared" si="6"/>
        <v>4.2975206611570247</v>
      </c>
      <c r="H184">
        <f t="shared" si="7"/>
        <v>0</v>
      </c>
      <c r="I184">
        <v>43.83</v>
      </c>
      <c r="J184">
        <f t="shared" si="8"/>
        <v>95.702479338842977</v>
      </c>
      <c r="K184">
        <v>0.85</v>
      </c>
      <c r="L184">
        <v>0.2</v>
      </c>
      <c r="M184">
        <v>0.7</v>
      </c>
      <c r="N184">
        <v>579</v>
      </c>
      <c r="O184">
        <v>26</v>
      </c>
      <c r="P184">
        <v>0</v>
      </c>
      <c r="Q184">
        <v>4.3</v>
      </c>
      <c r="R184" t="s">
        <v>380</v>
      </c>
      <c r="S184">
        <v>0.11</v>
      </c>
      <c r="U184">
        <v>48</v>
      </c>
    </row>
    <row r="185" spans="1:21" x14ac:dyDescent="0.25">
      <c r="A185" s="2">
        <v>46044.932870370372</v>
      </c>
      <c r="B185" t="s">
        <v>309</v>
      </c>
      <c r="C185" t="s">
        <v>372</v>
      </c>
      <c r="D185">
        <v>3</v>
      </c>
      <c r="E185" t="s">
        <v>184</v>
      </c>
      <c r="F185" t="s">
        <v>388</v>
      </c>
      <c r="G185">
        <f t="shared" si="6"/>
        <v>45.614035087719294</v>
      </c>
      <c r="H185">
        <f t="shared" si="7"/>
        <v>38.15789473684211</v>
      </c>
      <c r="I185">
        <v>43.83</v>
      </c>
      <c r="J185">
        <f t="shared" si="8"/>
        <v>16.228070175438596</v>
      </c>
      <c r="K185">
        <v>0.85</v>
      </c>
      <c r="L185">
        <v>0.2</v>
      </c>
      <c r="M185">
        <v>0.7</v>
      </c>
      <c r="N185">
        <v>111</v>
      </c>
      <c r="O185">
        <v>312</v>
      </c>
      <c r="P185">
        <v>261</v>
      </c>
      <c r="Q185">
        <v>83.77</v>
      </c>
      <c r="R185" t="s">
        <v>385</v>
      </c>
      <c r="S185">
        <v>2.38</v>
      </c>
      <c r="U185">
        <v>19</v>
      </c>
    </row>
    <row r="186" spans="1:21" x14ac:dyDescent="0.25">
      <c r="A186" s="2">
        <v>46044.933298611111</v>
      </c>
      <c r="B186" t="s">
        <v>309</v>
      </c>
      <c r="C186" t="s">
        <v>372</v>
      </c>
      <c r="D186">
        <v>3</v>
      </c>
      <c r="E186" t="s">
        <v>186</v>
      </c>
      <c r="F186" t="s">
        <v>388</v>
      </c>
      <c r="G186">
        <f t="shared" si="6"/>
        <v>23.639774859287055</v>
      </c>
      <c r="H186">
        <f t="shared" si="7"/>
        <v>16.51031894934334</v>
      </c>
      <c r="I186">
        <v>43.83</v>
      </c>
      <c r="J186">
        <f t="shared" si="8"/>
        <v>59.849906191369605</v>
      </c>
      <c r="K186">
        <v>0.85</v>
      </c>
      <c r="L186">
        <v>0.2</v>
      </c>
      <c r="M186">
        <v>0.7</v>
      </c>
      <c r="N186">
        <v>319</v>
      </c>
      <c r="O186">
        <v>126</v>
      </c>
      <c r="P186">
        <v>88</v>
      </c>
      <c r="Q186">
        <v>40.15</v>
      </c>
      <c r="R186" t="s">
        <v>383</v>
      </c>
      <c r="S186">
        <v>1.07</v>
      </c>
      <c r="U186">
        <v>28</v>
      </c>
    </row>
    <row r="187" spans="1:21" x14ac:dyDescent="0.25">
      <c r="A187" s="2">
        <v>46044.933634259258</v>
      </c>
      <c r="B187" t="s">
        <v>309</v>
      </c>
      <c r="C187" t="s">
        <v>372</v>
      </c>
      <c r="D187">
        <v>3</v>
      </c>
      <c r="E187" t="s">
        <v>187</v>
      </c>
      <c r="F187" t="s">
        <v>388</v>
      </c>
      <c r="G187">
        <f t="shared" si="6"/>
        <v>9.969325153374232</v>
      </c>
      <c r="H187">
        <f t="shared" si="7"/>
        <v>0</v>
      </c>
      <c r="I187">
        <v>43.83</v>
      </c>
      <c r="J187">
        <f t="shared" si="8"/>
        <v>90.030674846625772</v>
      </c>
      <c r="K187">
        <v>0.85</v>
      </c>
      <c r="L187">
        <v>0.2</v>
      </c>
      <c r="M187">
        <v>0.7</v>
      </c>
      <c r="N187">
        <v>587</v>
      </c>
      <c r="O187">
        <v>65</v>
      </c>
      <c r="P187">
        <v>0</v>
      </c>
      <c r="Q187">
        <v>9.9700000000000006</v>
      </c>
      <c r="R187" t="s">
        <v>380</v>
      </c>
      <c r="S187">
        <v>0.27</v>
      </c>
      <c r="U187">
        <v>21</v>
      </c>
    </row>
    <row r="188" spans="1:21" x14ac:dyDescent="0.25">
      <c r="A188" s="2">
        <v>46044.933946759258</v>
      </c>
      <c r="B188" t="s">
        <v>309</v>
      </c>
      <c r="C188" t="s">
        <v>372</v>
      </c>
      <c r="D188">
        <v>3</v>
      </c>
      <c r="E188" t="s">
        <v>327</v>
      </c>
      <c r="F188" t="s">
        <v>388</v>
      </c>
      <c r="G188">
        <f t="shared" si="6"/>
        <v>49.519230769230774</v>
      </c>
      <c r="H188">
        <f t="shared" si="7"/>
        <v>9.9358974358974361</v>
      </c>
      <c r="I188">
        <v>43.83</v>
      </c>
      <c r="J188">
        <f t="shared" si="8"/>
        <v>40.544871794871796</v>
      </c>
      <c r="K188">
        <v>0.85</v>
      </c>
      <c r="L188">
        <v>0.2</v>
      </c>
      <c r="M188">
        <v>0.7</v>
      </c>
      <c r="N188">
        <v>253</v>
      </c>
      <c r="O188">
        <v>309</v>
      </c>
      <c r="P188">
        <v>62</v>
      </c>
      <c r="Q188">
        <v>59.46</v>
      </c>
      <c r="R188" t="s">
        <v>295</v>
      </c>
      <c r="S188">
        <v>1.59</v>
      </c>
      <c r="U188">
        <v>74</v>
      </c>
    </row>
    <row r="189" spans="1:21" x14ac:dyDescent="0.25">
      <c r="A189" s="2">
        <v>46044.934340277781</v>
      </c>
      <c r="B189" t="s">
        <v>309</v>
      </c>
      <c r="C189" t="s">
        <v>372</v>
      </c>
      <c r="D189">
        <v>3</v>
      </c>
      <c r="E189" t="s">
        <v>191</v>
      </c>
      <c r="F189" t="s">
        <v>388</v>
      </c>
      <c r="G189">
        <f t="shared" si="6"/>
        <v>28.888888888888886</v>
      </c>
      <c r="H189">
        <f t="shared" si="7"/>
        <v>4.6031746031746037</v>
      </c>
      <c r="I189">
        <v>43.83</v>
      </c>
      <c r="J189">
        <f t="shared" si="8"/>
        <v>66.507936507936506</v>
      </c>
      <c r="K189">
        <v>0.85</v>
      </c>
      <c r="L189">
        <v>0.2</v>
      </c>
      <c r="M189">
        <v>0.7</v>
      </c>
      <c r="N189">
        <v>419</v>
      </c>
      <c r="O189">
        <v>182</v>
      </c>
      <c r="P189">
        <v>29</v>
      </c>
      <c r="Q189">
        <v>33.49</v>
      </c>
      <c r="R189" t="s">
        <v>379</v>
      </c>
      <c r="S189">
        <v>0.89</v>
      </c>
      <c r="U189">
        <v>53</v>
      </c>
    </row>
    <row r="190" spans="1:21" x14ac:dyDescent="0.25">
      <c r="A190" s="2">
        <v>46044.934687499997</v>
      </c>
      <c r="B190" t="s">
        <v>309</v>
      </c>
      <c r="C190" t="s">
        <v>372</v>
      </c>
      <c r="D190">
        <v>3</v>
      </c>
      <c r="E190" t="s">
        <v>192</v>
      </c>
      <c r="F190" t="s">
        <v>388</v>
      </c>
      <c r="G190">
        <f t="shared" si="6"/>
        <v>52.572347266881025</v>
      </c>
      <c r="H190">
        <f t="shared" si="7"/>
        <v>25.080385852090032</v>
      </c>
      <c r="I190">
        <v>43.83</v>
      </c>
      <c r="J190">
        <f t="shared" si="8"/>
        <v>22.347266881028936</v>
      </c>
      <c r="K190">
        <v>0.85</v>
      </c>
      <c r="L190">
        <v>0.2</v>
      </c>
      <c r="M190">
        <v>0.7</v>
      </c>
      <c r="N190">
        <v>139</v>
      </c>
      <c r="O190">
        <v>327</v>
      </c>
      <c r="P190">
        <v>156</v>
      </c>
      <c r="Q190">
        <v>77.650000000000006</v>
      </c>
      <c r="R190" t="s">
        <v>392</v>
      </c>
      <c r="S190">
        <v>2.23</v>
      </c>
      <c r="U190">
        <v>27</v>
      </c>
    </row>
    <row r="191" spans="1:21" x14ac:dyDescent="0.25">
      <c r="A191" s="2">
        <v>46044.93509259259</v>
      </c>
      <c r="B191" t="s">
        <v>309</v>
      </c>
      <c r="C191" t="s">
        <v>372</v>
      </c>
      <c r="D191">
        <v>3</v>
      </c>
      <c r="E191" t="s">
        <v>195</v>
      </c>
      <c r="F191" t="s">
        <v>388</v>
      </c>
      <c r="G191">
        <f t="shared" si="6"/>
        <v>31.729323308270679</v>
      </c>
      <c r="H191">
        <f t="shared" si="7"/>
        <v>45.864661654135332</v>
      </c>
      <c r="I191">
        <v>43.83</v>
      </c>
      <c r="J191">
        <f t="shared" si="8"/>
        <v>22.406015037593985</v>
      </c>
      <c r="K191">
        <v>0.85</v>
      </c>
      <c r="L191">
        <v>0.2</v>
      </c>
      <c r="M191">
        <v>0.7</v>
      </c>
      <c r="N191">
        <v>149</v>
      </c>
      <c r="O191">
        <v>211</v>
      </c>
      <c r="P191">
        <v>305</v>
      </c>
      <c r="Q191">
        <v>77.59</v>
      </c>
      <c r="R191" t="s">
        <v>387</v>
      </c>
      <c r="S191">
        <v>2.21</v>
      </c>
      <c r="U191">
        <v>43</v>
      </c>
    </row>
    <row r="192" spans="1:21" x14ac:dyDescent="0.25">
      <c r="A192" s="2">
        <v>46044.935520833336</v>
      </c>
      <c r="B192" t="s">
        <v>309</v>
      </c>
      <c r="C192" t="s">
        <v>372</v>
      </c>
      <c r="D192">
        <v>3</v>
      </c>
      <c r="E192" t="s">
        <v>196</v>
      </c>
      <c r="F192" t="s">
        <v>388</v>
      </c>
      <c r="G192">
        <f t="shared" si="6"/>
        <v>11.933534743202417</v>
      </c>
      <c r="H192">
        <f t="shared" si="7"/>
        <v>0</v>
      </c>
      <c r="I192">
        <v>43.83</v>
      </c>
      <c r="J192">
        <f t="shared" si="8"/>
        <v>88.066465256797585</v>
      </c>
      <c r="K192">
        <v>0.85</v>
      </c>
      <c r="L192">
        <v>0.2</v>
      </c>
      <c r="M192">
        <v>0.7</v>
      </c>
      <c r="N192">
        <v>583</v>
      </c>
      <c r="O192">
        <v>79</v>
      </c>
      <c r="P192">
        <v>0</v>
      </c>
      <c r="Q192">
        <v>11.93</v>
      </c>
      <c r="R192" t="s">
        <v>380</v>
      </c>
      <c r="S192">
        <v>0.31</v>
      </c>
      <c r="U192">
        <v>30</v>
      </c>
    </row>
    <row r="193" spans="1:21" x14ac:dyDescent="0.25">
      <c r="A193" s="2">
        <v>46044.935844907406</v>
      </c>
      <c r="B193" t="s">
        <v>309</v>
      </c>
      <c r="C193" t="s">
        <v>372</v>
      </c>
      <c r="D193">
        <v>3</v>
      </c>
      <c r="E193" t="s">
        <v>199</v>
      </c>
      <c r="F193" t="s">
        <v>388</v>
      </c>
      <c r="G193">
        <f t="shared" ref="G193:G256" si="9">(O193/(N193+O193+P193))*100</f>
        <v>20.140105078809107</v>
      </c>
      <c r="H193">
        <f t="shared" ref="H193:H256" si="10">(P193/(O193+P193+N193))*100</f>
        <v>0.52539404553415059</v>
      </c>
      <c r="I193">
        <v>43.83</v>
      </c>
      <c r="J193">
        <f t="shared" ref="J193:J256" si="11">(N193/(P193+O193+N193))*100</f>
        <v>79.334500875656744</v>
      </c>
      <c r="K193">
        <v>0.85</v>
      </c>
      <c r="L193">
        <v>0.2</v>
      </c>
      <c r="M193">
        <v>0.7</v>
      </c>
      <c r="N193">
        <v>453</v>
      </c>
      <c r="O193">
        <v>115</v>
      </c>
      <c r="P193">
        <v>3</v>
      </c>
      <c r="Q193">
        <v>20.67</v>
      </c>
      <c r="R193" t="s">
        <v>383</v>
      </c>
      <c r="S193">
        <v>0.51</v>
      </c>
      <c r="U193">
        <v>71</v>
      </c>
    </row>
    <row r="194" spans="1:21" x14ac:dyDescent="0.25">
      <c r="A194" s="2">
        <v>46044.936168981483</v>
      </c>
      <c r="B194" t="s">
        <v>309</v>
      </c>
      <c r="C194" t="s">
        <v>372</v>
      </c>
      <c r="D194">
        <v>3</v>
      </c>
      <c r="E194" t="s">
        <v>201</v>
      </c>
      <c r="F194" t="s">
        <v>388</v>
      </c>
      <c r="G194">
        <f t="shared" si="9"/>
        <v>72.190201729106633</v>
      </c>
      <c r="H194">
        <f t="shared" si="10"/>
        <v>8.5014409221902021</v>
      </c>
      <c r="I194">
        <v>43.83</v>
      </c>
      <c r="J194">
        <f t="shared" si="11"/>
        <v>19.308357348703169</v>
      </c>
      <c r="K194">
        <v>0.85</v>
      </c>
      <c r="L194">
        <v>0.2</v>
      </c>
      <c r="M194">
        <v>0.7</v>
      </c>
      <c r="N194">
        <v>134</v>
      </c>
      <c r="O194">
        <v>501</v>
      </c>
      <c r="P194">
        <v>59</v>
      </c>
      <c r="Q194">
        <v>80.69</v>
      </c>
      <c r="R194" t="s">
        <v>385</v>
      </c>
      <c r="S194">
        <v>2.2999999999999998</v>
      </c>
      <c r="U194">
        <v>37</v>
      </c>
    </row>
    <row r="195" spans="1:21" x14ac:dyDescent="0.25">
      <c r="A195" s="2">
        <v>46044.936597222222</v>
      </c>
      <c r="B195" t="s">
        <v>309</v>
      </c>
      <c r="C195" t="s">
        <v>372</v>
      </c>
      <c r="D195">
        <v>3</v>
      </c>
      <c r="E195" t="s">
        <v>203</v>
      </c>
      <c r="F195" t="s">
        <v>388</v>
      </c>
      <c r="G195">
        <f t="shared" si="9"/>
        <v>8.7769784172661875</v>
      </c>
      <c r="H195">
        <f t="shared" si="10"/>
        <v>90.071942446043167</v>
      </c>
      <c r="I195">
        <v>43.83</v>
      </c>
      <c r="J195">
        <f t="shared" si="11"/>
        <v>1.1510791366906474</v>
      </c>
      <c r="K195">
        <v>0.85</v>
      </c>
      <c r="L195">
        <v>0.2</v>
      </c>
      <c r="M195">
        <v>0.7</v>
      </c>
      <c r="N195">
        <v>8</v>
      </c>
      <c r="O195">
        <v>61</v>
      </c>
      <c r="P195">
        <v>626</v>
      </c>
      <c r="Q195">
        <v>98.85</v>
      </c>
      <c r="R195" t="s">
        <v>389</v>
      </c>
      <c r="S195">
        <v>2.91</v>
      </c>
      <c r="U195">
        <v>4</v>
      </c>
    </row>
    <row r="196" spans="1:21" x14ac:dyDescent="0.25">
      <c r="A196" s="2">
        <v>46044.937060185184</v>
      </c>
      <c r="B196" t="s">
        <v>309</v>
      </c>
      <c r="C196" t="s">
        <v>372</v>
      </c>
      <c r="D196">
        <v>3</v>
      </c>
      <c r="E196" t="s">
        <v>205</v>
      </c>
      <c r="F196" t="s">
        <v>388</v>
      </c>
      <c r="G196">
        <f t="shared" si="9"/>
        <v>53.301127214170698</v>
      </c>
      <c r="H196">
        <f t="shared" si="10"/>
        <v>26.247987117552334</v>
      </c>
      <c r="I196">
        <v>43.83</v>
      </c>
      <c r="J196">
        <f t="shared" si="11"/>
        <v>20.450885668276971</v>
      </c>
      <c r="K196">
        <v>0.85</v>
      </c>
      <c r="L196">
        <v>0.2</v>
      </c>
      <c r="M196">
        <v>0.7</v>
      </c>
      <c r="N196">
        <v>127</v>
      </c>
      <c r="O196">
        <v>331</v>
      </c>
      <c r="P196">
        <v>163</v>
      </c>
      <c r="Q196">
        <v>79.55</v>
      </c>
      <c r="R196" t="s">
        <v>392</v>
      </c>
      <c r="S196">
        <v>2.2999999999999998</v>
      </c>
      <c r="U196">
        <v>33</v>
      </c>
    </row>
    <row r="197" spans="1:21" x14ac:dyDescent="0.25">
      <c r="A197" s="2">
        <v>46044.937476851854</v>
      </c>
      <c r="B197" t="s">
        <v>309</v>
      </c>
      <c r="C197" t="s">
        <v>372</v>
      </c>
      <c r="D197">
        <v>3</v>
      </c>
      <c r="E197" t="s">
        <v>206</v>
      </c>
      <c r="F197" t="s">
        <v>388</v>
      </c>
      <c r="G197">
        <f t="shared" si="9"/>
        <v>26.36986301369863</v>
      </c>
      <c r="H197">
        <f t="shared" si="10"/>
        <v>2.7397260273972601</v>
      </c>
      <c r="I197">
        <v>43.83</v>
      </c>
      <c r="J197">
        <f t="shared" si="11"/>
        <v>70.890410958904098</v>
      </c>
      <c r="K197">
        <v>0.85</v>
      </c>
      <c r="L197">
        <v>0.2</v>
      </c>
      <c r="M197">
        <v>0.7</v>
      </c>
      <c r="N197">
        <v>414</v>
      </c>
      <c r="O197">
        <v>154</v>
      </c>
      <c r="P197">
        <v>16</v>
      </c>
      <c r="Q197">
        <v>29.11</v>
      </c>
      <c r="R197" t="s">
        <v>379</v>
      </c>
      <c r="S197">
        <v>0.72</v>
      </c>
      <c r="U197">
        <v>80</v>
      </c>
    </row>
    <row r="198" spans="1:21" x14ac:dyDescent="0.25">
      <c r="A198" s="2">
        <v>46044.937824074077</v>
      </c>
      <c r="B198" t="s">
        <v>309</v>
      </c>
      <c r="C198" t="s">
        <v>372</v>
      </c>
      <c r="D198">
        <v>3</v>
      </c>
      <c r="E198" t="s">
        <v>208</v>
      </c>
      <c r="F198" t="s">
        <v>388</v>
      </c>
      <c r="G198">
        <f t="shared" si="9"/>
        <v>34.192439862542955</v>
      </c>
      <c r="H198">
        <f t="shared" si="10"/>
        <v>3.608247422680412</v>
      </c>
      <c r="I198">
        <v>43.83</v>
      </c>
      <c r="J198">
        <f t="shared" si="11"/>
        <v>62.199312714776632</v>
      </c>
      <c r="K198">
        <v>0.85</v>
      </c>
      <c r="L198">
        <v>0.2</v>
      </c>
      <c r="M198">
        <v>0.7</v>
      </c>
      <c r="N198">
        <v>362</v>
      </c>
      <c r="O198">
        <v>199</v>
      </c>
      <c r="P198">
        <v>21</v>
      </c>
      <c r="Q198">
        <v>37.799999999999997</v>
      </c>
      <c r="R198" t="s">
        <v>379</v>
      </c>
      <c r="S198">
        <v>0.96</v>
      </c>
      <c r="U198">
        <v>69</v>
      </c>
    </row>
    <row r="199" spans="1:21" x14ac:dyDescent="0.25">
      <c r="A199" s="2">
        <v>46044.938171296293</v>
      </c>
      <c r="B199" t="s">
        <v>309</v>
      </c>
      <c r="C199" t="s">
        <v>372</v>
      </c>
      <c r="D199">
        <v>3</v>
      </c>
      <c r="E199" t="s">
        <v>209</v>
      </c>
      <c r="F199" t="s">
        <v>388</v>
      </c>
      <c r="G199">
        <f t="shared" si="9"/>
        <v>45.11400651465798</v>
      </c>
      <c r="H199">
        <f t="shared" si="10"/>
        <v>1.7915309446254073</v>
      </c>
      <c r="I199">
        <v>43.83</v>
      </c>
      <c r="J199">
        <f t="shared" si="11"/>
        <v>53.094462540716613</v>
      </c>
      <c r="K199">
        <v>0.85</v>
      </c>
      <c r="L199">
        <v>0.2</v>
      </c>
      <c r="M199">
        <v>0.7</v>
      </c>
      <c r="N199">
        <v>326</v>
      </c>
      <c r="O199">
        <v>277</v>
      </c>
      <c r="P199">
        <v>11</v>
      </c>
      <c r="Q199">
        <v>46.91</v>
      </c>
      <c r="R199" t="s">
        <v>384</v>
      </c>
      <c r="S199">
        <v>1.25</v>
      </c>
      <c r="U199">
        <v>63</v>
      </c>
    </row>
    <row r="200" spans="1:21" x14ac:dyDescent="0.25">
      <c r="A200" s="2">
        <v>46044.93854166667</v>
      </c>
      <c r="B200" t="s">
        <v>309</v>
      </c>
      <c r="C200" t="s">
        <v>372</v>
      </c>
      <c r="D200">
        <v>3</v>
      </c>
      <c r="E200" t="s">
        <v>210</v>
      </c>
      <c r="F200" t="s">
        <v>388</v>
      </c>
      <c r="G200">
        <f t="shared" si="9"/>
        <v>1.0118043844856661</v>
      </c>
      <c r="H200">
        <f t="shared" si="10"/>
        <v>0</v>
      </c>
      <c r="I200">
        <v>43.83</v>
      </c>
      <c r="J200">
        <f t="shared" si="11"/>
        <v>98.988195615514329</v>
      </c>
      <c r="K200">
        <v>0.85</v>
      </c>
      <c r="L200">
        <v>0.2</v>
      </c>
      <c r="M200">
        <v>0.7</v>
      </c>
      <c r="N200">
        <v>587</v>
      </c>
      <c r="O200">
        <v>6</v>
      </c>
      <c r="P200">
        <v>0</v>
      </c>
      <c r="Q200">
        <v>1.01</v>
      </c>
      <c r="R200" t="s">
        <v>376</v>
      </c>
      <c r="S200">
        <v>0.02</v>
      </c>
      <c r="U200">
        <v>27</v>
      </c>
    </row>
    <row r="201" spans="1:21" x14ac:dyDescent="0.25">
      <c r="A201" s="2">
        <v>46045.672303240739</v>
      </c>
      <c r="B201" t="s">
        <v>309</v>
      </c>
      <c r="C201" t="s">
        <v>372</v>
      </c>
      <c r="D201">
        <v>3</v>
      </c>
      <c r="E201" t="s">
        <v>23</v>
      </c>
      <c r="F201" t="s">
        <v>373</v>
      </c>
      <c r="G201">
        <f t="shared" si="9"/>
        <v>1.7432646592709984</v>
      </c>
      <c r="H201">
        <f t="shared" si="10"/>
        <v>0</v>
      </c>
      <c r="I201">
        <v>43.83</v>
      </c>
      <c r="J201">
        <f t="shared" si="11"/>
        <v>98.256735340729008</v>
      </c>
      <c r="K201">
        <v>0.6</v>
      </c>
      <c r="L201">
        <v>0.1</v>
      </c>
      <c r="M201">
        <v>0.7</v>
      </c>
      <c r="N201">
        <v>620</v>
      </c>
      <c r="O201">
        <v>11</v>
      </c>
      <c r="P201">
        <v>0</v>
      </c>
      <c r="Q201">
        <v>1.74</v>
      </c>
      <c r="R201" t="s">
        <v>376</v>
      </c>
      <c r="S201">
        <v>0.04</v>
      </c>
      <c r="U201">
        <v>44</v>
      </c>
    </row>
    <row r="202" spans="1:21" x14ac:dyDescent="0.25">
      <c r="A202" s="2">
        <v>46045.67260416667</v>
      </c>
      <c r="B202" t="s">
        <v>309</v>
      </c>
      <c r="C202" t="s">
        <v>372</v>
      </c>
      <c r="D202">
        <v>3</v>
      </c>
      <c r="E202" t="s">
        <v>24</v>
      </c>
      <c r="F202" t="s">
        <v>373</v>
      </c>
      <c r="G202">
        <f t="shared" si="9"/>
        <v>4.3554006968641117</v>
      </c>
      <c r="H202">
        <f t="shared" si="10"/>
        <v>0</v>
      </c>
      <c r="I202">
        <v>43.83</v>
      </c>
      <c r="J202">
        <f t="shared" si="11"/>
        <v>95.644599303135891</v>
      </c>
      <c r="K202">
        <v>0.6</v>
      </c>
      <c r="L202">
        <v>0.1</v>
      </c>
      <c r="M202">
        <v>0.7</v>
      </c>
      <c r="N202">
        <v>549</v>
      </c>
      <c r="O202">
        <v>25</v>
      </c>
      <c r="P202">
        <v>0</v>
      </c>
      <c r="Q202">
        <v>4.3600000000000003</v>
      </c>
      <c r="R202" t="s">
        <v>376</v>
      </c>
      <c r="S202">
        <v>0.11</v>
      </c>
      <c r="U202">
        <v>62</v>
      </c>
    </row>
    <row r="203" spans="1:21" x14ac:dyDescent="0.25">
      <c r="A203" s="2">
        <v>46045.672893518517</v>
      </c>
      <c r="B203" t="s">
        <v>309</v>
      </c>
      <c r="C203" t="s">
        <v>372</v>
      </c>
      <c r="D203">
        <v>3</v>
      </c>
      <c r="E203" t="s">
        <v>27</v>
      </c>
      <c r="F203" t="s">
        <v>373</v>
      </c>
      <c r="G203">
        <f t="shared" si="9"/>
        <v>0.84626234132581102</v>
      </c>
      <c r="H203">
        <f t="shared" si="10"/>
        <v>0</v>
      </c>
      <c r="I203">
        <v>43.83</v>
      </c>
      <c r="J203">
        <f t="shared" si="11"/>
        <v>99.153737658674189</v>
      </c>
      <c r="K203">
        <v>0.6</v>
      </c>
      <c r="L203">
        <v>0.1</v>
      </c>
      <c r="M203">
        <v>0.7</v>
      </c>
      <c r="N203">
        <v>703</v>
      </c>
      <c r="O203">
        <v>6</v>
      </c>
      <c r="P203">
        <v>0</v>
      </c>
      <c r="Q203">
        <v>0.85</v>
      </c>
      <c r="R203" t="s">
        <v>375</v>
      </c>
      <c r="S203">
        <v>0.02</v>
      </c>
      <c r="U203">
        <v>6</v>
      </c>
    </row>
    <row r="204" spans="1:21" x14ac:dyDescent="0.25">
      <c r="A204" s="2">
        <v>46045.673206018517</v>
      </c>
      <c r="B204" t="s">
        <v>309</v>
      </c>
      <c r="C204" t="s">
        <v>372</v>
      </c>
      <c r="D204">
        <v>3</v>
      </c>
      <c r="E204" t="s">
        <v>28</v>
      </c>
      <c r="F204" t="s">
        <v>373</v>
      </c>
      <c r="G204">
        <f t="shared" si="9"/>
        <v>25.156250000000004</v>
      </c>
      <c r="H204">
        <f t="shared" si="10"/>
        <v>0.3125</v>
      </c>
      <c r="I204">
        <v>43.83</v>
      </c>
      <c r="J204">
        <f t="shared" si="11"/>
        <v>74.53125</v>
      </c>
      <c r="K204">
        <v>0.6</v>
      </c>
      <c r="L204">
        <v>0.1</v>
      </c>
      <c r="M204">
        <v>0.7</v>
      </c>
      <c r="N204">
        <v>477</v>
      </c>
      <c r="O204">
        <v>161</v>
      </c>
      <c r="P204">
        <v>2</v>
      </c>
      <c r="Q204">
        <v>25.47</v>
      </c>
      <c r="R204" t="s">
        <v>382</v>
      </c>
      <c r="S204">
        <v>0.67</v>
      </c>
      <c r="U204">
        <v>49</v>
      </c>
    </row>
    <row r="205" spans="1:21" x14ac:dyDescent="0.25">
      <c r="A205" s="2">
        <v>46045.673541666663</v>
      </c>
      <c r="B205" t="s">
        <v>309</v>
      </c>
      <c r="C205" t="s">
        <v>372</v>
      </c>
      <c r="D205">
        <v>3</v>
      </c>
      <c r="E205" t="s">
        <v>29</v>
      </c>
      <c r="F205" t="s">
        <v>373</v>
      </c>
      <c r="G205">
        <f t="shared" si="9"/>
        <v>35.194585448392559</v>
      </c>
      <c r="H205">
        <f t="shared" si="10"/>
        <v>2.1996615905245349</v>
      </c>
      <c r="I205">
        <v>43.83</v>
      </c>
      <c r="J205">
        <f t="shared" si="11"/>
        <v>62.605752961082906</v>
      </c>
      <c r="K205">
        <v>0.6</v>
      </c>
      <c r="L205">
        <v>0.1</v>
      </c>
      <c r="M205">
        <v>0.7</v>
      </c>
      <c r="N205">
        <v>370</v>
      </c>
      <c r="O205">
        <v>208</v>
      </c>
      <c r="P205">
        <v>13</v>
      </c>
      <c r="Q205">
        <v>37.39</v>
      </c>
      <c r="R205" t="s">
        <v>379</v>
      </c>
      <c r="S205">
        <v>0.99</v>
      </c>
      <c r="U205">
        <v>73</v>
      </c>
    </row>
    <row r="206" spans="1:21" x14ac:dyDescent="0.25">
      <c r="A206" s="2">
        <v>46045.673900462964</v>
      </c>
      <c r="B206" t="s">
        <v>309</v>
      </c>
      <c r="C206" t="s">
        <v>372</v>
      </c>
      <c r="D206">
        <v>3</v>
      </c>
      <c r="E206" t="s">
        <v>32</v>
      </c>
      <c r="F206" t="s">
        <v>373</v>
      </c>
      <c r="G206">
        <f t="shared" si="9"/>
        <v>0.44510385756676557</v>
      </c>
      <c r="H206">
        <f t="shared" si="10"/>
        <v>0</v>
      </c>
      <c r="I206">
        <v>43.83</v>
      </c>
      <c r="J206">
        <f t="shared" si="11"/>
        <v>99.554896142433236</v>
      </c>
      <c r="K206">
        <v>0.6</v>
      </c>
      <c r="L206">
        <v>0.1</v>
      </c>
      <c r="M206">
        <v>0.7</v>
      </c>
      <c r="N206">
        <v>671</v>
      </c>
      <c r="O206">
        <v>3</v>
      </c>
      <c r="P206">
        <v>0</v>
      </c>
      <c r="Q206">
        <v>0.45</v>
      </c>
      <c r="R206" t="s">
        <v>376</v>
      </c>
      <c r="S206">
        <v>0.01</v>
      </c>
      <c r="U206">
        <v>7</v>
      </c>
    </row>
    <row r="207" spans="1:21" x14ac:dyDescent="0.25">
      <c r="A207" s="2">
        <v>46045.674201388887</v>
      </c>
      <c r="B207" t="s">
        <v>309</v>
      </c>
      <c r="C207" t="s">
        <v>372</v>
      </c>
      <c r="D207">
        <v>3</v>
      </c>
      <c r="E207" t="s">
        <v>34</v>
      </c>
      <c r="F207" t="s">
        <v>373</v>
      </c>
      <c r="G207">
        <f t="shared" si="9"/>
        <v>38.448275862068968</v>
      </c>
      <c r="H207">
        <f t="shared" si="10"/>
        <v>0.17241379310344829</v>
      </c>
      <c r="I207">
        <v>43.83</v>
      </c>
      <c r="J207">
        <f t="shared" si="11"/>
        <v>61.379310344827587</v>
      </c>
      <c r="K207">
        <v>0.6</v>
      </c>
      <c r="L207">
        <v>0.1</v>
      </c>
      <c r="M207">
        <v>0.7</v>
      </c>
      <c r="N207">
        <v>356</v>
      </c>
      <c r="O207">
        <v>223</v>
      </c>
      <c r="P207">
        <v>1</v>
      </c>
      <c r="Q207">
        <v>38.619999999999997</v>
      </c>
      <c r="R207" t="s">
        <v>379</v>
      </c>
      <c r="S207">
        <v>0.91</v>
      </c>
      <c r="U207">
        <v>83</v>
      </c>
    </row>
    <row r="208" spans="1:21" x14ac:dyDescent="0.25">
      <c r="A208" s="2">
        <v>46045.67454861111</v>
      </c>
      <c r="B208" t="s">
        <v>309</v>
      </c>
      <c r="C208" t="s">
        <v>372</v>
      </c>
      <c r="D208">
        <v>3</v>
      </c>
      <c r="E208" t="s">
        <v>36</v>
      </c>
      <c r="F208" t="s">
        <v>373</v>
      </c>
      <c r="G208">
        <f t="shared" si="9"/>
        <v>19.71223021582734</v>
      </c>
      <c r="H208">
        <f t="shared" si="10"/>
        <v>0.14388489208633093</v>
      </c>
      <c r="I208">
        <v>43.83</v>
      </c>
      <c r="J208">
        <f t="shared" si="11"/>
        <v>80.143884892086319</v>
      </c>
      <c r="K208">
        <v>0.6</v>
      </c>
      <c r="L208">
        <v>0.1</v>
      </c>
      <c r="M208">
        <v>0.7</v>
      </c>
      <c r="N208">
        <v>557</v>
      </c>
      <c r="O208">
        <v>137</v>
      </c>
      <c r="P208">
        <v>1</v>
      </c>
      <c r="Q208">
        <v>19.86</v>
      </c>
      <c r="R208" t="s">
        <v>382</v>
      </c>
      <c r="S208">
        <v>0.56000000000000005</v>
      </c>
      <c r="U208">
        <v>37</v>
      </c>
    </row>
    <row r="209" spans="1:21" x14ac:dyDescent="0.25">
      <c r="A209" s="2">
        <v>46045.674884259257</v>
      </c>
      <c r="B209" t="s">
        <v>309</v>
      </c>
      <c r="C209" t="s">
        <v>372</v>
      </c>
      <c r="D209">
        <v>3</v>
      </c>
      <c r="E209" t="s">
        <v>37</v>
      </c>
      <c r="F209" t="s">
        <v>373</v>
      </c>
      <c r="G209">
        <f t="shared" si="9"/>
        <v>39.417475728155338</v>
      </c>
      <c r="H209">
        <f t="shared" si="10"/>
        <v>0.1941747572815534</v>
      </c>
      <c r="I209">
        <v>43.83</v>
      </c>
      <c r="J209">
        <f t="shared" si="11"/>
        <v>60.38834951456311</v>
      </c>
      <c r="K209">
        <v>0.6</v>
      </c>
      <c r="L209">
        <v>0.1</v>
      </c>
      <c r="M209">
        <v>0.7</v>
      </c>
      <c r="N209">
        <v>311</v>
      </c>
      <c r="O209">
        <v>203</v>
      </c>
      <c r="P209">
        <v>1</v>
      </c>
      <c r="Q209">
        <v>39.61</v>
      </c>
      <c r="R209" t="s">
        <v>383</v>
      </c>
      <c r="S209">
        <v>1.05</v>
      </c>
      <c r="U209">
        <v>60</v>
      </c>
    </row>
    <row r="210" spans="1:21" x14ac:dyDescent="0.25">
      <c r="A210" s="2">
        <v>46045.675219907411</v>
      </c>
      <c r="B210" t="s">
        <v>309</v>
      </c>
      <c r="C210" t="s">
        <v>372</v>
      </c>
      <c r="D210">
        <v>3</v>
      </c>
      <c r="E210" t="s">
        <v>41</v>
      </c>
      <c r="F210" t="s">
        <v>373</v>
      </c>
      <c r="G210">
        <f t="shared" si="9"/>
        <v>1.7857142857142856</v>
      </c>
      <c r="H210">
        <f t="shared" si="10"/>
        <v>0</v>
      </c>
      <c r="I210">
        <v>43.83</v>
      </c>
      <c r="J210">
        <f t="shared" si="11"/>
        <v>98.214285714285708</v>
      </c>
      <c r="K210">
        <v>0.6</v>
      </c>
      <c r="L210">
        <v>0.1</v>
      </c>
      <c r="M210">
        <v>0.7</v>
      </c>
      <c r="N210">
        <v>605</v>
      </c>
      <c r="O210">
        <v>11</v>
      </c>
      <c r="P210">
        <v>0</v>
      </c>
      <c r="Q210">
        <v>1.79</v>
      </c>
      <c r="R210" t="s">
        <v>376</v>
      </c>
      <c r="S210">
        <v>0.05</v>
      </c>
      <c r="U210">
        <v>23</v>
      </c>
    </row>
    <row r="211" spans="1:21" x14ac:dyDescent="0.25">
      <c r="A211" s="2">
        <v>46045.675520833334</v>
      </c>
      <c r="B211" t="s">
        <v>309</v>
      </c>
      <c r="C211" t="s">
        <v>372</v>
      </c>
      <c r="D211">
        <v>3</v>
      </c>
      <c r="E211" t="s">
        <v>42</v>
      </c>
      <c r="F211" t="s">
        <v>373</v>
      </c>
      <c r="G211">
        <f t="shared" si="9"/>
        <v>2.7941176470588238</v>
      </c>
      <c r="H211">
        <f t="shared" si="10"/>
        <v>0</v>
      </c>
      <c r="I211">
        <v>43.83</v>
      </c>
      <c r="J211">
        <f t="shared" si="11"/>
        <v>97.205882352941174</v>
      </c>
      <c r="K211">
        <v>0.6</v>
      </c>
      <c r="L211">
        <v>0.1</v>
      </c>
      <c r="M211">
        <v>0.7</v>
      </c>
      <c r="N211">
        <v>661</v>
      </c>
      <c r="O211">
        <v>19</v>
      </c>
      <c r="P211">
        <v>0</v>
      </c>
      <c r="Q211">
        <v>2.79</v>
      </c>
      <c r="R211" t="s">
        <v>376</v>
      </c>
      <c r="S211">
        <v>7.0000000000000007E-2</v>
      </c>
      <c r="U211">
        <v>22</v>
      </c>
    </row>
    <row r="212" spans="1:21" x14ac:dyDescent="0.25">
      <c r="A212" s="2">
        <v>46045.675821759258</v>
      </c>
      <c r="B212" t="s">
        <v>309</v>
      </c>
      <c r="C212" t="s">
        <v>372</v>
      </c>
      <c r="D212">
        <v>3</v>
      </c>
      <c r="E212" t="s">
        <v>43</v>
      </c>
      <c r="F212" t="s">
        <v>373</v>
      </c>
      <c r="G212">
        <f t="shared" si="9"/>
        <v>20.767888307155321</v>
      </c>
      <c r="H212">
        <f t="shared" si="10"/>
        <v>0</v>
      </c>
      <c r="I212">
        <v>43.83</v>
      </c>
      <c r="J212">
        <f t="shared" si="11"/>
        <v>79.232111692844683</v>
      </c>
      <c r="K212">
        <v>0.6</v>
      </c>
      <c r="L212">
        <v>0.1</v>
      </c>
      <c r="M212">
        <v>0.7</v>
      </c>
      <c r="N212">
        <v>454</v>
      </c>
      <c r="O212">
        <v>119</v>
      </c>
      <c r="P212">
        <v>0</v>
      </c>
      <c r="Q212">
        <v>20.77</v>
      </c>
      <c r="R212" t="s">
        <v>383</v>
      </c>
      <c r="S212">
        <v>0.49</v>
      </c>
      <c r="U212">
        <v>140</v>
      </c>
    </row>
    <row r="213" spans="1:21" x14ac:dyDescent="0.25">
      <c r="A213" s="2">
        <v>46045.676157407404</v>
      </c>
      <c r="B213" t="s">
        <v>309</v>
      </c>
      <c r="C213" t="s">
        <v>372</v>
      </c>
      <c r="D213">
        <v>3</v>
      </c>
      <c r="E213" t="s">
        <v>44</v>
      </c>
      <c r="F213" t="s">
        <v>373</v>
      </c>
      <c r="G213">
        <f t="shared" si="9"/>
        <v>20.603907637655418</v>
      </c>
      <c r="H213">
        <f t="shared" si="10"/>
        <v>0</v>
      </c>
      <c r="I213">
        <v>43.83</v>
      </c>
      <c r="J213">
        <f t="shared" si="11"/>
        <v>79.396092362344589</v>
      </c>
      <c r="K213">
        <v>0.6</v>
      </c>
      <c r="L213">
        <v>0.1</v>
      </c>
      <c r="M213">
        <v>0.7</v>
      </c>
      <c r="N213">
        <v>447</v>
      </c>
      <c r="O213">
        <v>116</v>
      </c>
      <c r="P213">
        <v>0</v>
      </c>
      <c r="Q213">
        <v>20.6</v>
      </c>
      <c r="R213" t="s">
        <v>380</v>
      </c>
      <c r="S213">
        <v>0.51</v>
      </c>
      <c r="U213">
        <v>77</v>
      </c>
    </row>
    <row r="214" spans="1:21" x14ac:dyDescent="0.25">
      <c r="A214" s="2">
        <v>46045.676469907405</v>
      </c>
      <c r="B214" t="s">
        <v>309</v>
      </c>
      <c r="C214" t="s">
        <v>372</v>
      </c>
      <c r="D214">
        <v>3</v>
      </c>
      <c r="E214" t="s">
        <v>45</v>
      </c>
      <c r="F214" t="s">
        <v>373</v>
      </c>
      <c r="G214">
        <f t="shared" si="9"/>
        <v>15.277777777777779</v>
      </c>
      <c r="H214">
        <f t="shared" si="10"/>
        <v>0</v>
      </c>
      <c r="I214">
        <v>43.83</v>
      </c>
      <c r="J214">
        <f t="shared" si="11"/>
        <v>84.722222222222214</v>
      </c>
      <c r="K214">
        <v>0.6</v>
      </c>
      <c r="L214">
        <v>0.1</v>
      </c>
      <c r="M214">
        <v>0.7</v>
      </c>
      <c r="N214">
        <v>488</v>
      </c>
      <c r="O214">
        <v>88</v>
      </c>
      <c r="P214">
        <v>0</v>
      </c>
      <c r="Q214">
        <v>15.28</v>
      </c>
      <c r="R214" t="s">
        <v>380</v>
      </c>
      <c r="S214">
        <v>0.35</v>
      </c>
      <c r="U214">
        <v>63</v>
      </c>
    </row>
    <row r="215" spans="1:21" x14ac:dyDescent="0.25">
      <c r="A215" s="2">
        <v>46045.676782407405</v>
      </c>
      <c r="B215" t="s">
        <v>309</v>
      </c>
      <c r="C215" t="s">
        <v>372</v>
      </c>
      <c r="D215">
        <v>3</v>
      </c>
      <c r="E215" t="s">
        <v>47</v>
      </c>
      <c r="F215" t="s">
        <v>373</v>
      </c>
      <c r="G215">
        <f t="shared" si="9"/>
        <v>30.016051364365971</v>
      </c>
      <c r="H215">
        <f t="shared" si="10"/>
        <v>0.16051364365971107</v>
      </c>
      <c r="I215">
        <v>43.83</v>
      </c>
      <c r="J215">
        <f t="shared" si="11"/>
        <v>69.823434991974324</v>
      </c>
      <c r="K215">
        <v>0.6</v>
      </c>
      <c r="L215">
        <v>0.1</v>
      </c>
      <c r="M215">
        <v>0.7</v>
      </c>
      <c r="N215">
        <v>435</v>
      </c>
      <c r="O215">
        <v>187</v>
      </c>
      <c r="P215">
        <v>1</v>
      </c>
      <c r="Q215">
        <v>30.18</v>
      </c>
      <c r="R215" t="s">
        <v>379</v>
      </c>
      <c r="S215">
        <v>0.79</v>
      </c>
      <c r="U215">
        <v>84</v>
      </c>
    </row>
    <row r="216" spans="1:21" x14ac:dyDescent="0.25">
      <c r="A216" s="2">
        <v>46045.677141203705</v>
      </c>
      <c r="B216" t="s">
        <v>309</v>
      </c>
      <c r="C216" t="s">
        <v>372</v>
      </c>
      <c r="D216">
        <v>3</v>
      </c>
      <c r="E216" t="s">
        <v>52</v>
      </c>
      <c r="F216" t="s">
        <v>373</v>
      </c>
      <c r="G216">
        <f t="shared" si="9"/>
        <v>19.248826291079812</v>
      </c>
      <c r="H216">
        <f t="shared" si="10"/>
        <v>0</v>
      </c>
      <c r="I216">
        <v>43.83</v>
      </c>
      <c r="J216">
        <f t="shared" si="11"/>
        <v>80.751173708920192</v>
      </c>
      <c r="K216">
        <v>0.6</v>
      </c>
      <c r="L216">
        <v>0.1</v>
      </c>
      <c r="M216">
        <v>0.7</v>
      </c>
      <c r="N216">
        <v>516</v>
      </c>
      <c r="O216">
        <v>123</v>
      </c>
      <c r="P216">
        <v>0</v>
      </c>
      <c r="Q216">
        <v>19.25</v>
      </c>
      <c r="R216" t="s">
        <v>382</v>
      </c>
      <c r="S216">
        <v>0.48</v>
      </c>
      <c r="U216">
        <v>107</v>
      </c>
    </row>
    <row r="217" spans="1:21" x14ac:dyDescent="0.25">
      <c r="A217" s="2">
        <v>46045.677476851852</v>
      </c>
      <c r="B217" t="s">
        <v>309</v>
      </c>
      <c r="C217" t="s">
        <v>372</v>
      </c>
      <c r="D217">
        <v>3</v>
      </c>
      <c r="E217" t="s">
        <v>53</v>
      </c>
      <c r="F217" t="s">
        <v>373</v>
      </c>
      <c r="G217">
        <f t="shared" si="9"/>
        <v>84.826589595375722</v>
      </c>
      <c r="H217">
        <f t="shared" si="10"/>
        <v>1.0115606936416186</v>
      </c>
      <c r="I217">
        <v>43.83</v>
      </c>
      <c r="J217">
        <f t="shared" si="11"/>
        <v>14.16184971098266</v>
      </c>
      <c r="K217">
        <v>0.6</v>
      </c>
      <c r="L217">
        <v>0.1</v>
      </c>
      <c r="M217">
        <v>0.7</v>
      </c>
      <c r="N217">
        <v>98</v>
      </c>
      <c r="O217">
        <v>587</v>
      </c>
      <c r="P217">
        <v>7</v>
      </c>
      <c r="Q217">
        <v>85.84</v>
      </c>
      <c r="R217" t="s">
        <v>389</v>
      </c>
      <c r="S217">
        <v>2.58</v>
      </c>
      <c r="U217">
        <v>25</v>
      </c>
    </row>
    <row r="218" spans="1:21" x14ac:dyDescent="0.25">
      <c r="A218" s="2">
        <v>46045.677928240744</v>
      </c>
      <c r="B218" t="s">
        <v>309</v>
      </c>
      <c r="C218" t="s">
        <v>372</v>
      </c>
      <c r="D218">
        <v>3</v>
      </c>
      <c r="E218" t="s">
        <v>54</v>
      </c>
      <c r="F218" t="s">
        <v>373</v>
      </c>
      <c r="G218">
        <f t="shared" si="9"/>
        <v>0.75642965204236012</v>
      </c>
      <c r="H218">
        <f t="shared" si="10"/>
        <v>0</v>
      </c>
      <c r="I218">
        <v>43.83</v>
      </c>
      <c r="J218">
        <f t="shared" si="11"/>
        <v>99.243570347957643</v>
      </c>
      <c r="K218">
        <v>0.6</v>
      </c>
      <c r="L218">
        <v>0.1</v>
      </c>
      <c r="M218">
        <v>0.7</v>
      </c>
      <c r="N218">
        <v>656</v>
      </c>
      <c r="O218">
        <v>5</v>
      </c>
      <c r="P218">
        <v>0</v>
      </c>
      <c r="Q218">
        <v>0.76</v>
      </c>
      <c r="R218" t="s">
        <v>376</v>
      </c>
      <c r="S218">
        <v>0.02</v>
      </c>
      <c r="U218">
        <v>15</v>
      </c>
    </row>
    <row r="219" spans="1:21" x14ac:dyDescent="0.25">
      <c r="A219" s="2">
        <v>46045.678229166668</v>
      </c>
      <c r="B219" t="s">
        <v>309</v>
      </c>
      <c r="C219" t="s">
        <v>372</v>
      </c>
      <c r="D219">
        <v>3</v>
      </c>
      <c r="E219" t="s">
        <v>57</v>
      </c>
      <c r="F219" t="s">
        <v>373</v>
      </c>
      <c r="G219">
        <f t="shared" si="9"/>
        <v>23.222748815165879</v>
      </c>
      <c r="H219">
        <f t="shared" si="10"/>
        <v>0</v>
      </c>
      <c r="I219">
        <v>43.83</v>
      </c>
      <c r="J219">
        <f t="shared" si="11"/>
        <v>76.777251184834128</v>
      </c>
      <c r="K219">
        <v>0.6</v>
      </c>
      <c r="L219">
        <v>0.1</v>
      </c>
      <c r="M219">
        <v>0.7</v>
      </c>
      <c r="N219">
        <v>486</v>
      </c>
      <c r="O219">
        <v>147</v>
      </c>
      <c r="P219">
        <v>0</v>
      </c>
      <c r="Q219">
        <v>23.22</v>
      </c>
      <c r="R219" t="s">
        <v>383</v>
      </c>
      <c r="S219">
        <v>0.56999999999999995</v>
      </c>
      <c r="U219">
        <v>40</v>
      </c>
    </row>
    <row r="220" spans="1:21" x14ac:dyDescent="0.25">
      <c r="A220" s="2">
        <v>46045.678564814814</v>
      </c>
      <c r="B220" t="s">
        <v>309</v>
      </c>
      <c r="C220" t="s">
        <v>372</v>
      </c>
      <c r="D220">
        <v>3</v>
      </c>
      <c r="E220" t="s">
        <v>59</v>
      </c>
      <c r="F220" t="s">
        <v>373</v>
      </c>
      <c r="G220">
        <f t="shared" si="9"/>
        <v>62.75752773375595</v>
      </c>
      <c r="H220">
        <f t="shared" si="10"/>
        <v>0</v>
      </c>
      <c r="I220">
        <v>43.83</v>
      </c>
      <c r="J220">
        <f t="shared" si="11"/>
        <v>37.242472266244057</v>
      </c>
      <c r="K220">
        <v>0.6</v>
      </c>
      <c r="L220">
        <v>0.1</v>
      </c>
      <c r="M220">
        <v>0.7</v>
      </c>
      <c r="N220">
        <v>235</v>
      </c>
      <c r="O220">
        <v>396</v>
      </c>
      <c r="P220">
        <v>0</v>
      </c>
      <c r="Q220">
        <v>62.76</v>
      </c>
      <c r="R220" t="s">
        <v>378</v>
      </c>
      <c r="S220">
        <v>1.72</v>
      </c>
      <c r="U220">
        <v>83</v>
      </c>
    </row>
    <row r="221" spans="1:21" x14ac:dyDescent="0.25">
      <c r="A221" s="2">
        <v>46045.678969907407</v>
      </c>
      <c r="B221" t="s">
        <v>309</v>
      </c>
      <c r="C221" t="s">
        <v>372</v>
      </c>
      <c r="D221">
        <v>3</v>
      </c>
      <c r="E221" t="s">
        <v>60</v>
      </c>
      <c r="F221" t="s">
        <v>373</v>
      </c>
      <c r="G221">
        <f t="shared" si="9"/>
        <v>1.098901098901099</v>
      </c>
      <c r="H221">
        <f t="shared" si="10"/>
        <v>0</v>
      </c>
      <c r="I221">
        <v>43.83</v>
      </c>
      <c r="J221">
        <f t="shared" si="11"/>
        <v>98.901098901098905</v>
      </c>
      <c r="K221">
        <v>0.6</v>
      </c>
      <c r="L221">
        <v>0.1</v>
      </c>
      <c r="M221">
        <v>0.7</v>
      </c>
      <c r="N221">
        <v>630</v>
      </c>
      <c r="O221">
        <v>7</v>
      </c>
      <c r="P221">
        <v>0</v>
      </c>
      <c r="Q221">
        <v>1.1000000000000001</v>
      </c>
      <c r="R221" t="s">
        <v>376</v>
      </c>
      <c r="S221">
        <v>0.03</v>
      </c>
      <c r="U221">
        <v>33</v>
      </c>
    </row>
    <row r="222" spans="1:21" x14ac:dyDescent="0.25">
      <c r="A222" s="2">
        <v>46045.679270833331</v>
      </c>
      <c r="B222" t="s">
        <v>309</v>
      </c>
      <c r="C222" t="s">
        <v>372</v>
      </c>
      <c r="D222">
        <v>3</v>
      </c>
      <c r="E222" t="s">
        <v>61</v>
      </c>
      <c r="F222" t="s">
        <v>373</v>
      </c>
      <c r="G222">
        <f t="shared" si="9"/>
        <v>19.15227629513344</v>
      </c>
      <c r="H222">
        <f t="shared" si="10"/>
        <v>0.15698587127158556</v>
      </c>
      <c r="I222">
        <v>43.83</v>
      </c>
      <c r="J222">
        <f t="shared" si="11"/>
        <v>80.690737833594966</v>
      </c>
      <c r="K222">
        <v>0.6</v>
      </c>
      <c r="L222">
        <v>0.1</v>
      </c>
      <c r="M222">
        <v>0.7</v>
      </c>
      <c r="N222">
        <v>514</v>
      </c>
      <c r="O222">
        <v>122</v>
      </c>
      <c r="P222">
        <v>1</v>
      </c>
      <c r="Q222">
        <v>19.309999999999999</v>
      </c>
      <c r="R222" t="s">
        <v>383</v>
      </c>
      <c r="S222">
        <v>0.52</v>
      </c>
      <c r="U222">
        <v>37</v>
      </c>
    </row>
    <row r="223" spans="1:21" x14ac:dyDescent="0.25">
      <c r="A223" s="2">
        <v>46045.679594907408</v>
      </c>
      <c r="B223" t="s">
        <v>309</v>
      </c>
      <c r="C223" t="s">
        <v>372</v>
      </c>
      <c r="D223">
        <v>3</v>
      </c>
      <c r="E223" t="s">
        <v>63</v>
      </c>
      <c r="F223" t="s">
        <v>373</v>
      </c>
      <c r="G223">
        <f t="shared" si="9"/>
        <v>41.880341880341881</v>
      </c>
      <c r="H223">
        <f t="shared" si="10"/>
        <v>0.17094017094017094</v>
      </c>
      <c r="I223">
        <v>43.83</v>
      </c>
      <c r="J223">
        <f t="shared" si="11"/>
        <v>57.948717948717956</v>
      </c>
      <c r="K223">
        <v>0.6</v>
      </c>
      <c r="L223">
        <v>0.1</v>
      </c>
      <c r="M223">
        <v>0.7</v>
      </c>
      <c r="N223">
        <v>339</v>
      </c>
      <c r="O223">
        <v>245</v>
      </c>
      <c r="P223">
        <v>1</v>
      </c>
      <c r="Q223">
        <v>42.05</v>
      </c>
      <c r="R223" t="s">
        <v>384</v>
      </c>
      <c r="S223">
        <v>1.1599999999999999</v>
      </c>
      <c r="U223">
        <v>74</v>
      </c>
    </row>
    <row r="224" spans="1:21" x14ac:dyDescent="0.25">
      <c r="A224" s="2">
        <v>46045.6799537037</v>
      </c>
      <c r="B224" t="s">
        <v>309</v>
      </c>
      <c r="C224" t="s">
        <v>372</v>
      </c>
      <c r="D224">
        <v>3</v>
      </c>
      <c r="E224" t="s">
        <v>64</v>
      </c>
      <c r="F224" t="s">
        <v>373</v>
      </c>
      <c r="G224">
        <f t="shared" si="9"/>
        <v>6.5610859728506794</v>
      </c>
      <c r="H224">
        <f t="shared" si="10"/>
        <v>0</v>
      </c>
      <c r="I224">
        <v>43.83</v>
      </c>
      <c r="J224">
        <f t="shared" si="11"/>
        <v>93.438914027149323</v>
      </c>
      <c r="K224">
        <v>0.6</v>
      </c>
      <c r="L224">
        <v>0.1</v>
      </c>
      <c r="M224">
        <v>0.7</v>
      </c>
      <c r="N224">
        <v>413</v>
      </c>
      <c r="O224">
        <v>29</v>
      </c>
      <c r="P224">
        <v>0</v>
      </c>
      <c r="Q224">
        <v>6.56</v>
      </c>
      <c r="R224" t="s">
        <v>377</v>
      </c>
      <c r="S224">
        <v>0.18</v>
      </c>
      <c r="U224">
        <v>23</v>
      </c>
    </row>
    <row r="225" spans="1:21" x14ac:dyDescent="0.25">
      <c r="A225" s="2">
        <v>46045.680231481485</v>
      </c>
      <c r="B225" t="s">
        <v>309</v>
      </c>
      <c r="C225" t="s">
        <v>372</v>
      </c>
      <c r="D225">
        <v>3</v>
      </c>
      <c r="E225" t="s">
        <v>69</v>
      </c>
      <c r="F225" t="s">
        <v>373</v>
      </c>
      <c r="G225">
        <f t="shared" si="9"/>
        <v>1.5050167224080269</v>
      </c>
      <c r="H225">
        <f t="shared" si="10"/>
        <v>0</v>
      </c>
      <c r="I225">
        <v>43.83</v>
      </c>
      <c r="J225">
        <f t="shared" si="11"/>
        <v>98.49498327759197</v>
      </c>
      <c r="K225">
        <v>0.6</v>
      </c>
      <c r="L225">
        <v>0.1</v>
      </c>
      <c r="M225">
        <v>0.7</v>
      </c>
      <c r="N225">
        <v>589</v>
      </c>
      <c r="O225">
        <v>9</v>
      </c>
      <c r="P225">
        <v>0</v>
      </c>
      <c r="Q225">
        <v>1.51</v>
      </c>
      <c r="R225" t="s">
        <v>376</v>
      </c>
      <c r="S225">
        <v>0.04</v>
      </c>
      <c r="U225">
        <v>16</v>
      </c>
    </row>
    <row r="226" spans="1:21" x14ac:dyDescent="0.25">
      <c r="A226" s="2">
        <v>46045.680532407408</v>
      </c>
      <c r="B226" t="s">
        <v>309</v>
      </c>
      <c r="C226" t="s">
        <v>372</v>
      </c>
      <c r="D226">
        <v>3</v>
      </c>
      <c r="E226" t="s">
        <v>70</v>
      </c>
      <c r="F226" t="s">
        <v>373</v>
      </c>
      <c r="G226">
        <f t="shared" si="9"/>
        <v>8.514190317195327</v>
      </c>
      <c r="H226">
        <f t="shared" si="10"/>
        <v>0</v>
      </c>
      <c r="I226">
        <v>43.83</v>
      </c>
      <c r="J226">
        <f t="shared" si="11"/>
        <v>91.485809682804671</v>
      </c>
      <c r="K226">
        <v>0.6</v>
      </c>
      <c r="L226">
        <v>0.1</v>
      </c>
      <c r="M226">
        <v>0.7</v>
      </c>
      <c r="N226">
        <v>548</v>
      </c>
      <c r="O226">
        <v>51</v>
      </c>
      <c r="P226">
        <v>0</v>
      </c>
      <c r="Q226">
        <v>8.51</v>
      </c>
      <c r="R226" t="s">
        <v>380</v>
      </c>
      <c r="S226">
        <v>0.22</v>
      </c>
      <c r="U226">
        <v>63</v>
      </c>
    </row>
    <row r="227" spans="1:21" x14ac:dyDescent="0.25">
      <c r="A227" s="2">
        <v>46045.680844907409</v>
      </c>
      <c r="B227" t="s">
        <v>309</v>
      </c>
      <c r="C227" t="s">
        <v>372</v>
      </c>
      <c r="D227">
        <v>3</v>
      </c>
      <c r="E227" t="s">
        <v>71</v>
      </c>
      <c r="F227" t="s">
        <v>373</v>
      </c>
      <c r="G227">
        <f t="shared" si="9"/>
        <v>12.121212121212121</v>
      </c>
      <c r="H227">
        <f t="shared" si="10"/>
        <v>0</v>
      </c>
      <c r="I227">
        <v>43.83</v>
      </c>
      <c r="J227">
        <f t="shared" si="11"/>
        <v>87.878787878787875</v>
      </c>
      <c r="K227">
        <v>0.6</v>
      </c>
      <c r="L227">
        <v>0.1</v>
      </c>
      <c r="M227">
        <v>0.7</v>
      </c>
      <c r="N227">
        <v>551</v>
      </c>
      <c r="O227">
        <v>76</v>
      </c>
      <c r="P227">
        <v>0</v>
      </c>
      <c r="Q227">
        <v>12.12</v>
      </c>
      <c r="R227" t="s">
        <v>380</v>
      </c>
      <c r="S227">
        <v>0.31</v>
      </c>
      <c r="U227">
        <v>67</v>
      </c>
    </row>
    <row r="228" spans="1:21" x14ac:dyDescent="0.25">
      <c r="A228" s="2">
        <v>46045.681168981479</v>
      </c>
      <c r="B228" t="s">
        <v>309</v>
      </c>
      <c r="C228" t="s">
        <v>372</v>
      </c>
      <c r="D228">
        <v>3</v>
      </c>
      <c r="E228" t="s">
        <v>72</v>
      </c>
      <c r="F228" t="s">
        <v>373</v>
      </c>
      <c r="G228">
        <f t="shared" si="9"/>
        <v>32.68892794376098</v>
      </c>
      <c r="H228">
        <f t="shared" si="10"/>
        <v>0</v>
      </c>
      <c r="I228">
        <v>43.83</v>
      </c>
      <c r="J228">
        <f t="shared" si="11"/>
        <v>67.311072056239013</v>
      </c>
      <c r="K228">
        <v>0.6</v>
      </c>
      <c r="L228">
        <v>0.1</v>
      </c>
      <c r="M228">
        <v>0.7</v>
      </c>
      <c r="N228">
        <v>383</v>
      </c>
      <c r="O228">
        <v>186</v>
      </c>
      <c r="P228">
        <v>0</v>
      </c>
      <c r="Q228">
        <v>32.69</v>
      </c>
      <c r="R228" t="s">
        <v>382</v>
      </c>
      <c r="S228">
        <v>0.79</v>
      </c>
      <c r="U228">
        <v>119</v>
      </c>
    </row>
    <row r="229" spans="1:21" x14ac:dyDescent="0.25">
      <c r="A229" s="2">
        <v>46045.681516203702</v>
      </c>
      <c r="B229" t="s">
        <v>309</v>
      </c>
      <c r="C229" t="s">
        <v>372</v>
      </c>
      <c r="D229">
        <v>3</v>
      </c>
      <c r="E229" t="s">
        <v>74</v>
      </c>
      <c r="F229" t="s">
        <v>373</v>
      </c>
      <c r="G229">
        <f t="shared" si="9"/>
        <v>2.0028612303290414</v>
      </c>
      <c r="H229">
        <f t="shared" si="10"/>
        <v>0.14306151645207438</v>
      </c>
      <c r="I229">
        <v>43.83</v>
      </c>
      <c r="J229">
        <f t="shared" si="11"/>
        <v>97.85407725321889</v>
      </c>
      <c r="K229">
        <v>0.6</v>
      </c>
      <c r="L229">
        <v>0.1</v>
      </c>
      <c r="M229">
        <v>0.7</v>
      </c>
      <c r="N229">
        <v>684</v>
      </c>
      <c r="O229">
        <v>14</v>
      </c>
      <c r="P229">
        <v>1</v>
      </c>
      <c r="Q229">
        <v>2.15</v>
      </c>
      <c r="R229" t="s">
        <v>375</v>
      </c>
      <c r="S229">
        <v>0.06</v>
      </c>
      <c r="U229">
        <v>30</v>
      </c>
    </row>
    <row r="230" spans="1:21" x14ac:dyDescent="0.25">
      <c r="A230" s="2">
        <v>46045.681817129633</v>
      </c>
      <c r="B230" t="s">
        <v>309</v>
      </c>
      <c r="C230" t="s">
        <v>372</v>
      </c>
      <c r="D230">
        <v>3</v>
      </c>
      <c r="E230" t="s">
        <v>75</v>
      </c>
      <c r="F230" t="s">
        <v>373</v>
      </c>
      <c r="G230">
        <f t="shared" si="9"/>
        <v>2.936630602782071</v>
      </c>
      <c r="H230">
        <f t="shared" si="10"/>
        <v>0</v>
      </c>
      <c r="I230">
        <v>43.83</v>
      </c>
      <c r="J230">
        <f t="shared" si="11"/>
        <v>97.063369397217926</v>
      </c>
      <c r="K230">
        <v>0.6</v>
      </c>
      <c r="L230">
        <v>0.1</v>
      </c>
      <c r="M230">
        <v>0.7</v>
      </c>
      <c r="N230">
        <v>628</v>
      </c>
      <c r="O230">
        <v>19</v>
      </c>
      <c r="P230">
        <v>0</v>
      </c>
      <c r="Q230">
        <v>2.94</v>
      </c>
      <c r="R230" t="s">
        <v>375</v>
      </c>
      <c r="S230">
        <v>7.0000000000000007E-2</v>
      </c>
      <c r="U230">
        <v>30</v>
      </c>
    </row>
    <row r="231" spans="1:21" x14ac:dyDescent="0.25">
      <c r="A231" s="2">
        <v>46045.682118055556</v>
      </c>
      <c r="B231" t="s">
        <v>309</v>
      </c>
      <c r="C231" t="s">
        <v>372</v>
      </c>
      <c r="D231">
        <v>3</v>
      </c>
      <c r="E231" t="s">
        <v>323</v>
      </c>
      <c r="F231" t="s">
        <v>373</v>
      </c>
      <c r="G231">
        <f t="shared" si="9"/>
        <v>12.908496732026146</v>
      </c>
      <c r="H231">
        <f t="shared" si="10"/>
        <v>0</v>
      </c>
      <c r="I231">
        <v>43.83</v>
      </c>
      <c r="J231">
        <f t="shared" si="11"/>
        <v>87.091503267973863</v>
      </c>
      <c r="K231">
        <v>0.6</v>
      </c>
      <c r="L231">
        <v>0.1</v>
      </c>
      <c r="M231">
        <v>0.7</v>
      </c>
      <c r="N231">
        <v>533</v>
      </c>
      <c r="O231">
        <v>79</v>
      </c>
      <c r="P231">
        <v>0</v>
      </c>
      <c r="Q231">
        <v>12.91</v>
      </c>
      <c r="R231" t="s">
        <v>380</v>
      </c>
      <c r="S231">
        <v>0.3</v>
      </c>
      <c r="U231">
        <v>70</v>
      </c>
    </row>
    <row r="232" spans="1:21" x14ac:dyDescent="0.25">
      <c r="A232" s="2">
        <v>46045.682442129626</v>
      </c>
      <c r="B232" t="s">
        <v>309</v>
      </c>
      <c r="C232" t="s">
        <v>372</v>
      </c>
      <c r="D232">
        <v>3</v>
      </c>
      <c r="E232" t="s">
        <v>81</v>
      </c>
      <c r="F232" t="s">
        <v>373</v>
      </c>
      <c r="G232">
        <f t="shared" si="9"/>
        <v>41.942148760330575</v>
      </c>
      <c r="H232">
        <f t="shared" si="10"/>
        <v>0.82644628099173556</v>
      </c>
      <c r="I232">
        <v>43.83</v>
      </c>
      <c r="J232">
        <f t="shared" si="11"/>
        <v>57.231404958677686</v>
      </c>
      <c r="K232">
        <v>0.6</v>
      </c>
      <c r="L232">
        <v>0.1</v>
      </c>
      <c r="M232">
        <v>0.7</v>
      </c>
      <c r="N232">
        <v>277</v>
      </c>
      <c r="O232">
        <v>203</v>
      </c>
      <c r="P232">
        <v>4</v>
      </c>
      <c r="Q232">
        <v>42.77</v>
      </c>
      <c r="R232" t="s">
        <v>383</v>
      </c>
      <c r="S232">
        <v>1.19</v>
      </c>
      <c r="U232">
        <v>30</v>
      </c>
    </row>
    <row r="233" spans="1:21" x14ac:dyDescent="0.25">
      <c r="A233" s="2">
        <v>46045.682766203703</v>
      </c>
      <c r="B233" t="s">
        <v>309</v>
      </c>
      <c r="C233" t="s">
        <v>372</v>
      </c>
      <c r="D233">
        <v>3</v>
      </c>
      <c r="E233" t="s">
        <v>83</v>
      </c>
      <c r="F233" t="s">
        <v>373</v>
      </c>
      <c r="G233">
        <f t="shared" si="9"/>
        <v>64.412238325281805</v>
      </c>
      <c r="H233">
        <f t="shared" si="10"/>
        <v>1.1272141706924315</v>
      </c>
      <c r="I233">
        <v>43.83</v>
      </c>
      <c r="J233">
        <f t="shared" si="11"/>
        <v>34.460547504025762</v>
      </c>
      <c r="K233">
        <v>0.6</v>
      </c>
      <c r="L233">
        <v>0.1</v>
      </c>
      <c r="M233">
        <v>0.7</v>
      </c>
      <c r="N233">
        <v>214</v>
      </c>
      <c r="O233">
        <v>400</v>
      </c>
      <c r="P233">
        <v>7</v>
      </c>
      <c r="Q233">
        <v>65.540000000000006</v>
      </c>
      <c r="R233" t="s">
        <v>378</v>
      </c>
      <c r="S233">
        <v>1.89</v>
      </c>
      <c r="U233">
        <v>28</v>
      </c>
    </row>
    <row r="234" spans="1:21" x14ac:dyDescent="0.25">
      <c r="A234" s="2">
        <v>46045.683159722219</v>
      </c>
      <c r="B234" t="s">
        <v>309</v>
      </c>
      <c r="C234" t="s">
        <v>372</v>
      </c>
      <c r="D234">
        <v>3</v>
      </c>
      <c r="E234" t="s">
        <v>84</v>
      </c>
      <c r="F234" t="s">
        <v>373</v>
      </c>
      <c r="G234">
        <f t="shared" si="9"/>
        <v>10.11029411764706</v>
      </c>
      <c r="H234">
        <f t="shared" si="10"/>
        <v>0</v>
      </c>
      <c r="I234">
        <v>43.83</v>
      </c>
      <c r="J234">
        <f t="shared" si="11"/>
        <v>89.889705882352942</v>
      </c>
      <c r="K234">
        <v>0.6</v>
      </c>
      <c r="L234">
        <v>0.1</v>
      </c>
      <c r="M234">
        <v>0.7</v>
      </c>
      <c r="N234">
        <v>489</v>
      </c>
      <c r="O234">
        <v>55</v>
      </c>
      <c r="P234">
        <v>0</v>
      </c>
      <c r="Q234">
        <v>10.11</v>
      </c>
      <c r="R234" t="s">
        <v>375</v>
      </c>
      <c r="S234">
        <v>0.24</v>
      </c>
      <c r="U234">
        <v>119</v>
      </c>
    </row>
    <row r="235" spans="1:21" x14ac:dyDescent="0.25">
      <c r="A235" s="2">
        <v>46045.683472222219</v>
      </c>
      <c r="B235" t="s">
        <v>309</v>
      </c>
      <c r="C235" t="s">
        <v>372</v>
      </c>
      <c r="D235">
        <v>3</v>
      </c>
      <c r="E235" t="s">
        <v>86</v>
      </c>
      <c r="F235" t="s">
        <v>373</v>
      </c>
      <c r="G235">
        <f t="shared" si="9"/>
        <v>4.0518638573743919</v>
      </c>
      <c r="H235">
        <f t="shared" si="10"/>
        <v>0</v>
      </c>
      <c r="I235">
        <v>43.83</v>
      </c>
      <c r="J235">
        <f t="shared" si="11"/>
        <v>95.9481361426256</v>
      </c>
      <c r="K235">
        <v>0.6</v>
      </c>
      <c r="L235">
        <v>0.1</v>
      </c>
      <c r="M235">
        <v>0.7</v>
      </c>
      <c r="N235">
        <v>592</v>
      </c>
      <c r="O235">
        <v>25</v>
      </c>
      <c r="P235">
        <v>0</v>
      </c>
      <c r="Q235">
        <v>4.05</v>
      </c>
      <c r="R235" t="s">
        <v>375</v>
      </c>
      <c r="S235">
        <v>0.11</v>
      </c>
      <c r="U235">
        <v>40</v>
      </c>
    </row>
    <row r="236" spans="1:21" x14ac:dyDescent="0.25">
      <c r="A236" s="2">
        <v>46045.68377314815</v>
      </c>
      <c r="B236" t="s">
        <v>309</v>
      </c>
      <c r="C236" t="s">
        <v>372</v>
      </c>
      <c r="D236">
        <v>3</v>
      </c>
      <c r="E236" t="s">
        <v>87</v>
      </c>
      <c r="F236" t="s">
        <v>373</v>
      </c>
      <c r="G236">
        <f t="shared" si="9"/>
        <v>1.889763779527559</v>
      </c>
      <c r="H236">
        <f t="shared" si="10"/>
        <v>0</v>
      </c>
      <c r="I236">
        <v>43.83</v>
      </c>
      <c r="J236">
        <f t="shared" si="11"/>
        <v>98.11023622047243</v>
      </c>
      <c r="K236">
        <v>0.6</v>
      </c>
      <c r="L236">
        <v>0.1</v>
      </c>
      <c r="M236">
        <v>0.7</v>
      </c>
      <c r="N236">
        <v>623</v>
      </c>
      <c r="O236">
        <v>12</v>
      </c>
      <c r="P236">
        <v>0</v>
      </c>
      <c r="Q236">
        <v>1.89</v>
      </c>
      <c r="R236" t="s">
        <v>376</v>
      </c>
      <c r="S236">
        <v>0.05</v>
      </c>
      <c r="U236">
        <v>45</v>
      </c>
    </row>
    <row r="237" spans="1:21" x14ac:dyDescent="0.25">
      <c r="A237" s="2">
        <v>46045.684074074074</v>
      </c>
      <c r="B237" t="s">
        <v>309</v>
      </c>
      <c r="C237" t="s">
        <v>372</v>
      </c>
      <c r="D237">
        <v>3</v>
      </c>
      <c r="E237" t="s">
        <v>89</v>
      </c>
      <c r="F237" t="s">
        <v>373</v>
      </c>
      <c r="G237">
        <f t="shared" si="9"/>
        <v>5.5369127516778525</v>
      </c>
      <c r="H237">
        <f t="shared" si="10"/>
        <v>0</v>
      </c>
      <c r="I237">
        <v>43.83</v>
      </c>
      <c r="J237">
        <f t="shared" si="11"/>
        <v>94.463087248322154</v>
      </c>
      <c r="K237">
        <v>0.6</v>
      </c>
      <c r="L237">
        <v>0.1</v>
      </c>
      <c r="M237">
        <v>0.7</v>
      </c>
      <c r="N237">
        <v>563</v>
      </c>
      <c r="O237">
        <v>33</v>
      </c>
      <c r="P237">
        <v>0</v>
      </c>
      <c r="Q237">
        <v>5.54</v>
      </c>
      <c r="R237" t="s">
        <v>375</v>
      </c>
      <c r="S237">
        <v>0.15</v>
      </c>
      <c r="U237">
        <v>55</v>
      </c>
    </row>
    <row r="238" spans="1:21" x14ac:dyDescent="0.25">
      <c r="A238" s="2">
        <v>46045.684386574074</v>
      </c>
      <c r="B238" t="s">
        <v>309</v>
      </c>
      <c r="C238" t="s">
        <v>372</v>
      </c>
      <c r="D238">
        <v>3</v>
      </c>
      <c r="E238" t="s">
        <v>92</v>
      </c>
      <c r="F238" t="s">
        <v>373</v>
      </c>
      <c r="G238">
        <f t="shared" si="9"/>
        <v>0.46296296296296291</v>
      </c>
      <c r="H238">
        <f t="shared" si="10"/>
        <v>0</v>
      </c>
      <c r="I238">
        <v>43.83</v>
      </c>
      <c r="J238">
        <f t="shared" si="11"/>
        <v>99.537037037037038</v>
      </c>
      <c r="K238">
        <v>0.6</v>
      </c>
      <c r="L238">
        <v>0.1</v>
      </c>
      <c r="M238">
        <v>0.7</v>
      </c>
      <c r="N238">
        <v>645</v>
      </c>
      <c r="O238">
        <v>3</v>
      </c>
      <c r="P238">
        <v>0</v>
      </c>
      <c r="Q238">
        <v>0.46</v>
      </c>
      <c r="R238" t="s">
        <v>376</v>
      </c>
      <c r="S238">
        <v>0.01</v>
      </c>
      <c r="U238">
        <v>31</v>
      </c>
    </row>
    <row r="239" spans="1:21" x14ac:dyDescent="0.25">
      <c r="A239" s="2">
        <v>46045.684675925928</v>
      </c>
      <c r="B239" t="s">
        <v>309</v>
      </c>
      <c r="C239" t="s">
        <v>372</v>
      </c>
      <c r="D239">
        <v>3</v>
      </c>
      <c r="E239" t="s">
        <v>94</v>
      </c>
      <c r="F239" t="s">
        <v>373</v>
      </c>
      <c r="G239">
        <f t="shared" si="9"/>
        <v>1.4134275618374559</v>
      </c>
      <c r="H239">
        <f t="shared" si="10"/>
        <v>0.17667844522968199</v>
      </c>
      <c r="I239">
        <v>43.83</v>
      </c>
      <c r="J239">
        <f t="shared" si="11"/>
        <v>98.409893992932865</v>
      </c>
      <c r="K239">
        <v>0.6</v>
      </c>
      <c r="L239">
        <v>0.1</v>
      </c>
      <c r="M239">
        <v>0.7</v>
      </c>
      <c r="N239">
        <v>557</v>
      </c>
      <c r="O239">
        <v>8</v>
      </c>
      <c r="P239">
        <v>1</v>
      </c>
      <c r="Q239">
        <v>1.59</v>
      </c>
      <c r="R239" t="s">
        <v>377</v>
      </c>
      <c r="S239">
        <v>0.04</v>
      </c>
      <c r="U239">
        <v>44</v>
      </c>
    </row>
    <row r="240" spans="1:21" x14ac:dyDescent="0.25">
      <c r="A240" s="2">
        <v>46045.684965277775</v>
      </c>
      <c r="B240" t="s">
        <v>309</v>
      </c>
      <c r="C240" t="s">
        <v>372</v>
      </c>
      <c r="D240">
        <v>3</v>
      </c>
      <c r="E240" t="s">
        <v>97</v>
      </c>
      <c r="F240" t="s">
        <v>373</v>
      </c>
      <c r="G240">
        <f t="shared" si="9"/>
        <v>43.67417677642981</v>
      </c>
      <c r="H240">
        <f t="shared" si="10"/>
        <v>0.17331022530329288</v>
      </c>
      <c r="I240">
        <v>43.83</v>
      </c>
      <c r="J240">
        <f t="shared" si="11"/>
        <v>56.1525129982669</v>
      </c>
      <c r="K240">
        <v>0.6</v>
      </c>
      <c r="L240">
        <v>0.1</v>
      </c>
      <c r="M240">
        <v>0.7</v>
      </c>
      <c r="N240">
        <v>324</v>
      </c>
      <c r="O240">
        <v>252</v>
      </c>
      <c r="P240">
        <v>1</v>
      </c>
      <c r="Q240">
        <v>43.85</v>
      </c>
      <c r="R240" t="s">
        <v>384</v>
      </c>
      <c r="S240">
        <v>1.03</v>
      </c>
      <c r="U240">
        <v>122</v>
      </c>
    </row>
    <row r="241" spans="1:21" x14ac:dyDescent="0.25">
      <c r="A241" s="2">
        <v>46045.685335648152</v>
      </c>
      <c r="B241" t="s">
        <v>309</v>
      </c>
      <c r="C241" t="s">
        <v>372</v>
      </c>
      <c r="D241">
        <v>3</v>
      </c>
      <c r="E241" t="s">
        <v>98</v>
      </c>
      <c r="F241" t="s">
        <v>373</v>
      </c>
      <c r="G241">
        <f t="shared" si="9"/>
        <v>61.685214626391094</v>
      </c>
      <c r="H241">
        <f t="shared" si="10"/>
        <v>0.1589825119236884</v>
      </c>
      <c r="I241">
        <v>43.83</v>
      </c>
      <c r="J241">
        <f t="shared" si="11"/>
        <v>38.155802861685217</v>
      </c>
      <c r="K241">
        <v>0.6</v>
      </c>
      <c r="L241">
        <v>0.1</v>
      </c>
      <c r="M241">
        <v>0.7</v>
      </c>
      <c r="N241">
        <v>240</v>
      </c>
      <c r="O241">
        <v>388</v>
      </c>
      <c r="P241">
        <v>1</v>
      </c>
      <c r="Q241">
        <v>61.84</v>
      </c>
      <c r="R241" t="s">
        <v>378</v>
      </c>
      <c r="S241">
        <v>1.56</v>
      </c>
      <c r="U241">
        <v>58</v>
      </c>
    </row>
    <row r="242" spans="1:21" x14ac:dyDescent="0.25">
      <c r="A242" s="2">
        <v>46045.685729166667</v>
      </c>
      <c r="B242" t="s">
        <v>309</v>
      </c>
      <c r="C242" t="s">
        <v>372</v>
      </c>
      <c r="D242">
        <v>3</v>
      </c>
      <c r="E242" t="s">
        <v>324</v>
      </c>
      <c r="F242" t="s">
        <v>373</v>
      </c>
      <c r="G242">
        <f t="shared" si="9"/>
        <v>46.393442622950822</v>
      </c>
      <c r="H242">
        <f t="shared" si="10"/>
        <v>0.49180327868852464</v>
      </c>
      <c r="I242">
        <v>43.83</v>
      </c>
      <c r="J242">
        <f t="shared" si="11"/>
        <v>53.114754098360649</v>
      </c>
      <c r="K242">
        <v>0.6</v>
      </c>
      <c r="L242">
        <v>0.1</v>
      </c>
      <c r="M242">
        <v>0.7</v>
      </c>
      <c r="N242">
        <v>324</v>
      </c>
      <c r="O242">
        <v>283</v>
      </c>
      <c r="P242">
        <v>3</v>
      </c>
      <c r="Q242">
        <v>46.89</v>
      </c>
      <c r="R242" t="s">
        <v>390</v>
      </c>
      <c r="S242">
        <v>1.19</v>
      </c>
      <c r="U242">
        <v>113</v>
      </c>
    </row>
    <row r="243" spans="1:21" x14ac:dyDescent="0.25">
      <c r="A243" s="2">
        <v>46045.686099537037</v>
      </c>
      <c r="B243" t="s">
        <v>309</v>
      </c>
      <c r="C243" t="s">
        <v>372</v>
      </c>
      <c r="D243">
        <v>3</v>
      </c>
      <c r="E243" t="s">
        <v>100</v>
      </c>
      <c r="F243" t="s">
        <v>373</v>
      </c>
      <c r="G243">
        <f t="shared" si="9"/>
        <v>80.696661828737305</v>
      </c>
      <c r="H243">
        <f t="shared" si="10"/>
        <v>0</v>
      </c>
      <c r="I243">
        <v>43.83</v>
      </c>
      <c r="J243">
        <f t="shared" si="11"/>
        <v>19.303338171262698</v>
      </c>
      <c r="K243">
        <v>0.6</v>
      </c>
      <c r="L243">
        <v>0.1</v>
      </c>
      <c r="M243">
        <v>0.7</v>
      </c>
      <c r="N243">
        <v>133</v>
      </c>
      <c r="O243">
        <v>556</v>
      </c>
      <c r="P243">
        <v>0</v>
      </c>
      <c r="Q243">
        <v>80.7</v>
      </c>
      <c r="R243" t="s">
        <v>386</v>
      </c>
      <c r="S243">
        <v>2.3199999999999998</v>
      </c>
      <c r="U243">
        <v>36</v>
      </c>
    </row>
    <row r="244" spans="1:21" x14ac:dyDescent="0.25">
      <c r="A244" s="2">
        <v>46045.686550925922</v>
      </c>
      <c r="B244" t="s">
        <v>309</v>
      </c>
      <c r="C244" t="s">
        <v>372</v>
      </c>
      <c r="D244">
        <v>3</v>
      </c>
      <c r="E244" t="s">
        <v>104</v>
      </c>
      <c r="F244" t="s">
        <v>373</v>
      </c>
      <c r="G244">
        <f t="shared" si="9"/>
        <v>2.3890784982935154</v>
      </c>
      <c r="H244">
        <f t="shared" si="10"/>
        <v>0.51194539249146753</v>
      </c>
      <c r="I244">
        <v>43.83</v>
      </c>
      <c r="J244">
        <f t="shared" si="11"/>
        <v>97.098976109215016</v>
      </c>
      <c r="K244">
        <v>0.6</v>
      </c>
      <c r="L244">
        <v>0.1</v>
      </c>
      <c r="M244">
        <v>0.7</v>
      </c>
      <c r="N244">
        <v>569</v>
      </c>
      <c r="O244">
        <v>14</v>
      </c>
      <c r="P244">
        <v>3</v>
      </c>
      <c r="Q244">
        <v>2.9</v>
      </c>
      <c r="R244" t="s">
        <v>376</v>
      </c>
      <c r="S244">
        <v>7.0000000000000007E-2</v>
      </c>
      <c r="U244">
        <v>54</v>
      </c>
    </row>
    <row r="245" spans="1:21" x14ac:dyDescent="0.25">
      <c r="A245" s="2">
        <v>46045.686851851853</v>
      </c>
      <c r="B245" t="s">
        <v>309</v>
      </c>
      <c r="C245" t="s">
        <v>372</v>
      </c>
      <c r="D245">
        <v>3</v>
      </c>
      <c r="E245" t="s">
        <v>107</v>
      </c>
      <c r="F245" t="s">
        <v>373</v>
      </c>
      <c r="G245">
        <f t="shared" si="9"/>
        <v>11.561561561561561</v>
      </c>
      <c r="H245">
        <f t="shared" si="10"/>
        <v>0</v>
      </c>
      <c r="I245">
        <v>43.83</v>
      </c>
      <c r="J245">
        <f t="shared" si="11"/>
        <v>88.438438438438439</v>
      </c>
      <c r="K245">
        <v>0.6</v>
      </c>
      <c r="L245">
        <v>0.1</v>
      </c>
      <c r="M245">
        <v>0.7</v>
      </c>
      <c r="N245">
        <v>589</v>
      </c>
      <c r="O245">
        <v>77</v>
      </c>
      <c r="P245">
        <v>0</v>
      </c>
      <c r="Q245">
        <v>11.56</v>
      </c>
      <c r="R245" t="s">
        <v>383</v>
      </c>
      <c r="S245">
        <v>0.28999999999999998</v>
      </c>
      <c r="U245">
        <v>55</v>
      </c>
    </row>
    <row r="246" spans="1:21" x14ac:dyDescent="0.25">
      <c r="A246" s="2">
        <v>46045.687175925923</v>
      </c>
      <c r="B246" t="s">
        <v>309</v>
      </c>
      <c r="C246" t="s">
        <v>372</v>
      </c>
      <c r="D246">
        <v>3</v>
      </c>
      <c r="E246" t="s">
        <v>108</v>
      </c>
      <c r="F246" t="s">
        <v>373</v>
      </c>
      <c r="G246">
        <f t="shared" si="9"/>
        <v>4.1116005873715125</v>
      </c>
      <c r="H246">
        <f t="shared" si="10"/>
        <v>0</v>
      </c>
      <c r="I246">
        <v>43.83</v>
      </c>
      <c r="J246">
        <f t="shared" si="11"/>
        <v>95.888399412628488</v>
      </c>
      <c r="K246">
        <v>0.6</v>
      </c>
      <c r="L246">
        <v>0.1</v>
      </c>
      <c r="M246">
        <v>0.7</v>
      </c>
      <c r="N246">
        <v>653</v>
      </c>
      <c r="O246">
        <v>28</v>
      </c>
      <c r="P246">
        <v>0</v>
      </c>
      <c r="Q246">
        <v>4.1100000000000003</v>
      </c>
      <c r="R246" t="s">
        <v>375</v>
      </c>
      <c r="S246">
        <v>0.11</v>
      </c>
      <c r="U246">
        <v>18</v>
      </c>
    </row>
    <row r="247" spans="1:21" x14ac:dyDescent="0.25">
      <c r="A247" s="2">
        <v>46045.687488425923</v>
      </c>
      <c r="B247" t="s">
        <v>309</v>
      </c>
      <c r="C247" t="s">
        <v>372</v>
      </c>
      <c r="D247">
        <v>3</v>
      </c>
      <c r="E247" t="s">
        <v>116</v>
      </c>
      <c r="F247" t="s">
        <v>373</v>
      </c>
      <c r="G247">
        <f t="shared" si="9"/>
        <v>11.452991452991453</v>
      </c>
      <c r="H247">
        <f t="shared" si="10"/>
        <v>0</v>
      </c>
      <c r="I247">
        <v>43.83</v>
      </c>
      <c r="J247">
        <f t="shared" si="11"/>
        <v>88.547008547008545</v>
      </c>
      <c r="K247">
        <v>0.6</v>
      </c>
      <c r="L247">
        <v>0.1</v>
      </c>
      <c r="M247">
        <v>0.7</v>
      </c>
      <c r="N247">
        <v>518</v>
      </c>
      <c r="O247">
        <v>67</v>
      </c>
      <c r="P247">
        <v>0</v>
      </c>
      <c r="Q247">
        <v>11.45</v>
      </c>
      <c r="R247" t="s">
        <v>375</v>
      </c>
      <c r="S247">
        <v>0.3</v>
      </c>
      <c r="U247">
        <v>33</v>
      </c>
    </row>
    <row r="248" spans="1:21" x14ac:dyDescent="0.25">
      <c r="A248" s="2">
        <v>46045.687800925924</v>
      </c>
      <c r="B248" t="s">
        <v>309</v>
      </c>
      <c r="C248" t="s">
        <v>372</v>
      </c>
      <c r="D248">
        <v>3</v>
      </c>
      <c r="E248" t="s">
        <v>118</v>
      </c>
      <c r="F248" t="s">
        <v>373</v>
      </c>
      <c r="G248">
        <f t="shared" si="9"/>
        <v>11.619718309859154</v>
      </c>
      <c r="H248">
        <f t="shared" si="10"/>
        <v>0.17605633802816903</v>
      </c>
      <c r="I248">
        <v>43.83</v>
      </c>
      <c r="J248">
        <f t="shared" si="11"/>
        <v>88.204225352112672</v>
      </c>
      <c r="K248">
        <v>0.6</v>
      </c>
      <c r="L248">
        <v>0.1</v>
      </c>
      <c r="M248">
        <v>0.7</v>
      </c>
      <c r="N248">
        <v>501</v>
      </c>
      <c r="O248">
        <v>66</v>
      </c>
      <c r="P248">
        <v>1</v>
      </c>
      <c r="Q248">
        <v>11.8</v>
      </c>
      <c r="R248" t="s">
        <v>380</v>
      </c>
      <c r="S248">
        <v>0.25</v>
      </c>
      <c r="U248">
        <v>147</v>
      </c>
    </row>
    <row r="249" spans="1:21" x14ac:dyDescent="0.25">
      <c r="A249" s="2">
        <v>46045.688113425924</v>
      </c>
      <c r="B249" t="s">
        <v>309</v>
      </c>
      <c r="C249" t="s">
        <v>372</v>
      </c>
      <c r="D249">
        <v>3</v>
      </c>
      <c r="E249" t="s">
        <v>120</v>
      </c>
      <c r="F249" t="s">
        <v>373</v>
      </c>
      <c r="G249">
        <f t="shared" si="9"/>
        <v>6.4179104477611935</v>
      </c>
      <c r="H249">
        <f t="shared" si="10"/>
        <v>0</v>
      </c>
      <c r="I249">
        <v>43.83</v>
      </c>
      <c r="J249">
        <f t="shared" si="11"/>
        <v>93.582089552238799</v>
      </c>
      <c r="K249">
        <v>0.6</v>
      </c>
      <c r="L249">
        <v>0.1</v>
      </c>
      <c r="M249">
        <v>0.7</v>
      </c>
      <c r="N249">
        <v>627</v>
      </c>
      <c r="O249">
        <v>43</v>
      </c>
      <c r="P249">
        <v>0</v>
      </c>
      <c r="Q249">
        <v>6.42</v>
      </c>
      <c r="R249" t="s">
        <v>375</v>
      </c>
      <c r="S249">
        <v>0.18</v>
      </c>
      <c r="U249">
        <v>20</v>
      </c>
    </row>
    <row r="250" spans="1:21" x14ac:dyDescent="0.25">
      <c r="A250" s="2">
        <v>46045.688425925924</v>
      </c>
      <c r="B250" t="s">
        <v>309</v>
      </c>
      <c r="C250" t="s">
        <v>372</v>
      </c>
      <c r="D250">
        <v>3</v>
      </c>
      <c r="E250" t="s">
        <v>123</v>
      </c>
      <c r="F250" t="s">
        <v>373</v>
      </c>
      <c r="G250">
        <f t="shared" si="9"/>
        <v>0.77519379844961245</v>
      </c>
      <c r="H250">
        <f t="shared" si="10"/>
        <v>0</v>
      </c>
      <c r="I250">
        <v>43.83</v>
      </c>
      <c r="J250">
        <f t="shared" si="11"/>
        <v>99.224806201550393</v>
      </c>
      <c r="K250">
        <v>0.6</v>
      </c>
      <c r="L250">
        <v>0.1</v>
      </c>
      <c r="M250">
        <v>0.7</v>
      </c>
      <c r="N250">
        <v>640</v>
      </c>
      <c r="O250">
        <v>5</v>
      </c>
      <c r="P250">
        <v>0</v>
      </c>
      <c r="Q250">
        <v>0.78</v>
      </c>
      <c r="R250" t="s">
        <v>376</v>
      </c>
      <c r="S250">
        <v>0.02</v>
      </c>
      <c r="U250">
        <v>14</v>
      </c>
    </row>
    <row r="251" spans="1:21" x14ac:dyDescent="0.25">
      <c r="A251" s="2">
        <v>46045.688726851855</v>
      </c>
      <c r="B251" t="s">
        <v>309</v>
      </c>
      <c r="C251" t="s">
        <v>372</v>
      </c>
      <c r="D251">
        <v>3</v>
      </c>
      <c r="E251" t="s">
        <v>124</v>
      </c>
      <c r="F251" t="s">
        <v>373</v>
      </c>
      <c r="G251">
        <f t="shared" si="9"/>
        <v>81.991215226939971</v>
      </c>
      <c r="H251">
        <f t="shared" si="10"/>
        <v>1.7569546120058566</v>
      </c>
      <c r="I251">
        <v>43.83</v>
      </c>
      <c r="J251">
        <f t="shared" si="11"/>
        <v>16.251830161054173</v>
      </c>
      <c r="K251">
        <v>0.6</v>
      </c>
      <c r="L251">
        <v>0.1</v>
      </c>
      <c r="M251">
        <v>0.7</v>
      </c>
      <c r="N251">
        <v>111</v>
      </c>
      <c r="O251">
        <v>560</v>
      </c>
      <c r="P251">
        <v>12</v>
      </c>
      <c r="Q251">
        <v>83.75</v>
      </c>
      <c r="R251" t="s">
        <v>389</v>
      </c>
      <c r="S251">
        <v>2.58</v>
      </c>
      <c r="U251">
        <v>24</v>
      </c>
    </row>
    <row r="252" spans="1:21" x14ac:dyDescent="0.25">
      <c r="A252" s="2">
        <v>46045.68917824074</v>
      </c>
      <c r="B252" t="s">
        <v>309</v>
      </c>
      <c r="C252" t="s">
        <v>372</v>
      </c>
      <c r="D252">
        <v>3</v>
      </c>
      <c r="E252" t="s">
        <v>125</v>
      </c>
      <c r="F252" t="s">
        <v>373</v>
      </c>
      <c r="G252">
        <f t="shared" si="9"/>
        <v>77.547495682210709</v>
      </c>
      <c r="H252">
        <f t="shared" si="10"/>
        <v>0.17271157167530224</v>
      </c>
      <c r="I252">
        <v>43.83</v>
      </c>
      <c r="J252">
        <f t="shared" si="11"/>
        <v>22.279792746113987</v>
      </c>
      <c r="K252">
        <v>0.6</v>
      </c>
      <c r="L252">
        <v>0.1</v>
      </c>
      <c r="M252">
        <v>0.7</v>
      </c>
      <c r="N252">
        <v>129</v>
      </c>
      <c r="O252">
        <v>449</v>
      </c>
      <c r="P252">
        <v>1</v>
      </c>
      <c r="Q252">
        <v>77.72</v>
      </c>
      <c r="R252" t="s">
        <v>392</v>
      </c>
      <c r="S252">
        <v>2.0499999999999998</v>
      </c>
      <c r="U252">
        <v>57</v>
      </c>
    </row>
    <row r="253" spans="1:21" x14ac:dyDescent="0.25">
      <c r="A253" s="2">
        <v>46045.68959490741</v>
      </c>
      <c r="B253" t="s">
        <v>309</v>
      </c>
      <c r="C253" t="s">
        <v>372</v>
      </c>
      <c r="D253">
        <v>3</v>
      </c>
      <c r="E253" t="s">
        <v>126</v>
      </c>
      <c r="F253" t="s">
        <v>373</v>
      </c>
      <c r="G253">
        <f t="shared" si="9"/>
        <v>8.8150289017341041</v>
      </c>
      <c r="H253">
        <f t="shared" si="10"/>
        <v>0.1445086705202312</v>
      </c>
      <c r="I253">
        <v>43.83</v>
      </c>
      <c r="J253">
        <f t="shared" si="11"/>
        <v>91.040462427745666</v>
      </c>
      <c r="K253">
        <v>0.6</v>
      </c>
      <c r="L253">
        <v>0.1</v>
      </c>
      <c r="M253">
        <v>0.7</v>
      </c>
      <c r="N253">
        <v>630</v>
      </c>
      <c r="O253">
        <v>61</v>
      </c>
      <c r="P253">
        <v>1</v>
      </c>
      <c r="Q253">
        <v>8.9600000000000009</v>
      </c>
      <c r="R253" t="s">
        <v>380</v>
      </c>
      <c r="S253">
        <v>0.25</v>
      </c>
      <c r="U253">
        <v>19</v>
      </c>
    </row>
    <row r="254" spans="1:21" x14ac:dyDescent="0.25">
      <c r="A254" s="2">
        <v>46045.68990740741</v>
      </c>
      <c r="B254" t="s">
        <v>309</v>
      </c>
      <c r="C254" t="s">
        <v>372</v>
      </c>
      <c r="D254">
        <v>3</v>
      </c>
      <c r="E254" t="s">
        <v>129</v>
      </c>
      <c r="F254" t="s">
        <v>373</v>
      </c>
      <c r="G254">
        <f t="shared" si="9"/>
        <v>1.1041009463722398</v>
      </c>
      <c r="H254">
        <f t="shared" si="10"/>
        <v>0</v>
      </c>
      <c r="I254">
        <v>43.83</v>
      </c>
      <c r="J254">
        <f t="shared" si="11"/>
        <v>98.895899053627758</v>
      </c>
      <c r="K254">
        <v>0.6</v>
      </c>
      <c r="L254">
        <v>0.1</v>
      </c>
      <c r="M254">
        <v>0.7</v>
      </c>
      <c r="N254">
        <v>627</v>
      </c>
      <c r="O254">
        <v>7</v>
      </c>
      <c r="P254">
        <v>0</v>
      </c>
      <c r="Q254">
        <v>1.1000000000000001</v>
      </c>
      <c r="R254" t="s">
        <v>376</v>
      </c>
      <c r="S254">
        <v>0.03</v>
      </c>
      <c r="U254">
        <v>34</v>
      </c>
    </row>
    <row r="255" spans="1:21" x14ac:dyDescent="0.25">
      <c r="A255" s="2">
        <v>46045.690208333333</v>
      </c>
      <c r="B255" t="s">
        <v>309</v>
      </c>
      <c r="C255" t="s">
        <v>372</v>
      </c>
      <c r="D255">
        <v>3</v>
      </c>
      <c r="E255" t="s">
        <v>130</v>
      </c>
      <c r="F255" t="s">
        <v>373</v>
      </c>
      <c r="G255">
        <f t="shared" si="9"/>
        <v>11.340206185567011</v>
      </c>
      <c r="H255">
        <f t="shared" si="10"/>
        <v>0.14727540500736377</v>
      </c>
      <c r="I255">
        <v>43.83</v>
      </c>
      <c r="J255">
        <f t="shared" si="11"/>
        <v>88.512518409425624</v>
      </c>
      <c r="K255">
        <v>0.6</v>
      </c>
      <c r="L255">
        <v>0.1</v>
      </c>
      <c r="M255">
        <v>0.7</v>
      </c>
      <c r="N255">
        <v>601</v>
      </c>
      <c r="O255">
        <v>77</v>
      </c>
      <c r="P255">
        <v>1</v>
      </c>
      <c r="Q255">
        <v>11.49</v>
      </c>
      <c r="R255" t="s">
        <v>383</v>
      </c>
      <c r="S255">
        <v>0.28000000000000003</v>
      </c>
      <c r="U255">
        <v>45</v>
      </c>
    </row>
    <row r="256" spans="1:21" x14ac:dyDescent="0.25">
      <c r="A256" s="2">
        <v>46045.690532407411</v>
      </c>
      <c r="B256" t="s">
        <v>309</v>
      </c>
      <c r="C256" t="s">
        <v>372</v>
      </c>
      <c r="D256">
        <v>3</v>
      </c>
      <c r="E256" t="s">
        <v>131</v>
      </c>
      <c r="F256" t="s">
        <v>373</v>
      </c>
      <c r="G256">
        <f t="shared" si="9"/>
        <v>55.025553662691649</v>
      </c>
      <c r="H256">
        <f t="shared" si="10"/>
        <v>0.17035775127768313</v>
      </c>
      <c r="I256">
        <v>43.83</v>
      </c>
      <c r="J256">
        <f t="shared" si="11"/>
        <v>44.804088586030666</v>
      </c>
      <c r="K256">
        <v>0.6</v>
      </c>
      <c r="L256">
        <v>0.1</v>
      </c>
      <c r="M256">
        <v>0.7</v>
      </c>
      <c r="N256">
        <v>263</v>
      </c>
      <c r="O256">
        <v>323</v>
      </c>
      <c r="P256">
        <v>1</v>
      </c>
      <c r="Q256">
        <v>55.2</v>
      </c>
      <c r="R256" t="s">
        <v>295</v>
      </c>
      <c r="S256">
        <v>1.46</v>
      </c>
      <c r="U256">
        <v>84</v>
      </c>
    </row>
    <row r="257" spans="1:21" x14ac:dyDescent="0.25">
      <c r="A257" s="2">
        <v>46045.69091435185</v>
      </c>
      <c r="B257" t="s">
        <v>309</v>
      </c>
      <c r="C257" t="s">
        <v>372</v>
      </c>
      <c r="D257">
        <v>3</v>
      </c>
      <c r="E257" t="s">
        <v>132</v>
      </c>
      <c r="F257" t="s">
        <v>373</v>
      </c>
      <c r="G257">
        <f t="shared" ref="G257:G320" si="12">(O257/(N257+O257+P257))*100</f>
        <v>34.109816971713805</v>
      </c>
      <c r="H257">
        <f t="shared" ref="H257:H320" si="13">(P257/(O257+P257+N257))*100</f>
        <v>0.33277870216306155</v>
      </c>
      <c r="I257">
        <v>43.83</v>
      </c>
      <c r="J257">
        <f t="shared" ref="J257:J320" si="14">(N257/(P257+O257+N257))*100</f>
        <v>65.55740432612312</v>
      </c>
      <c r="K257">
        <v>0.6</v>
      </c>
      <c r="L257">
        <v>0.1</v>
      </c>
      <c r="M257">
        <v>0.7</v>
      </c>
      <c r="N257">
        <v>394</v>
      </c>
      <c r="O257">
        <v>205</v>
      </c>
      <c r="P257">
        <v>2</v>
      </c>
      <c r="Q257">
        <v>34.44</v>
      </c>
      <c r="R257" t="s">
        <v>379</v>
      </c>
      <c r="S257">
        <v>0.83</v>
      </c>
      <c r="U257">
        <v>73</v>
      </c>
    </row>
    <row r="258" spans="1:21" x14ac:dyDescent="0.25">
      <c r="A258" s="2">
        <v>46045.69127314815</v>
      </c>
      <c r="B258" t="s">
        <v>309</v>
      </c>
      <c r="C258" t="s">
        <v>372</v>
      </c>
      <c r="D258">
        <v>3</v>
      </c>
      <c r="E258" t="s">
        <v>135</v>
      </c>
      <c r="F258" t="s">
        <v>373</v>
      </c>
      <c r="G258">
        <f t="shared" si="12"/>
        <v>3.9494470774091628</v>
      </c>
      <c r="H258">
        <f t="shared" si="13"/>
        <v>0.31595576619273302</v>
      </c>
      <c r="I258">
        <v>43.83</v>
      </c>
      <c r="J258">
        <f t="shared" si="14"/>
        <v>95.73459715639811</v>
      </c>
      <c r="K258">
        <v>0.6</v>
      </c>
      <c r="L258">
        <v>0.1</v>
      </c>
      <c r="M258">
        <v>0.7</v>
      </c>
      <c r="N258">
        <v>606</v>
      </c>
      <c r="O258">
        <v>25</v>
      </c>
      <c r="P258">
        <v>2</v>
      </c>
      <c r="Q258">
        <v>4.2699999999999996</v>
      </c>
      <c r="R258" t="s">
        <v>375</v>
      </c>
      <c r="S258">
        <v>0.1</v>
      </c>
      <c r="U258">
        <v>59</v>
      </c>
    </row>
    <row r="259" spans="1:21" x14ac:dyDescent="0.25">
      <c r="A259" s="2">
        <v>46045.69158564815</v>
      </c>
      <c r="B259" t="s">
        <v>309</v>
      </c>
      <c r="C259" t="s">
        <v>372</v>
      </c>
      <c r="D259">
        <v>3</v>
      </c>
      <c r="E259" t="s">
        <v>136</v>
      </c>
      <c r="F259" t="s">
        <v>373</v>
      </c>
      <c r="G259">
        <f t="shared" si="12"/>
        <v>8.1355932203389827</v>
      </c>
      <c r="H259">
        <f t="shared" si="13"/>
        <v>0.16949152542372881</v>
      </c>
      <c r="I259">
        <v>43.83</v>
      </c>
      <c r="J259">
        <f t="shared" si="14"/>
        <v>91.694915254237287</v>
      </c>
      <c r="K259">
        <v>0.6</v>
      </c>
      <c r="L259">
        <v>0.1</v>
      </c>
      <c r="M259">
        <v>0.7</v>
      </c>
      <c r="N259">
        <v>541</v>
      </c>
      <c r="O259">
        <v>48</v>
      </c>
      <c r="P259">
        <v>1</v>
      </c>
      <c r="Q259">
        <v>8.31</v>
      </c>
      <c r="R259" t="s">
        <v>380</v>
      </c>
      <c r="S259">
        <v>0.19</v>
      </c>
      <c r="U259">
        <v>109</v>
      </c>
    </row>
    <row r="260" spans="1:21" x14ac:dyDescent="0.25">
      <c r="A260" s="2">
        <v>46045.69189814815</v>
      </c>
      <c r="B260" t="s">
        <v>309</v>
      </c>
      <c r="C260" t="s">
        <v>372</v>
      </c>
      <c r="D260">
        <v>3</v>
      </c>
      <c r="E260" t="s">
        <v>137</v>
      </c>
      <c r="F260" t="s">
        <v>373</v>
      </c>
      <c r="G260">
        <f t="shared" si="12"/>
        <v>85.236768802228411</v>
      </c>
      <c r="H260">
        <f t="shared" si="13"/>
        <v>1.392757660167131</v>
      </c>
      <c r="I260">
        <v>43.83</v>
      </c>
      <c r="J260">
        <f t="shared" si="14"/>
        <v>13.370473537604457</v>
      </c>
      <c r="K260">
        <v>0.6</v>
      </c>
      <c r="L260">
        <v>0.1</v>
      </c>
      <c r="M260">
        <v>0.7</v>
      </c>
      <c r="N260">
        <v>96</v>
      </c>
      <c r="O260">
        <v>612</v>
      </c>
      <c r="P260">
        <v>10</v>
      </c>
      <c r="Q260">
        <v>86.63</v>
      </c>
      <c r="R260" t="s">
        <v>394</v>
      </c>
      <c r="S260">
        <v>2.58</v>
      </c>
      <c r="U260">
        <v>34</v>
      </c>
    </row>
    <row r="261" spans="1:21" x14ac:dyDescent="0.25">
      <c r="A261" s="2">
        <v>46045.692372685182</v>
      </c>
      <c r="B261" t="s">
        <v>309</v>
      </c>
      <c r="C261" t="s">
        <v>372</v>
      </c>
      <c r="D261">
        <v>3</v>
      </c>
      <c r="E261" t="s">
        <v>138</v>
      </c>
      <c r="F261" t="s">
        <v>373</v>
      </c>
      <c r="G261">
        <f t="shared" si="12"/>
        <v>0.61255742725880558</v>
      </c>
      <c r="H261">
        <f t="shared" si="13"/>
        <v>0</v>
      </c>
      <c r="I261">
        <v>43.83</v>
      </c>
      <c r="J261">
        <f t="shared" si="14"/>
        <v>99.387442572741193</v>
      </c>
      <c r="K261">
        <v>0.6</v>
      </c>
      <c r="L261">
        <v>0.1</v>
      </c>
      <c r="M261">
        <v>0.7</v>
      </c>
      <c r="N261">
        <v>649</v>
      </c>
      <c r="O261">
        <v>4</v>
      </c>
      <c r="P261">
        <v>0</v>
      </c>
      <c r="Q261">
        <v>0.61</v>
      </c>
      <c r="R261" t="s">
        <v>375</v>
      </c>
      <c r="S261">
        <v>0.02</v>
      </c>
      <c r="U261">
        <v>23</v>
      </c>
    </row>
    <row r="262" spans="1:21" x14ac:dyDescent="0.25">
      <c r="A262" s="2">
        <v>46045.692685185182</v>
      </c>
      <c r="B262" t="s">
        <v>309</v>
      </c>
      <c r="C262" t="s">
        <v>372</v>
      </c>
      <c r="D262">
        <v>3</v>
      </c>
      <c r="E262" t="s">
        <v>140</v>
      </c>
      <c r="F262" t="s">
        <v>373</v>
      </c>
      <c r="G262">
        <f t="shared" si="12"/>
        <v>27.853881278538811</v>
      </c>
      <c r="H262">
        <f t="shared" si="13"/>
        <v>0.15220700152207001</v>
      </c>
      <c r="I262">
        <v>43.83</v>
      </c>
      <c r="J262">
        <f t="shared" si="14"/>
        <v>71.993911719939121</v>
      </c>
      <c r="K262">
        <v>0.6</v>
      </c>
      <c r="L262">
        <v>0.1</v>
      </c>
      <c r="M262">
        <v>0.7</v>
      </c>
      <c r="N262">
        <v>473</v>
      </c>
      <c r="O262">
        <v>183</v>
      </c>
      <c r="P262">
        <v>1</v>
      </c>
      <c r="Q262">
        <v>28.01</v>
      </c>
      <c r="R262" t="s">
        <v>379</v>
      </c>
      <c r="S262">
        <v>0.73</v>
      </c>
      <c r="U262">
        <v>51</v>
      </c>
    </row>
    <row r="263" spans="1:21" x14ac:dyDescent="0.25">
      <c r="A263" s="2">
        <v>46045.693032407406</v>
      </c>
      <c r="B263" t="s">
        <v>309</v>
      </c>
      <c r="C263" t="s">
        <v>372</v>
      </c>
      <c r="D263">
        <v>3</v>
      </c>
      <c r="E263" t="s">
        <v>141</v>
      </c>
      <c r="F263" t="s">
        <v>373</v>
      </c>
      <c r="G263">
        <f t="shared" si="12"/>
        <v>12.03125</v>
      </c>
      <c r="H263">
        <f t="shared" si="13"/>
        <v>1.09375</v>
      </c>
      <c r="I263">
        <v>43.83</v>
      </c>
      <c r="J263">
        <f t="shared" si="14"/>
        <v>86.875</v>
      </c>
      <c r="K263">
        <v>0.6</v>
      </c>
      <c r="L263">
        <v>0.1</v>
      </c>
      <c r="M263">
        <v>0.7</v>
      </c>
      <c r="N263">
        <v>556</v>
      </c>
      <c r="O263">
        <v>77</v>
      </c>
      <c r="P263">
        <v>7</v>
      </c>
      <c r="Q263">
        <v>13.12</v>
      </c>
      <c r="R263" t="s">
        <v>383</v>
      </c>
      <c r="S263">
        <v>0.36</v>
      </c>
      <c r="U263">
        <v>50</v>
      </c>
    </row>
    <row r="264" spans="1:21" x14ac:dyDescent="0.25">
      <c r="A264" s="2">
        <v>46045.693368055552</v>
      </c>
      <c r="B264" t="s">
        <v>309</v>
      </c>
      <c r="C264" t="s">
        <v>372</v>
      </c>
      <c r="D264">
        <v>3</v>
      </c>
      <c r="E264" t="s">
        <v>146</v>
      </c>
      <c r="F264" t="s">
        <v>373</v>
      </c>
      <c r="G264">
        <f t="shared" si="12"/>
        <v>2.6234567901234565</v>
      </c>
      <c r="H264">
        <f t="shared" si="13"/>
        <v>0</v>
      </c>
      <c r="I264">
        <v>43.83</v>
      </c>
      <c r="J264">
        <f t="shared" si="14"/>
        <v>97.376543209876544</v>
      </c>
      <c r="K264">
        <v>0.6</v>
      </c>
      <c r="L264">
        <v>0.1</v>
      </c>
      <c r="M264">
        <v>0.7</v>
      </c>
      <c r="N264">
        <v>631</v>
      </c>
      <c r="O264">
        <v>17</v>
      </c>
      <c r="P264">
        <v>0</v>
      </c>
      <c r="Q264">
        <v>2.62</v>
      </c>
      <c r="R264" t="s">
        <v>375</v>
      </c>
      <c r="S264">
        <v>7.0000000000000007E-2</v>
      </c>
      <c r="U264">
        <v>55</v>
      </c>
    </row>
    <row r="265" spans="1:21" x14ac:dyDescent="0.25">
      <c r="A265" s="2">
        <v>46045.693668981483</v>
      </c>
      <c r="B265" t="s">
        <v>309</v>
      </c>
      <c r="C265" t="s">
        <v>372</v>
      </c>
      <c r="D265">
        <v>3</v>
      </c>
      <c r="E265" t="s">
        <v>148</v>
      </c>
      <c r="F265" t="s">
        <v>373</v>
      </c>
      <c r="G265">
        <f t="shared" si="12"/>
        <v>10</v>
      </c>
      <c r="H265">
        <f t="shared" si="13"/>
        <v>0</v>
      </c>
      <c r="I265">
        <v>43.83</v>
      </c>
      <c r="J265">
        <f t="shared" si="14"/>
        <v>90</v>
      </c>
      <c r="K265">
        <v>0.6</v>
      </c>
      <c r="L265">
        <v>0.1</v>
      </c>
      <c r="M265">
        <v>0.7</v>
      </c>
      <c r="N265">
        <v>549</v>
      </c>
      <c r="O265">
        <v>61</v>
      </c>
      <c r="P265">
        <v>0</v>
      </c>
      <c r="Q265">
        <v>10</v>
      </c>
      <c r="R265" t="s">
        <v>380</v>
      </c>
      <c r="S265">
        <v>0.27</v>
      </c>
      <c r="U265">
        <v>50</v>
      </c>
    </row>
    <row r="266" spans="1:21" x14ac:dyDescent="0.25">
      <c r="A266" s="2">
        <v>46045.693993055553</v>
      </c>
      <c r="B266" t="s">
        <v>309</v>
      </c>
      <c r="C266" t="s">
        <v>372</v>
      </c>
      <c r="D266">
        <v>3</v>
      </c>
      <c r="E266" t="s">
        <v>149</v>
      </c>
      <c r="F266" t="s">
        <v>373</v>
      </c>
      <c r="G266">
        <f t="shared" si="12"/>
        <v>7.6368876080691637</v>
      </c>
      <c r="H266">
        <f t="shared" si="13"/>
        <v>0</v>
      </c>
      <c r="I266">
        <v>43.83</v>
      </c>
      <c r="J266">
        <f t="shared" si="14"/>
        <v>92.363112391930841</v>
      </c>
      <c r="K266">
        <v>0.6</v>
      </c>
      <c r="L266">
        <v>0.1</v>
      </c>
      <c r="M266">
        <v>0.7</v>
      </c>
      <c r="N266">
        <v>641</v>
      </c>
      <c r="O266">
        <v>53</v>
      </c>
      <c r="P266">
        <v>0</v>
      </c>
      <c r="Q266">
        <v>7.64</v>
      </c>
      <c r="R266" t="s">
        <v>383</v>
      </c>
      <c r="S266">
        <v>0.19</v>
      </c>
      <c r="U266">
        <v>48</v>
      </c>
    </row>
    <row r="267" spans="1:21" x14ac:dyDescent="0.25">
      <c r="A267" s="2">
        <v>46045.69431712963</v>
      </c>
      <c r="B267" t="s">
        <v>309</v>
      </c>
      <c r="C267" t="s">
        <v>372</v>
      </c>
      <c r="D267">
        <v>3</v>
      </c>
      <c r="E267" t="s">
        <v>150</v>
      </c>
      <c r="F267" t="s">
        <v>373</v>
      </c>
      <c r="G267">
        <f t="shared" si="12"/>
        <v>52.103559870550164</v>
      </c>
      <c r="H267">
        <f t="shared" si="13"/>
        <v>1.7799352750809061</v>
      </c>
      <c r="I267">
        <v>43.83</v>
      </c>
      <c r="J267">
        <f t="shared" si="14"/>
        <v>46.116504854368934</v>
      </c>
      <c r="K267">
        <v>0.6</v>
      </c>
      <c r="L267">
        <v>0.1</v>
      </c>
      <c r="M267">
        <v>0.7</v>
      </c>
      <c r="N267">
        <v>285</v>
      </c>
      <c r="O267">
        <v>322</v>
      </c>
      <c r="P267">
        <v>11</v>
      </c>
      <c r="Q267">
        <v>53.88</v>
      </c>
      <c r="R267" t="s">
        <v>295</v>
      </c>
      <c r="S267">
        <v>1.5</v>
      </c>
      <c r="U267">
        <v>52</v>
      </c>
    </row>
    <row r="268" spans="1:21" x14ac:dyDescent="0.25">
      <c r="A268" s="2">
        <v>46045.694699074076</v>
      </c>
      <c r="B268" t="s">
        <v>309</v>
      </c>
      <c r="C268" t="s">
        <v>372</v>
      </c>
      <c r="D268">
        <v>3</v>
      </c>
      <c r="E268" t="s">
        <v>155</v>
      </c>
      <c r="F268" t="s">
        <v>373</v>
      </c>
      <c r="G268">
        <f t="shared" si="12"/>
        <v>2.1812080536912752</v>
      </c>
      <c r="H268">
        <f t="shared" si="13"/>
        <v>0</v>
      </c>
      <c r="I268">
        <v>43.83</v>
      </c>
      <c r="J268">
        <f t="shared" si="14"/>
        <v>97.818791946308721</v>
      </c>
      <c r="K268">
        <v>0.6</v>
      </c>
      <c r="L268">
        <v>0.1</v>
      </c>
      <c r="M268">
        <v>0.7</v>
      </c>
      <c r="N268">
        <v>583</v>
      </c>
      <c r="O268">
        <v>13</v>
      </c>
      <c r="P268">
        <v>0</v>
      </c>
      <c r="Q268">
        <v>2.1800000000000002</v>
      </c>
      <c r="R268" t="s">
        <v>376</v>
      </c>
      <c r="S268">
        <v>0.06</v>
      </c>
      <c r="U268">
        <v>21</v>
      </c>
    </row>
    <row r="269" spans="1:21" x14ac:dyDescent="0.25">
      <c r="A269" s="2">
        <v>46045.695</v>
      </c>
      <c r="B269" t="s">
        <v>309</v>
      </c>
      <c r="C269" t="s">
        <v>372</v>
      </c>
      <c r="D269">
        <v>3</v>
      </c>
      <c r="E269" t="s">
        <v>156</v>
      </c>
      <c r="F269" t="s">
        <v>373</v>
      </c>
      <c r="G269">
        <f t="shared" si="12"/>
        <v>84.165477888730393</v>
      </c>
      <c r="H269">
        <f t="shared" si="13"/>
        <v>0.57061340941512129</v>
      </c>
      <c r="I269">
        <v>43.83</v>
      </c>
      <c r="J269">
        <f t="shared" si="14"/>
        <v>15.263908701854492</v>
      </c>
      <c r="K269">
        <v>0.6</v>
      </c>
      <c r="L269">
        <v>0.1</v>
      </c>
      <c r="M269">
        <v>0.7</v>
      </c>
      <c r="N269">
        <v>107</v>
      </c>
      <c r="O269">
        <v>590</v>
      </c>
      <c r="P269">
        <v>4</v>
      </c>
      <c r="Q269">
        <v>84.74</v>
      </c>
      <c r="R269" t="s">
        <v>389</v>
      </c>
      <c r="S269">
        <v>2.5499999999999998</v>
      </c>
      <c r="U269">
        <v>48</v>
      </c>
    </row>
    <row r="270" spans="1:21" x14ac:dyDescent="0.25">
      <c r="A270" s="2">
        <v>46045.695462962962</v>
      </c>
      <c r="B270" t="s">
        <v>309</v>
      </c>
      <c r="C270" t="s">
        <v>372</v>
      </c>
      <c r="D270">
        <v>3</v>
      </c>
      <c r="E270" t="s">
        <v>157</v>
      </c>
      <c r="F270" t="s">
        <v>373</v>
      </c>
      <c r="G270">
        <f t="shared" si="12"/>
        <v>57.048092868988384</v>
      </c>
      <c r="H270">
        <f t="shared" si="13"/>
        <v>0.16583747927031509</v>
      </c>
      <c r="I270">
        <v>43.83</v>
      </c>
      <c r="J270">
        <f t="shared" si="14"/>
        <v>42.786069651741293</v>
      </c>
      <c r="K270">
        <v>0.6</v>
      </c>
      <c r="L270">
        <v>0.1</v>
      </c>
      <c r="M270">
        <v>0.7</v>
      </c>
      <c r="N270">
        <v>258</v>
      </c>
      <c r="O270">
        <v>344</v>
      </c>
      <c r="P270">
        <v>1</v>
      </c>
      <c r="Q270">
        <v>57.21</v>
      </c>
      <c r="R270" t="s">
        <v>295</v>
      </c>
      <c r="S270">
        <v>1.6</v>
      </c>
      <c r="U270">
        <v>81</v>
      </c>
    </row>
    <row r="271" spans="1:21" x14ac:dyDescent="0.25">
      <c r="A271" s="2">
        <v>46045.695856481485</v>
      </c>
      <c r="B271" t="s">
        <v>309</v>
      </c>
      <c r="C271" t="s">
        <v>372</v>
      </c>
      <c r="D271">
        <v>3</v>
      </c>
      <c r="E271" t="s">
        <v>161</v>
      </c>
      <c r="F271" t="s">
        <v>373</v>
      </c>
      <c r="G271">
        <f t="shared" si="12"/>
        <v>8.762169680111267</v>
      </c>
      <c r="H271">
        <f t="shared" si="13"/>
        <v>0</v>
      </c>
      <c r="I271">
        <v>43.83</v>
      </c>
      <c r="J271">
        <f t="shared" si="14"/>
        <v>91.237830319888729</v>
      </c>
      <c r="K271">
        <v>0.6</v>
      </c>
      <c r="L271">
        <v>0.1</v>
      </c>
      <c r="M271">
        <v>0.7</v>
      </c>
      <c r="N271">
        <v>656</v>
      </c>
      <c r="O271">
        <v>63</v>
      </c>
      <c r="P271">
        <v>0</v>
      </c>
      <c r="Q271">
        <v>8.76</v>
      </c>
      <c r="R271" t="s">
        <v>383</v>
      </c>
      <c r="S271">
        <v>0.24</v>
      </c>
      <c r="U271">
        <v>33</v>
      </c>
    </row>
    <row r="272" spans="1:21" x14ac:dyDescent="0.25">
      <c r="A272" s="2">
        <v>46045.696180555555</v>
      </c>
      <c r="B272" t="s">
        <v>309</v>
      </c>
      <c r="C272" t="s">
        <v>372</v>
      </c>
      <c r="D272">
        <v>3</v>
      </c>
      <c r="E272" t="s">
        <v>162</v>
      </c>
      <c r="F272" t="s">
        <v>373</v>
      </c>
      <c r="G272">
        <f t="shared" si="12"/>
        <v>1.4947683109118086</v>
      </c>
      <c r="H272">
        <f t="shared" si="13"/>
        <v>0.14947683109118087</v>
      </c>
      <c r="I272">
        <v>43.83</v>
      </c>
      <c r="J272">
        <f t="shared" si="14"/>
        <v>98.355754857997013</v>
      </c>
      <c r="K272">
        <v>0.6</v>
      </c>
      <c r="L272">
        <v>0.1</v>
      </c>
      <c r="M272">
        <v>0.7</v>
      </c>
      <c r="N272">
        <v>658</v>
      </c>
      <c r="O272">
        <v>10</v>
      </c>
      <c r="P272">
        <v>1</v>
      </c>
      <c r="Q272">
        <v>1.64</v>
      </c>
      <c r="R272" t="s">
        <v>375</v>
      </c>
      <c r="S272">
        <v>0.04</v>
      </c>
      <c r="U272">
        <v>24</v>
      </c>
    </row>
    <row r="273" spans="1:21" x14ac:dyDescent="0.25">
      <c r="A273" s="2">
        <v>46045.696493055555</v>
      </c>
      <c r="B273" t="s">
        <v>309</v>
      </c>
      <c r="C273" t="s">
        <v>372</v>
      </c>
      <c r="D273">
        <v>3</v>
      </c>
      <c r="E273" t="s">
        <v>163</v>
      </c>
      <c r="F273" t="s">
        <v>373</v>
      </c>
      <c r="G273">
        <f t="shared" si="12"/>
        <v>15.384615384615385</v>
      </c>
      <c r="H273">
        <f t="shared" si="13"/>
        <v>0</v>
      </c>
      <c r="I273">
        <v>43.83</v>
      </c>
      <c r="J273">
        <f t="shared" si="14"/>
        <v>84.615384615384613</v>
      </c>
      <c r="K273">
        <v>0.6</v>
      </c>
      <c r="L273">
        <v>0.1</v>
      </c>
      <c r="M273">
        <v>0.7</v>
      </c>
      <c r="N273">
        <v>473</v>
      </c>
      <c r="O273">
        <v>86</v>
      </c>
      <c r="P273">
        <v>0</v>
      </c>
      <c r="Q273">
        <v>15.38</v>
      </c>
      <c r="R273" t="s">
        <v>375</v>
      </c>
      <c r="S273">
        <v>0.37</v>
      </c>
      <c r="U273">
        <v>47</v>
      </c>
    </row>
    <row r="274" spans="1:21" x14ac:dyDescent="0.25">
      <c r="A274" s="2">
        <v>46045.696805555555</v>
      </c>
      <c r="B274" t="s">
        <v>309</v>
      </c>
      <c r="C274" t="s">
        <v>372</v>
      </c>
      <c r="D274">
        <v>3</v>
      </c>
      <c r="E274" t="s">
        <v>325</v>
      </c>
      <c r="F274" t="s">
        <v>373</v>
      </c>
      <c r="G274">
        <f t="shared" si="12"/>
        <v>3.0634573304157549</v>
      </c>
      <c r="H274">
        <f t="shared" si="13"/>
        <v>0</v>
      </c>
      <c r="I274">
        <v>43.83</v>
      </c>
      <c r="J274">
        <f t="shared" si="14"/>
        <v>96.936542669584242</v>
      </c>
      <c r="K274">
        <v>0.6</v>
      </c>
      <c r="L274">
        <v>0.1</v>
      </c>
      <c r="M274">
        <v>0.7</v>
      </c>
      <c r="N274">
        <v>443</v>
      </c>
      <c r="O274">
        <v>14</v>
      </c>
      <c r="P274">
        <v>0</v>
      </c>
      <c r="Q274">
        <v>3.06</v>
      </c>
      <c r="R274" t="s">
        <v>377</v>
      </c>
      <c r="S274">
        <v>0.08</v>
      </c>
      <c r="U274">
        <v>30</v>
      </c>
    </row>
    <row r="275" spans="1:21" x14ac:dyDescent="0.25">
      <c r="A275" s="2">
        <v>46045.697083333333</v>
      </c>
      <c r="B275" t="s">
        <v>309</v>
      </c>
      <c r="C275" t="s">
        <v>372</v>
      </c>
      <c r="D275">
        <v>3</v>
      </c>
      <c r="E275" t="s">
        <v>164</v>
      </c>
      <c r="F275" t="s">
        <v>373</v>
      </c>
      <c r="G275">
        <f t="shared" si="12"/>
        <v>13.432835820895523</v>
      </c>
      <c r="H275">
        <f t="shared" si="13"/>
        <v>0</v>
      </c>
      <c r="I275">
        <v>43.83</v>
      </c>
      <c r="J275">
        <f t="shared" si="14"/>
        <v>86.567164179104466</v>
      </c>
      <c r="K275">
        <v>0.6</v>
      </c>
      <c r="L275">
        <v>0.1</v>
      </c>
      <c r="M275">
        <v>0.7</v>
      </c>
      <c r="N275">
        <v>522</v>
      </c>
      <c r="O275">
        <v>81</v>
      </c>
      <c r="P275">
        <v>0</v>
      </c>
      <c r="Q275">
        <v>13.43</v>
      </c>
      <c r="R275" t="s">
        <v>380</v>
      </c>
      <c r="S275">
        <v>0.36</v>
      </c>
      <c r="U275">
        <v>59</v>
      </c>
    </row>
    <row r="276" spans="1:21" x14ac:dyDescent="0.25">
      <c r="A276" s="2">
        <v>46045.697395833333</v>
      </c>
      <c r="B276" t="s">
        <v>309</v>
      </c>
      <c r="C276" t="s">
        <v>372</v>
      </c>
      <c r="D276">
        <v>3</v>
      </c>
      <c r="E276" t="s">
        <v>167</v>
      </c>
      <c r="F276" t="s">
        <v>373</v>
      </c>
      <c r="G276">
        <f t="shared" si="12"/>
        <v>24.95088408644401</v>
      </c>
      <c r="H276">
        <f t="shared" si="13"/>
        <v>0</v>
      </c>
      <c r="I276">
        <v>43.83</v>
      </c>
      <c r="J276">
        <f t="shared" si="14"/>
        <v>75.049115913555994</v>
      </c>
      <c r="K276">
        <v>0.6</v>
      </c>
      <c r="L276">
        <v>0.1</v>
      </c>
      <c r="M276">
        <v>0.7</v>
      </c>
      <c r="N276">
        <v>382</v>
      </c>
      <c r="O276">
        <v>127</v>
      </c>
      <c r="P276">
        <v>0</v>
      </c>
      <c r="Q276">
        <v>24.95</v>
      </c>
      <c r="R276" t="s">
        <v>380</v>
      </c>
      <c r="S276">
        <v>0.55000000000000004</v>
      </c>
      <c r="U276">
        <v>102</v>
      </c>
    </row>
    <row r="277" spans="1:21" x14ac:dyDescent="0.25">
      <c r="A277" s="2">
        <v>46045.69771990741</v>
      </c>
      <c r="B277" t="s">
        <v>309</v>
      </c>
      <c r="C277" t="s">
        <v>372</v>
      </c>
      <c r="D277">
        <v>3</v>
      </c>
      <c r="E277" t="s">
        <v>168</v>
      </c>
      <c r="F277" t="s">
        <v>373</v>
      </c>
      <c r="G277">
        <f t="shared" si="12"/>
        <v>78.327645051194537</v>
      </c>
      <c r="H277">
        <f t="shared" si="13"/>
        <v>0.85324232081911267</v>
      </c>
      <c r="I277">
        <v>43.83</v>
      </c>
      <c r="J277">
        <f t="shared" si="14"/>
        <v>20.819112627986346</v>
      </c>
      <c r="K277">
        <v>0.6</v>
      </c>
      <c r="L277">
        <v>0.1</v>
      </c>
      <c r="M277">
        <v>0.7</v>
      </c>
      <c r="N277">
        <v>122</v>
      </c>
      <c r="O277">
        <v>459</v>
      </c>
      <c r="P277">
        <v>5</v>
      </c>
      <c r="Q277">
        <v>79.180000000000007</v>
      </c>
      <c r="R277" t="s">
        <v>392</v>
      </c>
      <c r="S277">
        <v>2.12</v>
      </c>
      <c r="U277">
        <v>51</v>
      </c>
    </row>
    <row r="278" spans="1:21" x14ac:dyDescent="0.25">
      <c r="A278" s="2">
        <v>46045.698136574072</v>
      </c>
      <c r="B278" t="s">
        <v>309</v>
      </c>
      <c r="C278" t="s">
        <v>372</v>
      </c>
      <c r="D278">
        <v>3</v>
      </c>
      <c r="E278" t="s">
        <v>326</v>
      </c>
      <c r="F278" t="s">
        <v>373</v>
      </c>
      <c r="G278">
        <f t="shared" si="12"/>
        <v>4.9624060150375939</v>
      </c>
      <c r="H278">
        <f t="shared" si="13"/>
        <v>0</v>
      </c>
      <c r="I278">
        <v>43.83</v>
      </c>
      <c r="J278">
        <f t="shared" si="14"/>
        <v>95.037593984962413</v>
      </c>
      <c r="K278">
        <v>0.6</v>
      </c>
      <c r="L278">
        <v>0.1</v>
      </c>
      <c r="M278">
        <v>0.7</v>
      </c>
      <c r="N278">
        <v>632</v>
      </c>
      <c r="O278">
        <v>33</v>
      </c>
      <c r="P278">
        <v>0</v>
      </c>
      <c r="Q278">
        <v>4.96</v>
      </c>
      <c r="R278" t="s">
        <v>383</v>
      </c>
      <c r="S278">
        <v>0.12</v>
      </c>
      <c r="U278">
        <v>95</v>
      </c>
    </row>
    <row r="279" spans="1:21" x14ac:dyDescent="0.25">
      <c r="A279" s="2">
        <v>46045.698472222219</v>
      </c>
      <c r="B279" t="s">
        <v>309</v>
      </c>
      <c r="C279" t="s">
        <v>372</v>
      </c>
      <c r="D279">
        <v>3</v>
      </c>
      <c r="E279" t="s">
        <v>171</v>
      </c>
      <c r="F279" t="s">
        <v>373</v>
      </c>
      <c r="G279">
        <f t="shared" si="12"/>
        <v>6.1749571183533449</v>
      </c>
      <c r="H279">
        <f t="shared" si="13"/>
        <v>0.17152658662092624</v>
      </c>
      <c r="I279">
        <v>43.83</v>
      </c>
      <c r="J279">
        <f t="shared" si="14"/>
        <v>93.653516295025725</v>
      </c>
      <c r="K279">
        <v>0.6</v>
      </c>
      <c r="L279">
        <v>0.1</v>
      </c>
      <c r="M279">
        <v>0.7</v>
      </c>
      <c r="N279">
        <v>546</v>
      </c>
      <c r="O279">
        <v>36</v>
      </c>
      <c r="P279">
        <v>1</v>
      </c>
      <c r="Q279">
        <v>6.35</v>
      </c>
      <c r="R279" t="s">
        <v>375</v>
      </c>
      <c r="S279">
        <v>0.16</v>
      </c>
      <c r="U279">
        <v>28</v>
      </c>
    </row>
    <row r="280" spans="1:21" x14ac:dyDescent="0.25">
      <c r="A280" s="2">
        <v>46045.698773148149</v>
      </c>
      <c r="B280" t="s">
        <v>309</v>
      </c>
      <c r="C280" t="s">
        <v>372</v>
      </c>
      <c r="D280">
        <v>3</v>
      </c>
      <c r="E280" t="s">
        <v>173</v>
      </c>
      <c r="F280" t="s">
        <v>373</v>
      </c>
      <c r="G280">
        <f t="shared" si="12"/>
        <v>13.003663003663005</v>
      </c>
      <c r="H280">
        <f t="shared" si="13"/>
        <v>0</v>
      </c>
      <c r="I280">
        <v>43.83</v>
      </c>
      <c r="J280">
        <f t="shared" si="14"/>
        <v>86.996336996336993</v>
      </c>
      <c r="K280">
        <v>0.6</v>
      </c>
      <c r="L280">
        <v>0.1</v>
      </c>
      <c r="M280">
        <v>0.7</v>
      </c>
      <c r="N280">
        <v>475</v>
      </c>
      <c r="O280">
        <v>71</v>
      </c>
      <c r="P280">
        <v>0</v>
      </c>
      <c r="Q280">
        <v>13</v>
      </c>
      <c r="R280" t="s">
        <v>380</v>
      </c>
      <c r="S280">
        <v>0.28000000000000003</v>
      </c>
      <c r="U280">
        <v>118</v>
      </c>
    </row>
    <row r="281" spans="1:21" x14ac:dyDescent="0.25">
      <c r="A281" s="2">
        <v>46045.69908564815</v>
      </c>
      <c r="B281" t="s">
        <v>309</v>
      </c>
      <c r="C281" t="s">
        <v>372</v>
      </c>
      <c r="D281">
        <v>3</v>
      </c>
      <c r="E281" t="s">
        <v>174</v>
      </c>
      <c r="F281" t="s">
        <v>373</v>
      </c>
      <c r="G281">
        <f t="shared" si="12"/>
        <v>5.9392265193370166</v>
      </c>
      <c r="H281">
        <f t="shared" si="13"/>
        <v>0</v>
      </c>
      <c r="I281">
        <v>43.83</v>
      </c>
      <c r="J281">
        <f t="shared" si="14"/>
        <v>94.060773480662988</v>
      </c>
      <c r="K281">
        <v>0.6</v>
      </c>
      <c r="L281">
        <v>0.1</v>
      </c>
      <c r="M281">
        <v>0.7</v>
      </c>
      <c r="N281">
        <v>681</v>
      </c>
      <c r="O281">
        <v>43</v>
      </c>
      <c r="P281">
        <v>0</v>
      </c>
      <c r="Q281">
        <v>5.94</v>
      </c>
      <c r="R281" t="s">
        <v>383</v>
      </c>
      <c r="S281">
        <v>0.15</v>
      </c>
      <c r="U281">
        <v>21</v>
      </c>
    </row>
    <row r="282" spans="1:21" x14ac:dyDescent="0.25">
      <c r="A282" s="2">
        <v>46045.69940972222</v>
      </c>
      <c r="B282" t="s">
        <v>309</v>
      </c>
      <c r="C282" t="s">
        <v>372</v>
      </c>
      <c r="D282">
        <v>3</v>
      </c>
      <c r="E282" t="s">
        <v>175</v>
      </c>
      <c r="F282" t="s">
        <v>373</v>
      </c>
      <c r="G282">
        <f t="shared" si="12"/>
        <v>85.109983079526231</v>
      </c>
      <c r="H282">
        <f t="shared" si="13"/>
        <v>0.33840947546531303</v>
      </c>
      <c r="I282">
        <v>43.83</v>
      </c>
      <c r="J282">
        <f t="shared" si="14"/>
        <v>14.551607445008461</v>
      </c>
      <c r="K282">
        <v>0.6</v>
      </c>
      <c r="L282">
        <v>0.1</v>
      </c>
      <c r="M282">
        <v>0.7</v>
      </c>
      <c r="N282">
        <v>86</v>
      </c>
      <c r="O282">
        <v>503</v>
      </c>
      <c r="P282">
        <v>2</v>
      </c>
      <c r="Q282">
        <v>85.45</v>
      </c>
      <c r="R282" t="s">
        <v>385</v>
      </c>
      <c r="S282">
        <v>2.5</v>
      </c>
      <c r="U282">
        <v>49</v>
      </c>
    </row>
    <row r="283" spans="1:21" x14ac:dyDescent="0.25">
      <c r="A283" s="2">
        <v>46045.699849537035</v>
      </c>
      <c r="B283" t="s">
        <v>309</v>
      </c>
      <c r="C283" t="s">
        <v>372</v>
      </c>
      <c r="D283">
        <v>3</v>
      </c>
      <c r="E283" t="s">
        <v>178</v>
      </c>
      <c r="F283" t="s">
        <v>373</v>
      </c>
      <c r="G283">
        <f t="shared" si="12"/>
        <v>9.5384615384615383</v>
      </c>
      <c r="H283">
        <f t="shared" si="13"/>
        <v>0</v>
      </c>
      <c r="I283">
        <v>43.83</v>
      </c>
      <c r="J283">
        <f t="shared" si="14"/>
        <v>90.461538461538453</v>
      </c>
      <c r="K283">
        <v>0.6</v>
      </c>
      <c r="L283">
        <v>0.1</v>
      </c>
      <c r="M283">
        <v>0.7</v>
      </c>
      <c r="N283">
        <v>588</v>
      </c>
      <c r="O283">
        <v>62</v>
      </c>
      <c r="P283">
        <v>0</v>
      </c>
      <c r="Q283">
        <v>9.5399999999999991</v>
      </c>
      <c r="R283" t="s">
        <v>383</v>
      </c>
      <c r="S283">
        <v>0.25</v>
      </c>
      <c r="U283">
        <v>112</v>
      </c>
    </row>
    <row r="284" spans="1:21" x14ac:dyDescent="0.25">
      <c r="A284" s="2">
        <v>46045.700185185182</v>
      </c>
      <c r="B284" t="s">
        <v>309</v>
      </c>
      <c r="C284" t="s">
        <v>372</v>
      </c>
      <c r="D284">
        <v>3</v>
      </c>
      <c r="E284" t="s">
        <v>179</v>
      </c>
      <c r="F284" t="s">
        <v>373</v>
      </c>
      <c r="G284">
        <f t="shared" si="12"/>
        <v>23.323170731707318</v>
      </c>
      <c r="H284">
        <f t="shared" si="13"/>
        <v>0</v>
      </c>
      <c r="I284">
        <v>43.83</v>
      </c>
      <c r="J284">
        <f t="shared" si="14"/>
        <v>76.676829268292678</v>
      </c>
      <c r="K284">
        <v>0.6</v>
      </c>
      <c r="L284">
        <v>0.1</v>
      </c>
      <c r="M284">
        <v>0.7</v>
      </c>
      <c r="N284">
        <v>503</v>
      </c>
      <c r="O284">
        <v>153</v>
      </c>
      <c r="P284">
        <v>0</v>
      </c>
      <c r="Q284">
        <v>23.32</v>
      </c>
      <c r="R284" t="s">
        <v>379</v>
      </c>
      <c r="S284">
        <v>0.63</v>
      </c>
      <c r="U284">
        <v>68</v>
      </c>
    </row>
    <row r="285" spans="1:21" x14ac:dyDescent="0.25">
      <c r="A285" s="2">
        <v>46045.700532407405</v>
      </c>
      <c r="B285" t="s">
        <v>309</v>
      </c>
      <c r="C285" t="s">
        <v>372</v>
      </c>
      <c r="D285">
        <v>3</v>
      </c>
      <c r="E285" t="s">
        <v>180</v>
      </c>
      <c r="F285" t="s">
        <v>373</v>
      </c>
      <c r="G285">
        <f t="shared" si="12"/>
        <v>7.1301247771836014</v>
      </c>
      <c r="H285">
        <f t="shared" si="13"/>
        <v>0</v>
      </c>
      <c r="I285">
        <v>43.83</v>
      </c>
      <c r="J285">
        <f t="shared" si="14"/>
        <v>92.869875222816404</v>
      </c>
      <c r="K285">
        <v>0.6</v>
      </c>
      <c r="L285">
        <v>0.1</v>
      </c>
      <c r="M285">
        <v>0.7</v>
      </c>
      <c r="N285">
        <v>521</v>
      </c>
      <c r="O285">
        <v>40</v>
      </c>
      <c r="P285">
        <v>0</v>
      </c>
      <c r="Q285">
        <v>7.13</v>
      </c>
      <c r="R285" t="s">
        <v>375</v>
      </c>
      <c r="S285">
        <v>0.16</v>
      </c>
      <c r="U285">
        <v>85</v>
      </c>
    </row>
    <row r="286" spans="1:21" x14ac:dyDescent="0.25">
      <c r="A286" s="2">
        <v>46045.700844907406</v>
      </c>
      <c r="B286" t="s">
        <v>309</v>
      </c>
      <c r="C286" t="s">
        <v>372</v>
      </c>
      <c r="D286">
        <v>3</v>
      </c>
      <c r="E286" t="s">
        <v>185</v>
      </c>
      <c r="F286" t="s">
        <v>373</v>
      </c>
      <c r="G286">
        <f t="shared" si="12"/>
        <v>6.0553633217993079</v>
      </c>
      <c r="H286">
        <f t="shared" si="13"/>
        <v>0</v>
      </c>
      <c r="I286">
        <v>43.83</v>
      </c>
      <c r="J286">
        <f t="shared" si="14"/>
        <v>93.944636678200695</v>
      </c>
      <c r="K286">
        <v>0.6</v>
      </c>
      <c r="L286">
        <v>0.1</v>
      </c>
      <c r="M286">
        <v>0.7</v>
      </c>
      <c r="N286">
        <v>543</v>
      </c>
      <c r="O286">
        <v>35</v>
      </c>
      <c r="P286">
        <v>0</v>
      </c>
      <c r="Q286">
        <v>6.06</v>
      </c>
      <c r="R286" t="s">
        <v>375</v>
      </c>
      <c r="S286">
        <v>0.16</v>
      </c>
      <c r="U286">
        <v>75</v>
      </c>
    </row>
    <row r="287" spans="1:21" x14ac:dyDescent="0.25">
      <c r="A287" s="2">
        <v>46045.701157407406</v>
      </c>
      <c r="B287" t="s">
        <v>309</v>
      </c>
      <c r="C287" t="s">
        <v>372</v>
      </c>
      <c r="D287">
        <v>3</v>
      </c>
      <c r="E287" t="s">
        <v>188</v>
      </c>
      <c r="F287" t="s">
        <v>373</v>
      </c>
      <c r="G287">
        <f t="shared" si="12"/>
        <v>1.195814648729447</v>
      </c>
      <c r="H287">
        <f t="shared" si="13"/>
        <v>0</v>
      </c>
      <c r="I287">
        <v>43.83</v>
      </c>
      <c r="J287">
        <f t="shared" si="14"/>
        <v>98.804185351270561</v>
      </c>
      <c r="K287">
        <v>0.6</v>
      </c>
      <c r="L287">
        <v>0.1</v>
      </c>
      <c r="M287">
        <v>0.7</v>
      </c>
      <c r="N287">
        <v>661</v>
      </c>
      <c r="O287">
        <v>8</v>
      </c>
      <c r="P287">
        <v>0</v>
      </c>
      <c r="Q287">
        <v>1.2</v>
      </c>
      <c r="R287" t="s">
        <v>375</v>
      </c>
      <c r="S287">
        <v>0.03</v>
      </c>
      <c r="U287">
        <v>26</v>
      </c>
    </row>
    <row r="288" spans="1:21" x14ac:dyDescent="0.25">
      <c r="A288" s="2">
        <v>46045.701458333337</v>
      </c>
      <c r="B288" t="s">
        <v>309</v>
      </c>
      <c r="C288" t="s">
        <v>372</v>
      </c>
      <c r="D288">
        <v>3</v>
      </c>
      <c r="E288" t="s">
        <v>189</v>
      </c>
      <c r="F288" t="s">
        <v>373</v>
      </c>
      <c r="G288">
        <f t="shared" si="12"/>
        <v>31.645569620253166</v>
      </c>
      <c r="H288">
        <f t="shared" si="13"/>
        <v>0</v>
      </c>
      <c r="I288">
        <v>43.83</v>
      </c>
      <c r="J288">
        <f t="shared" si="14"/>
        <v>68.35443037974683</v>
      </c>
      <c r="K288">
        <v>0.6</v>
      </c>
      <c r="L288">
        <v>0.1</v>
      </c>
      <c r="M288">
        <v>0.7</v>
      </c>
      <c r="N288">
        <v>432</v>
      </c>
      <c r="O288">
        <v>200</v>
      </c>
      <c r="P288">
        <v>0</v>
      </c>
      <c r="Q288">
        <v>31.65</v>
      </c>
      <c r="R288" t="s">
        <v>379</v>
      </c>
      <c r="S288">
        <v>0.76</v>
      </c>
      <c r="U288">
        <v>78</v>
      </c>
    </row>
    <row r="289" spans="1:21" x14ac:dyDescent="0.25">
      <c r="A289" s="2">
        <v>46045.701817129629</v>
      </c>
      <c r="B289" t="s">
        <v>309</v>
      </c>
      <c r="C289" t="s">
        <v>372</v>
      </c>
      <c r="D289">
        <v>3</v>
      </c>
      <c r="E289" t="s">
        <v>327</v>
      </c>
      <c r="F289" t="s">
        <v>373</v>
      </c>
      <c r="G289">
        <f t="shared" si="12"/>
        <v>42.519685039370081</v>
      </c>
      <c r="H289">
        <f t="shared" si="13"/>
        <v>0.15748031496062992</v>
      </c>
      <c r="I289">
        <v>43.83</v>
      </c>
      <c r="J289">
        <f t="shared" si="14"/>
        <v>57.322834645669296</v>
      </c>
      <c r="K289">
        <v>0.6</v>
      </c>
      <c r="L289">
        <v>0.1</v>
      </c>
      <c r="M289">
        <v>0.7</v>
      </c>
      <c r="N289">
        <v>364</v>
      </c>
      <c r="O289">
        <v>270</v>
      </c>
      <c r="P289">
        <v>1</v>
      </c>
      <c r="Q289">
        <v>42.68</v>
      </c>
      <c r="R289" t="s">
        <v>390</v>
      </c>
      <c r="S289">
        <v>1.19</v>
      </c>
      <c r="U289">
        <v>61</v>
      </c>
    </row>
    <row r="290" spans="1:21" x14ac:dyDescent="0.25">
      <c r="A290" s="2">
        <v>46045.702187499999</v>
      </c>
      <c r="B290" t="s">
        <v>309</v>
      </c>
      <c r="C290" t="s">
        <v>372</v>
      </c>
      <c r="D290">
        <v>3</v>
      </c>
      <c r="E290" t="s">
        <v>190</v>
      </c>
      <c r="F290" t="s">
        <v>373</v>
      </c>
      <c r="G290">
        <f t="shared" si="12"/>
        <v>13.986013986013987</v>
      </c>
      <c r="H290">
        <f t="shared" si="13"/>
        <v>0.13986013986013987</v>
      </c>
      <c r="I290">
        <v>43.83</v>
      </c>
      <c r="J290">
        <f t="shared" si="14"/>
        <v>85.874125874125866</v>
      </c>
      <c r="K290">
        <v>0.6</v>
      </c>
      <c r="L290">
        <v>0.1</v>
      </c>
      <c r="M290">
        <v>0.7</v>
      </c>
      <c r="N290">
        <v>614</v>
      </c>
      <c r="O290">
        <v>100</v>
      </c>
      <c r="P290">
        <v>1</v>
      </c>
      <c r="Q290">
        <v>14.13</v>
      </c>
      <c r="R290" t="s">
        <v>382</v>
      </c>
      <c r="S290">
        <v>0.4</v>
      </c>
      <c r="U290">
        <v>26</v>
      </c>
    </row>
    <row r="291" spans="1:21" x14ac:dyDescent="0.25">
      <c r="A291" s="2">
        <v>46045.702534722222</v>
      </c>
      <c r="B291" t="s">
        <v>309</v>
      </c>
      <c r="C291" t="s">
        <v>372</v>
      </c>
      <c r="D291">
        <v>3</v>
      </c>
      <c r="E291" t="s">
        <v>193</v>
      </c>
      <c r="F291" t="s">
        <v>373</v>
      </c>
      <c r="G291">
        <f t="shared" si="12"/>
        <v>11.519198664440735</v>
      </c>
      <c r="H291">
        <f t="shared" si="13"/>
        <v>0</v>
      </c>
      <c r="I291">
        <v>43.83</v>
      </c>
      <c r="J291">
        <f t="shared" si="14"/>
        <v>88.480801335559264</v>
      </c>
      <c r="K291">
        <v>0.6</v>
      </c>
      <c r="L291">
        <v>0.1</v>
      </c>
      <c r="M291">
        <v>0.7</v>
      </c>
      <c r="N291">
        <v>530</v>
      </c>
      <c r="O291">
        <v>69</v>
      </c>
      <c r="P291">
        <v>0</v>
      </c>
      <c r="Q291">
        <v>11.52</v>
      </c>
      <c r="R291" t="s">
        <v>380</v>
      </c>
      <c r="S291">
        <v>0.3</v>
      </c>
      <c r="U291">
        <v>45</v>
      </c>
    </row>
    <row r="292" spans="1:21" x14ac:dyDescent="0.25">
      <c r="A292" s="2">
        <v>46045.7028587963</v>
      </c>
      <c r="B292" t="s">
        <v>309</v>
      </c>
      <c r="C292" t="s">
        <v>372</v>
      </c>
      <c r="D292">
        <v>3</v>
      </c>
      <c r="E292" t="s">
        <v>194</v>
      </c>
      <c r="F292" t="s">
        <v>373</v>
      </c>
      <c r="G292">
        <f t="shared" si="12"/>
        <v>45.043478260869563</v>
      </c>
      <c r="H292">
        <f t="shared" si="13"/>
        <v>0</v>
      </c>
      <c r="I292">
        <v>43.83</v>
      </c>
      <c r="J292">
        <f t="shared" si="14"/>
        <v>54.956521739130437</v>
      </c>
      <c r="K292">
        <v>0.6</v>
      </c>
      <c r="L292">
        <v>0.1</v>
      </c>
      <c r="M292">
        <v>0.7</v>
      </c>
      <c r="N292">
        <v>316</v>
      </c>
      <c r="O292">
        <v>259</v>
      </c>
      <c r="P292">
        <v>0</v>
      </c>
      <c r="Q292">
        <v>45.04</v>
      </c>
      <c r="R292" t="s">
        <v>390</v>
      </c>
      <c r="S292">
        <v>1.1499999999999999</v>
      </c>
      <c r="U292">
        <v>87</v>
      </c>
    </row>
    <row r="293" spans="1:21" x14ac:dyDescent="0.25">
      <c r="A293" s="2">
        <v>46045.703229166669</v>
      </c>
      <c r="B293" t="s">
        <v>309</v>
      </c>
      <c r="C293" t="s">
        <v>372</v>
      </c>
      <c r="D293">
        <v>3</v>
      </c>
      <c r="E293" t="s">
        <v>197</v>
      </c>
      <c r="F293" t="s">
        <v>373</v>
      </c>
      <c r="G293">
        <f t="shared" si="12"/>
        <v>13.532513181019331</v>
      </c>
      <c r="H293">
        <f t="shared" si="13"/>
        <v>0</v>
      </c>
      <c r="I293">
        <v>43.83</v>
      </c>
      <c r="J293">
        <f t="shared" si="14"/>
        <v>86.46748681898066</v>
      </c>
      <c r="K293">
        <v>0.6</v>
      </c>
      <c r="L293">
        <v>0.1</v>
      </c>
      <c r="M293">
        <v>0.7</v>
      </c>
      <c r="N293">
        <v>492</v>
      </c>
      <c r="O293">
        <v>77</v>
      </c>
      <c r="P293">
        <v>0</v>
      </c>
      <c r="Q293">
        <v>13.53</v>
      </c>
      <c r="R293" t="s">
        <v>383</v>
      </c>
      <c r="S293">
        <v>0.35</v>
      </c>
      <c r="U293">
        <v>98</v>
      </c>
    </row>
    <row r="294" spans="1:21" x14ac:dyDescent="0.25">
      <c r="A294" s="2">
        <v>46045.703553240739</v>
      </c>
      <c r="B294" t="s">
        <v>309</v>
      </c>
      <c r="C294" t="s">
        <v>372</v>
      </c>
      <c r="D294">
        <v>3</v>
      </c>
      <c r="E294" t="s">
        <v>198</v>
      </c>
      <c r="F294" t="s">
        <v>373</v>
      </c>
      <c r="G294">
        <f t="shared" si="12"/>
        <v>94.532374100719423</v>
      </c>
      <c r="H294">
        <f t="shared" si="13"/>
        <v>4.3165467625899279</v>
      </c>
      <c r="I294">
        <v>43.83</v>
      </c>
      <c r="J294">
        <f t="shared" si="14"/>
        <v>1.1510791366906474</v>
      </c>
      <c r="K294">
        <v>0.6</v>
      </c>
      <c r="L294">
        <v>0.1</v>
      </c>
      <c r="M294">
        <v>0.7</v>
      </c>
      <c r="N294">
        <v>8</v>
      </c>
      <c r="O294">
        <v>657</v>
      </c>
      <c r="P294">
        <v>30</v>
      </c>
      <c r="Q294">
        <v>98.85</v>
      </c>
      <c r="R294" t="s">
        <v>391</v>
      </c>
      <c r="S294">
        <v>3.2</v>
      </c>
      <c r="U294">
        <v>5</v>
      </c>
    </row>
    <row r="295" spans="1:21" x14ac:dyDescent="0.25">
      <c r="A295" s="2">
        <v>46045.704039351855</v>
      </c>
      <c r="B295" t="s">
        <v>309</v>
      </c>
      <c r="C295" t="s">
        <v>372</v>
      </c>
      <c r="D295">
        <v>3</v>
      </c>
      <c r="E295" t="s">
        <v>200</v>
      </c>
      <c r="F295" t="s">
        <v>373</v>
      </c>
      <c r="G295">
        <f t="shared" si="12"/>
        <v>17.001545595054097</v>
      </c>
      <c r="H295">
        <f t="shared" si="13"/>
        <v>0.15455950540958269</v>
      </c>
      <c r="I295">
        <v>43.83</v>
      </c>
      <c r="J295">
        <f t="shared" si="14"/>
        <v>82.843894899536323</v>
      </c>
      <c r="K295">
        <v>0.6</v>
      </c>
      <c r="L295">
        <v>0.1</v>
      </c>
      <c r="M295">
        <v>0.7</v>
      </c>
      <c r="N295">
        <v>536</v>
      </c>
      <c r="O295">
        <v>110</v>
      </c>
      <c r="P295">
        <v>1</v>
      </c>
      <c r="Q295">
        <v>17.16</v>
      </c>
      <c r="R295" t="s">
        <v>382</v>
      </c>
      <c r="S295">
        <v>0.48</v>
      </c>
      <c r="U295">
        <v>60</v>
      </c>
    </row>
    <row r="296" spans="1:21" x14ac:dyDescent="0.25">
      <c r="A296" s="2">
        <v>46045.704375000001</v>
      </c>
      <c r="B296" t="s">
        <v>309</v>
      </c>
      <c r="C296" t="s">
        <v>372</v>
      </c>
      <c r="D296">
        <v>3</v>
      </c>
      <c r="E296" t="s">
        <v>202</v>
      </c>
      <c r="F296" t="s">
        <v>373</v>
      </c>
      <c r="G296">
        <f t="shared" si="12"/>
        <v>80.882352941176478</v>
      </c>
      <c r="H296">
        <f t="shared" si="13"/>
        <v>2.7941176470588238</v>
      </c>
      <c r="I296">
        <v>43.83</v>
      </c>
      <c r="J296">
        <f t="shared" si="14"/>
        <v>16.323529411764707</v>
      </c>
      <c r="K296">
        <v>0.6</v>
      </c>
      <c r="L296">
        <v>0.1</v>
      </c>
      <c r="M296">
        <v>0.7</v>
      </c>
      <c r="N296">
        <v>111</v>
      </c>
      <c r="O296">
        <v>550</v>
      </c>
      <c r="P296">
        <v>19</v>
      </c>
      <c r="Q296">
        <v>83.68</v>
      </c>
      <c r="R296" t="s">
        <v>389</v>
      </c>
      <c r="S296">
        <v>2.54</v>
      </c>
      <c r="U296">
        <v>38</v>
      </c>
    </row>
    <row r="297" spans="1:21" x14ac:dyDescent="0.25">
      <c r="A297" s="2">
        <v>46045.704837962963</v>
      </c>
      <c r="B297" t="s">
        <v>309</v>
      </c>
      <c r="C297" t="s">
        <v>372</v>
      </c>
      <c r="D297">
        <v>3</v>
      </c>
      <c r="E297" t="s">
        <v>204</v>
      </c>
      <c r="F297" t="s">
        <v>373</v>
      </c>
      <c r="G297">
        <f t="shared" si="12"/>
        <v>2.2018348623853212</v>
      </c>
      <c r="H297">
        <f t="shared" si="13"/>
        <v>0</v>
      </c>
      <c r="I297">
        <v>43.83</v>
      </c>
      <c r="J297">
        <f t="shared" si="14"/>
        <v>97.798165137614674</v>
      </c>
      <c r="K297">
        <v>0.6</v>
      </c>
      <c r="L297">
        <v>0.1</v>
      </c>
      <c r="M297">
        <v>0.7</v>
      </c>
      <c r="N297">
        <v>533</v>
      </c>
      <c r="O297">
        <v>12</v>
      </c>
      <c r="P297">
        <v>0</v>
      </c>
      <c r="Q297">
        <v>2.2000000000000002</v>
      </c>
      <c r="R297" t="s">
        <v>376</v>
      </c>
      <c r="S297">
        <v>0.06</v>
      </c>
      <c r="U297">
        <v>23</v>
      </c>
    </row>
    <row r="298" spans="1:21" x14ac:dyDescent="0.25">
      <c r="A298" s="2">
        <v>46045.705127314817</v>
      </c>
      <c r="B298" t="s">
        <v>309</v>
      </c>
      <c r="C298" t="s">
        <v>372</v>
      </c>
      <c r="D298">
        <v>3</v>
      </c>
      <c r="E298" t="s">
        <v>207</v>
      </c>
      <c r="F298" t="s">
        <v>373</v>
      </c>
      <c r="G298">
        <f t="shared" si="12"/>
        <v>10.160427807486631</v>
      </c>
      <c r="H298">
        <f t="shared" si="13"/>
        <v>0</v>
      </c>
      <c r="I298">
        <v>43.83</v>
      </c>
      <c r="J298">
        <f t="shared" si="14"/>
        <v>89.839572192513373</v>
      </c>
      <c r="K298">
        <v>0.6</v>
      </c>
      <c r="L298">
        <v>0.1</v>
      </c>
      <c r="M298">
        <v>0.7</v>
      </c>
      <c r="N298">
        <v>504</v>
      </c>
      <c r="O298">
        <v>57</v>
      </c>
      <c r="P298">
        <v>0</v>
      </c>
      <c r="Q298">
        <v>10.16</v>
      </c>
      <c r="R298" t="s">
        <v>380</v>
      </c>
      <c r="S298">
        <v>0.27</v>
      </c>
      <c r="U298">
        <v>75</v>
      </c>
    </row>
    <row r="299" spans="1:21" x14ac:dyDescent="0.25">
      <c r="A299" s="2">
        <v>46045.705439814818</v>
      </c>
      <c r="B299" t="s">
        <v>309</v>
      </c>
      <c r="C299" t="s">
        <v>372</v>
      </c>
      <c r="D299">
        <v>3</v>
      </c>
      <c r="E299" t="s">
        <v>211</v>
      </c>
      <c r="F299" t="s">
        <v>373</v>
      </c>
      <c r="G299">
        <f t="shared" si="12"/>
        <v>4.225352112676056</v>
      </c>
      <c r="H299">
        <f t="shared" si="13"/>
        <v>0</v>
      </c>
      <c r="I299">
        <v>43.83</v>
      </c>
      <c r="J299">
        <f t="shared" si="14"/>
        <v>95.774647887323937</v>
      </c>
      <c r="K299">
        <v>0.6</v>
      </c>
      <c r="L299">
        <v>0.1</v>
      </c>
      <c r="M299">
        <v>0.7</v>
      </c>
      <c r="N299">
        <v>544</v>
      </c>
      <c r="O299">
        <v>24</v>
      </c>
      <c r="P299">
        <v>0</v>
      </c>
      <c r="Q299">
        <v>4.2300000000000004</v>
      </c>
      <c r="R299" t="s">
        <v>375</v>
      </c>
      <c r="S299">
        <v>0.11</v>
      </c>
      <c r="U299">
        <v>68</v>
      </c>
    </row>
    <row r="300" spans="1:21" x14ac:dyDescent="0.25">
      <c r="A300" s="2">
        <v>46045.705740740741</v>
      </c>
      <c r="B300" t="s">
        <v>309</v>
      </c>
      <c r="C300" t="s">
        <v>372</v>
      </c>
      <c r="D300">
        <v>3</v>
      </c>
      <c r="E300" t="s">
        <v>212</v>
      </c>
      <c r="F300" t="s">
        <v>373</v>
      </c>
      <c r="G300">
        <f t="shared" si="12"/>
        <v>46.345256609642298</v>
      </c>
      <c r="H300">
        <f t="shared" si="13"/>
        <v>0.93312597200622094</v>
      </c>
      <c r="I300">
        <v>43.83</v>
      </c>
      <c r="J300">
        <f t="shared" si="14"/>
        <v>52.721617418351471</v>
      </c>
      <c r="K300">
        <v>0.6</v>
      </c>
      <c r="L300">
        <v>0.1</v>
      </c>
      <c r="M300">
        <v>0.7</v>
      </c>
      <c r="N300">
        <v>339</v>
      </c>
      <c r="O300">
        <v>298</v>
      </c>
      <c r="P300">
        <v>6</v>
      </c>
      <c r="Q300">
        <v>47.28</v>
      </c>
      <c r="R300" t="s">
        <v>295</v>
      </c>
      <c r="S300">
        <v>1.25</v>
      </c>
      <c r="U300">
        <v>50</v>
      </c>
    </row>
    <row r="301" spans="1:21" x14ac:dyDescent="0.25">
      <c r="A301" s="2">
        <v>46045.832557870373</v>
      </c>
      <c r="B301" t="s">
        <v>309</v>
      </c>
      <c r="C301" t="s">
        <v>372</v>
      </c>
      <c r="D301">
        <v>3</v>
      </c>
      <c r="E301" t="s">
        <v>33</v>
      </c>
      <c r="F301" t="s">
        <v>388</v>
      </c>
      <c r="G301">
        <f t="shared" si="12"/>
        <v>20.37037037037037</v>
      </c>
      <c r="H301">
        <f t="shared" si="13"/>
        <v>12.345679012345679</v>
      </c>
      <c r="I301">
        <v>43.83</v>
      </c>
      <c r="J301">
        <f t="shared" si="14"/>
        <v>67.283950617283949</v>
      </c>
      <c r="K301">
        <v>0.7</v>
      </c>
      <c r="L301">
        <v>0.1</v>
      </c>
      <c r="M301">
        <v>0.7</v>
      </c>
      <c r="N301">
        <v>436</v>
      </c>
      <c r="O301">
        <v>132</v>
      </c>
      <c r="P301">
        <v>80</v>
      </c>
      <c r="Q301">
        <v>32.72</v>
      </c>
      <c r="R301" t="s">
        <v>378</v>
      </c>
      <c r="S301">
        <v>0.88</v>
      </c>
      <c r="U301">
        <v>76</v>
      </c>
    </row>
    <row r="302" spans="1:21" x14ac:dyDescent="0.25">
      <c r="A302" s="2">
        <v>46045.832951388889</v>
      </c>
      <c r="B302" t="s">
        <v>309</v>
      </c>
      <c r="C302" t="s">
        <v>372</v>
      </c>
      <c r="D302">
        <v>3</v>
      </c>
      <c r="E302" t="s">
        <v>48</v>
      </c>
      <c r="F302" t="s">
        <v>388</v>
      </c>
      <c r="G302">
        <f t="shared" si="12"/>
        <v>0.1392757660167131</v>
      </c>
      <c r="H302">
        <f t="shared" si="13"/>
        <v>0.1392757660167131</v>
      </c>
      <c r="I302">
        <v>43.83</v>
      </c>
      <c r="J302">
        <f t="shared" si="14"/>
        <v>99.721448467966582</v>
      </c>
      <c r="K302">
        <v>0.7</v>
      </c>
      <c r="L302">
        <v>0.1</v>
      </c>
      <c r="M302">
        <v>0.7</v>
      </c>
      <c r="N302">
        <v>716</v>
      </c>
      <c r="O302">
        <v>1</v>
      </c>
      <c r="P302">
        <v>1</v>
      </c>
      <c r="Q302">
        <v>0.28000000000000003</v>
      </c>
      <c r="R302" t="s">
        <v>295</v>
      </c>
      <c r="S302">
        <v>0.01</v>
      </c>
      <c r="U302">
        <v>18</v>
      </c>
    </row>
    <row r="303" spans="1:21" x14ac:dyDescent="0.25">
      <c r="A303" s="2">
        <v>46045.833344907405</v>
      </c>
      <c r="B303" t="s">
        <v>309</v>
      </c>
      <c r="C303" t="s">
        <v>372</v>
      </c>
      <c r="D303">
        <v>3</v>
      </c>
      <c r="E303" t="s">
        <v>58</v>
      </c>
      <c r="F303" t="s">
        <v>388</v>
      </c>
      <c r="G303">
        <f t="shared" si="12"/>
        <v>24.95921696574225</v>
      </c>
      <c r="H303">
        <f t="shared" si="13"/>
        <v>0.32626427406199021</v>
      </c>
      <c r="I303">
        <v>43.83</v>
      </c>
      <c r="J303">
        <f t="shared" si="14"/>
        <v>74.714518760195759</v>
      </c>
      <c r="K303">
        <v>0.7</v>
      </c>
      <c r="L303">
        <v>0.1</v>
      </c>
      <c r="M303">
        <v>0.7</v>
      </c>
      <c r="N303">
        <v>458</v>
      </c>
      <c r="O303">
        <v>153</v>
      </c>
      <c r="P303">
        <v>2</v>
      </c>
      <c r="Q303">
        <v>25.29</v>
      </c>
      <c r="R303" t="s">
        <v>384</v>
      </c>
      <c r="S303">
        <v>0.64</v>
      </c>
      <c r="U303">
        <v>64</v>
      </c>
    </row>
    <row r="304" spans="1:21" x14ac:dyDescent="0.25">
      <c r="A304" s="2">
        <v>46045.833703703705</v>
      </c>
      <c r="B304" t="s">
        <v>309</v>
      </c>
      <c r="C304" t="s">
        <v>372</v>
      </c>
      <c r="D304">
        <v>3</v>
      </c>
      <c r="E304" t="s">
        <v>73</v>
      </c>
      <c r="F304" t="s">
        <v>388</v>
      </c>
      <c r="G304">
        <f t="shared" si="12"/>
        <v>2.9459901800327333</v>
      </c>
      <c r="H304">
        <f t="shared" si="13"/>
        <v>0.32733224222585927</v>
      </c>
      <c r="I304">
        <v>43.83</v>
      </c>
      <c r="J304">
        <f t="shared" si="14"/>
        <v>96.726677577741398</v>
      </c>
      <c r="K304">
        <v>0.7</v>
      </c>
      <c r="L304">
        <v>0.1</v>
      </c>
      <c r="M304">
        <v>0.7</v>
      </c>
      <c r="N304">
        <v>591</v>
      </c>
      <c r="O304">
        <v>18</v>
      </c>
      <c r="P304">
        <v>2</v>
      </c>
      <c r="Q304">
        <v>3.27</v>
      </c>
      <c r="R304" t="s">
        <v>380</v>
      </c>
      <c r="S304">
        <v>0.08</v>
      </c>
      <c r="U304">
        <v>56</v>
      </c>
    </row>
    <row r="305" spans="1:21" x14ac:dyDescent="0.25">
      <c r="A305" s="2">
        <v>46045.834016203706</v>
      </c>
      <c r="B305" t="s">
        <v>309</v>
      </c>
      <c r="C305" t="s">
        <v>372</v>
      </c>
      <c r="D305">
        <v>3</v>
      </c>
      <c r="E305" t="s">
        <v>80</v>
      </c>
      <c r="F305" t="s">
        <v>388</v>
      </c>
      <c r="G305">
        <f t="shared" si="12"/>
        <v>9.667673716012084</v>
      </c>
      <c r="H305">
        <f t="shared" si="13"/>
        <v>4.833836858006042</v>
      </c>
      <c r="I305">
        <v>43.83</v>
      </c>
      <c r="J305">
        <f t="shared" si="14"/>
        <v>85.498489425981873</v>
      </c>
      <c r="K305">
        <v>0.7</v>
      </c>
      <c r="L305">
        <v>0.1</v>
      </c>
      <c r="M305">
        <v>0.7</v>
      </c>
      <c r="N305">
        <v>566</v>
      </c>
      <c r="O305">
        <v>64</v>
      </c>
      <c r="P305">
        <v>32</v>
      </c>
      <c r="Q305">
        <v>14.5</v>
      </c>
      <c r="R305" t="s">
        <v>382</v>
      </c>
      <c r="S305">
        <v>0.41</v>
      </c>
      <c r="U305">
        <v>26</v>
      </c>
    </row>
    <row r="306" spans="1:21" x14ac:dyDescent="0.25">
      <c r="A306" s="2">
        <v>46045.834363425929</v>
      </c>
      <c r="B306" t="s">
        <v>309</v>
      </c>
      <c r="C306" t="s">
        <v>372</v>
      </c>
      <c r="D306">
        <v>3</v>
      </c>
      <c r="E306" t="s">
        <v>93</v>
      </c>
      <c r="F306" t="s">
        <v>388</v>
      </c>
      <c r="G306">
        <f t="shared" si="12"/>
        <v>7.66488413547237</v>
      </c>
      <c r="H306">
        <f t="shared" si="13"/>
        <v>0</v>
      </c>
      <c r="I306">
        <v>43.83</v>
      </c>
      <c r="J306">
        <f t="shared" si="14"/>
        <v>92.335115864527623</v>
      </c>
      <c r="K306">
        <v>0.7</v>
      </c>
      <c r="L306">
        <v>0.1</v>
      </c>
      <c r="M306">
        <v>0.7</v>
      </c>
      <c r="N306">
        <v>518</v>
      </c>
      <c r="O306">
        <v>43</v>
      </c>
      <c r="P306">
        <v>0</v>
      </c>
      <c r="Q306">
        <v>7.66</v>
      </c>
      <c r="R306" t="s">
        <v>375</v>
      </c>
      <c r="S306">
        <v>0.17</v>
      </c>
      <c r="U306">
        <v>54</v>
      </c>
    </row>
    <row r="307" spans="1:21" x14ac:dyDescent="0.25">
      <c r="A307" s="2">
        <v>46045.834675925929</v>
      </c>
      <c r="B307" t="s">
        <v>309</v>
      </c>
      <c r="C307" t="s">
        <v>372</v>
      </c>
      <c r="D307">
        <v>3</v>
      </c>
      <c r="E307" t="s">
        <v>102</v>
      </c>
      <c r="F307" t="s">
        <v>388</v>
      </c>
      <c r="G307">
        <f t="shared" si="12"/>
        <v>31.695721077654515</v>
      </c>
      <c r="H307">
        <f t="shared" si="13"/>
        <v>20.126782884310618</v>
      </c>
      <c r="I307">
        <v>43.83</v>
      </c>
      <c r="J307">
        <f t="shared" si="14"/>
        <v>48.177496038034867</v>
      </c>
      <c r="K307">
        <v>0.7</v>
      </c>
      <c r="L307">
        <v>0.1</v>
      </c>
      <c r="M307">
        <v>0.7</v>
      </c>
      <c r="N307">
        <v>304</v>
      </c>
      <c r="O307">
        <v>200</v>
      </c>
      <c r="P307">
        <v>127</v>
      </c>
      <c r="Q307">
        <v>51.82</v>
      </c>
      <c r="R307" t="s">
        <v>295</v>
      </c>
      <c r="S307">
        <v>1.48</v>
      </c>
      <c r="U307">
        <v>34</v>
      </c>
    </row>
    <row r="308" spans="1:21" x14ac:dyDescent="0.25">
      <c r="A308" s="2">
        <v>46045.835057870368</v>
      </c>
      <c r="B308" t="s">
        <v>309</v>
      </c>
      <c r="C308" t="s">
        <v>372</v>
      </c>
      <c r="D308">
        <v>3</v>
      </c>
      <c r="E308" t="s">
        <v>111</v>
      </c>
      <c r="F308" t="s">
        <v>388</v>
      </c>
      <c r="G308">
        <f t="shared" si="12"/>
        <v>41.497659906396258</v>
      </c>
      <c r="H308">
        <f t="shared" si="13"/>
        <v>18.252730109204368</v>
      </c>
      <c r="I308">
        <v>43.83</v>
      </c>
      <c r="J308">
        <f t="shared" si="14"/>
        <v>40.249609984399378</v>
      </c>
      <c r="K308">
        <v>0.7</v>
      </c>
      <c r="L308">
        <v>0.1</v>
      </c>
      <c r="M308">
        <v>0.7</v>
      </c>
      <c r="N308">
        <v>258</v>
      </c>
      <c r="O308">
        <v>266</v>
      </c>
      <c r="P308">
        <v>117</v>
      </c>
      <c r="Q308">
        <v>59.75</v>
      </c>
      <c r="R308" t="s">
        <v>392</v>
      </c>
      <c r="S308">
        <v>1.57</v>
      </c>
      <c r="U308">
        <v>77</v>
      </c>
    </row>
    <row r="309" spans="1:21" x14ac:dyDescent="0.25">
      <c r="A309" s="2">
        <v>46045.835462962961</v>
      </c>
      <c r="B309" t="s">
        <v>309</v>
      </c>
      <c r="C309" t="s">
        <v>372</v>
      </c>
      <c r="D309">
        <v>3</v>
      </c>
      <c r="E309" t="s">
        <v>121</v>
      </c>
      <c r="F309" t="s">
        <v>388</v>
      </c>
      <c r="G309">
        <f t="shared" si="12"/>
        <v>31.552587646076795</v>
      </c>
      <c r="H309">
        <f t="shared" si="13"/>
        <v>14.858096828046744</v>
      </c>
      <c r="I309">
        <v>43.83</v>
      </c>
      <c r="J309">
        <f t="shared" si="14"/>
        <v>53.589315525876458</v>
      </c>
      <c r="K309">
        <v>0.7</v>
      </c>
      <c r="L309">
        <v>0.1</v>
      </c>
      <c r="M309">
        <v>0.7</v>
      </c>
      <c r="N309">
        <v>321</v>
      </c>
      <c r="O309">
        <v>189</v>
      </c>
      <c r="P309">
        <v>89</v>
      </c>
      <c r="Q309">
        <v>46.41</v>
      </c>
      <c r="R309" t="s">
        <v>390</v>
      </c>
      <c r="S309">
        <v>1.3</v>
      </c>
      <c r="U309">
        <v>28</v>
      </c>
    </row>
    <row r="310" spans="1:21" x14ac:dyDescent="0.25">
      <c r="A310" s="2">
        <v>46045.835844907408</v>
      </c>
      <c r="B310" t="s">
        <v>309</v>
      </c>
      <c r="C310" t="s">
        <v>372</v>
      </c>
      <c r="D310">
        <v>3</v>
      </c>
      <c r="E310" t="s">
        <v>151</v>
      </c>
      <c r="F310" t="s">
        <v>388</v>
      </c>
      <c r="G310">
        <f t="shared" si="12"/>
        <v>27.971014492753621</v>
      </c>
      <c r="H310">
        <f t="shared" si="13"/>
        <v>56.376811594202906</v>
      </c>
      <c r="I310">
        <v>43.83</v>
      </c>
      <c r="J310">
        <f t="shared" si="14"/>
        <v>15.65217391304348</v>
      </c>
      <c r="K310">
        <v>0.7</v>
      </c>
      <c r="L310">
        <v>0.1</v>
      </c>
      <c r="M310">
        <v>0.7</v>
      </c>
      <c r="N310">
        <v>108</v>
      </c>
      <c r="O310">
        <v>193</v>
      </c>
      <c r="P310">
        <v>389</v>
      </c>
      <c r="Q310">
        <v>84.35</v>
      </c>
      <c r="R310" t="s">
        <v>394</v>
      </c>
      <c r="S310">
        <v>2.35</v>
      </c>
      <c r="U310">
        <v>25</v>
      </c>
    </row>
    <row r="311" spans="1:21" x14ac:dyDescent="0.25">
      <c r="A311" s="2">
        <v>46045.83630787037</v>
      </c>
      <c r="B311" t="s">
        <v>309</v>
      </c>
      <c r="C311" t="s">
        <v>372</v>
      </c>
      <c r="D311">
        <v>3</v>
      </c>
      <c r="E311" t="s">
        <v>160</v>
      </c>
      <c r="F311" t="s">
        <v>388</v>
      </c>
      <c r="G311">
        <f t="shared" si="12"/>
        <v>6.7028985507246386</v>
      </c>
      <c r="H311">
        <f t="shared" si="13"/>
        <v>0.18115942028985507</v>
      </c>
      <c r="I311">
        <v>43.83</v>
      </c>
      <c r="J311">
        <f t="shared" si="14"/>
        <v>93.115942028985515</v>
      </c>
      <c r="K311">
        <v>0.7</v>
      </c>
      <c r="L311">
        <v>0.1</v>
      </c>
      <c r="M311">
        <v>0.7</v>
      </c>
      <c r="N311">
        <v>514</v>
      </c>
      <c r="O311">
        <v>37</v>
      </c>
      <c r="P311">
        <v>1</v>
      </c>
      <c r="Q311">
        <v>6.88</v>
      </c>
      <c r="R311" t="s">
        <v>376</v>
      </c>
      <c r="S311">
        <v>0.17</v>
      </c>
      <c r="U311">
        <v>20</v>
      </c>
    </row>
    <row r="312" spans="1:21" x14ac:dyDescent="0.25">
      <c r="A312" s="2">
        <v>46045.836608796293</v>
      </c>
      <c r="B312" t="s">
        <v>309</v>
      </c>
      <c r="C312" t="s">
        <v>372</v>
      </c>
      <c r="D312">
        <v>3</v>
      </c>
      <c r="E312" t="s">
        <v>326</v>
      </c>
      <c r="F312" t="s">
        <v>388</v>
      </c>
      <c r="G312">
        <f t="shared" si="12"/>
        <v>6.5015479876160995</v>
      </c>
      <c r="H312">
        <f t="shared" si="13"/>
        <v>0.46439628482972134</v>
      </c>
      <c r="I312">
        <v>43.83</v>
      </c>
      <c r="J312">
        <f t="shared" si="14"/>
        <v>93.034055727554176</v>
      </c>
      <c r="K312">
        <v>0.7</v>
      </c>
      <c r="L312">
        <v>0.1</v>
      </c>
      <c r="M312">
        <v>0.7</v>
      </c>
      <c r="N312">
        <v>601</v>
      </c>
      <c r="O312">
        <v>42</v>
      </c>
      <c r="P312">
        <v>3</v>
      </c>
      <c r="Q312">
        <v>6.97</v>
      </c>
      <c r="R312" t="s">
        <v>383</v>
      </c>
      <c r="S312">
        <v>0.18</v>
      </c>
      <c r="U312">
        <v>77</v>
      </c>
    </row>
    <row r="313" spans="1:21" x14ac:dyDescent="0.25">
      <c r="A313" s="2">
        <v>46045.83693287037</v>
      </c>
      <c r="B313" t="s">
        <v>309</v>
      </c>
      <c r="C313" t="s">
        <v>372</v>
      </c>
      <c r="D313">
        <v>3</v>
      </c>
      <c r="E313" t="s">
        <v>183</v>
      </c>
      <c r="F313" t="s">
        <v>388</v>
      </c>
      <c r="G313">
        <f t="shared" si="12"/>
        <v>5.7724957555178262</v>
      </c>
      <c r="H313">
        <f t="shared" si="13"/>
        <v>0</v>
      </c>
      <c r="I313">
        <v>43.83</v>
      </c>
      <c r="J313">
        <f t="shared" si="14"/>
        <v>94.227504244482176</v>
      </c>
      <c r="K313">
        <v>0.7</v>
      </c>
      <c r="L313">
        <v>0.1</v>
      </c>
      <c r="M313">
        <v>0.7</v>
      </c>
      <c r="N313">
        <v>555</v>
      </c>
      <c r="O313">
        <v>34</v>
      </c>
      <c r="P313">
        <v>0</v>
      </c>
      <c r="Q313">
        <v>5.77</v>
      </c>
      <c r="R313" t="s">
        <v>375</v>
      </c>
      <c r="S313">
        <v>0.14000000000000001</v>
      </c>
      <c r="U313">
        <v>64</v>
      </c>
    </row>
    <row r="314" spans="1:21" x14ac:dyDescent="0.25">
      <c r="A314" s="2">
        <v>46045.837245370371</v>
      </c>
      <c r="B314" t="s">
        <v>309</v>
      </c>
      <c r="C314" t="s">
        <v>372</v>
      </c>
      <c r="D314">
        <v>3</v>
      </c>
      <c r="E314" t="s">
        <v>192</v>
      </c>
      <c r="F314" t="s">
        <v>388</v>
      </c>
      <c r="G314">
        <f t="shared" si="12"/>
        <v>55.000000000000007</v>
      </c>
      <c r="H314">
        <f t="shared" si="13"/>
        <v>24.032258064516128</v>
      </c>
      <c r="I314">
        <v>43.83</v>
      </c>
      <c r="J314">
        <f t="shared" si="14"/>
        <v>20.967741935483872</v>
      </c>
      <c r="K314">
        <v>0.7</v>
      </c>
      <c r="L314">
        <v>0.1</v>
      </c>
      <c r="M314">
        <v>0.7</v>
      </c>
      <c r="N314">
        <v>130</v>
      </c>
      <c r="O314">
        <v>341</v>
      </c>
      <c r="P314">
        <v>149</v>
      </c>
      <c r="Q314">
        <v>79.03</v>
      </c>
      <c r="R314" t="s">
        <v>386</v>
      </c>
      <c r="S314">
        <v>2.27</v>
      </c>
      <c r="U314">
        <v>29</v>
      </c>
    </row>
    <row r="315" spans="1:21" x14ac:dyDescent="0.25">
      <c r="A315" s="2">
        <v>46045.837685185186</v>
      </c>
      <c r="B315" t="s">
        <v>309</v>
      </c>
      <c r="C315" t="s">
        <v>372</v>
      </c>
      <c r="D315">
        <v>3</v>
      </c>
      <c r="E315" t="s">
        <v>205</v>
      </c>
      <c r="F315" t="s">
        <v>388</v>
      </c>
      <c r="G315">
        <f t="shared" si="12"/>
        <v>55.821371610845297</v>
      </c>
      <c r="H315">
        <f t="shared" si="13"/>
        <v>25.199362041467303</v>
      </c>
      <c r="I315">
        <v>43.83</v>
      </c>
      <c r="J315">
        <f t="shared" si="14"/>
        <v>18.9792663476874</v>
      </c>
      <c r="K315">
        <v>0.7</v>
      </c>
      <c r="L315">
        <v>0.1</v>
      </c>
      <c r="M315">
        <v>0.7</v>
      </c>
      <c r="N315">
        <v>119</v>
      </c>
      <c r="O315">
        <v>350</v>
      </c>
      <c r="P315">
        <v>158</v>
      </c>
      <c r="Q315">
        <v>81.02</v>
      </c>
      <c r="R315" t="s">
        <v>385</v>
      </c>
      <c r="S315">
        <v>2.36</v>
      </c>
      <c r="U315">
        <v>27</v>
      </c>
    </row>
    <row r="316" spans="1:21" x14ac:dyDescent="0.25">
      <c r="A316" s="2">
        <v>46045.837800925925</v>
      </c>
      <c r="B316" t="s">
        <v>309</v>
      </c>
      <c r="C316" t="s">
        <v>372</v>
      </c>
      <c r="D316">
        <v>3</v>
      </c>
      <c r="E316" t="s">
        <v>33</v>
      </c>
      <c r="F316" t="s">
        <v>388</v>
      </c>
      <c r="G316">
        <f t="shared" si="12"/>
        <v>20.37037037037037</v>
      </c>
      <c r="H316">
        <f t="shared" si="13"/>
        <v>12.345679012345679</v>
      </c>
      <c r="I316">
        <v>43.83</v>
      </c>
      <c r="J316">
        <f t="shared" si="14"/>
        <v>67.283950617283949</v>
      </c>
      <c r="K316">
        <v>0.7</v>
      </c>
      <c r="L316">
        <v>0.1</v>
      </c>
      <c r="M316">
        <v>0.7</v>
      </c>
      <c r="N316">
        <v>436</v>
      </c>
      <c r="O316">
        <v>132</v>
      </c>
      <c r="P316">
        <v>80</v>
      </c>
      <c r="Q316">
        <v>32.72</v>
      </c>
      <c r="R316" t="s">
        <v>390</v>
      </c>
      <c r="S316">
        <v>0.88</v>
      </c>
      <c r="U316">
        <v>76</v>
      </c>
    </row>
    <row r="317" spans="1:21" x14ac:dyDescent="0.25">
      <c r="A317" s="2">
        <v>46045.838171296295</v>
      </c>
      <c r="B317" t="s">
        <v>309</v>
      </c>
      <c r="C317" t="s">
        <v>372</v>
      </c>
      <c r="D317">
        <v>3</v>
      </c>
      <c r="E317" t="s">
        <v>48</v>
      </c>
      <c r="F317" t="s">
        <v>388</v>
      </c>
      <c r="G317">
        <f t="shared" si="12"/>
        <v>0.1392757660167131</v>
      </c>
      <c r="H317">
        <f t="shared" si="13"/>
        <v>0.1392757660167131</v>
      </c>
      <c r="I317">
        <v>43.83</v>
      </c>
      <c r="J317">
        <f t="shared" si="14"/>
        <v>99.721448467966582</v>
      </c>
      <c r="K317">
        <v>0.7</v>
      </c>
      <c r="L317">
        <v>0.1</v>
      </c>
      <c r="M317">
        <v>0.7</v>
      </c>
      <c r="N317">
        <v>716</v>
      </c>
      <c r="O317">
        <v>1</v>
      </c>
      <c r="P317">
        <v>1</v>
      </c>
      <c r="Q317">
        <v>0.28000000000000003</v>
      </c>
      <c r="R317" t="s">
        <v>375</v>
      </c>
      <c r="S317">
        <v>0.01</v>
      </c>
      <c r="U317">
        <v>18</v>
      </c>
    </row>
    <row r="318" spans="1:21" x14ac:dyDescent="0.25">
      <c r="A318" s="2">
        <v>46045.838483796295</v>
      </c>
      <c r="B318" t="s">
        <v>309</v>
      </c>
      <c r="C318" t="s">
        <v>372</v>
      </c>
      <c r="D318">
        <v>3</v>
      </c>
      <c r="E318" t="s">
        <v>58</v>
      </c>
      <c r="F318" t="s">
        <v>388</v>
      </c>
      <c r="G318">
        <f t="shared" si="12"/>
        <v>24.95921696574225</v>
      </c>
      <c r="H318">
        <f t="shared" si="13"/>
        <v>0.32626427406199021</v>
      </c>
      <c r="I318">
        <v>43.83</v>
      </c>
      <c r="J318">
        <f t="shared" si="14"/>
        <v>74.714518760195759</v>
      </c>
      <c r="K318">
        <v>0.7</v>
      </c>
      <c r="L318">
        <v>0.1</v>
      </c>
      <c r="M318">
        <v>0.7</v>
      </c>
      <c r="N318">
        <v>458</v>
      </c>
      <c r="O318">
        <v>153</v>
      </c>
      <c r="P318">
        <v>2</v>
      </c>
      <c r="Q318">
        <v>25.29</v>
      </c>
      <c r="R318" t="s">
        <v>382</v>
      </c>
      <c r="S318">
        <v>0.64</v>
      </c>
      <c r="U318">
        <v>64</v>
      </c>
    </row>
    <row r="319" spans="1:21" x14ac:dyDescent="0.25">
      <c r="A319" s="2">
        <v>46045.838831018518</v>
      </c>
      <c r="B319" t="s">
        <v>309</v>
      </c>
      <c r="C319" t="s">
        <v>372</v>
      </c>
      <c r="D319">
        <v>3</v>
      </c>
      <c r="E319" t="s">
        <v>73</v>
      </c>
      <c r="F319" t="s">
        <v>388</v>
      </c>
      <c r="G319">
        <f t="shared" si="12"/>
        <v>2.9459901800327333</v>
      </c>
      <c r="H319">
        <f t="shared" si="13"/>
        <v>0.32733224222585927</v>
      </c>
      <c r="I319">
        <v>43.83</v>
      </c>
      <c r="J319">
        <f t="shared" si="14"/>
        <v>96.726677577741398</v>
      </c>
      <c r="K319">
        <v>0.7</v>
      </c>
      <c r="L319">
        <v>0.1</v>
      </c>
      <c r="M319">
        <v>0.7</v>
      </c>
      <c r="N319">
        <v>591</v>
      </c>
      <c r="O319">
        <v>18</v>
      </c>
      <c r="P319">
        <v>2</v>
      </c>
      <c r="Q319">
        <v>3.27</v>
      </c>
      <c r="R319" t="s">
        <v>375</v>
      </c>
      <c r="S319">
        <v>0.08</v>
      </c>
      <c r="U319">
        <v>56</v>
      </c>
    </row>
    <row r="320" spans="1:21" x14ac:dyDescent="0.25">
      <c r="A320" s="2">
        <v>46045.839131944442</v>
      </c>
      <c r="B320" t="s">
        <v>309</v>
      </c>
      <c r="C320" t="s">
        <v>372</v>
      </c>
      <c r="D320">
        <v>3</v>
      </c>
      <c r="E320" t="s">
        <v>80</v>
      </c>
      <c r="F320" t="s">
        <v>388</v>
      </c>
      <c r="G320">
        <f t="shared" si="12"/>
        <v>9.667673716012084</v>
      </c>
      <c r="H320">
        <f t="shared" si="13"/>
        <v>4.833836858006042</v>
      </c>
      <c r="I320">
        <v>43.83</v>
      </c>
      <c r="J320">
        <f t="shared" si="14"/>
        <v>85.498489425981873</v>
      </c>
      <c r="K320">
        <v>0.7</v>
      </c>
      <c r="L320">
        <v>0.1</v>
      </c>
      <c r="M320">
        <v>0.7</v>
      </c>
      <c r="N320">
        <v>566</v>
      </c>
      <c r="O320">
        <v>64</v>
      </c>
      <c r="P320">
        <v>32</v>
      </c>
      <c r="Q320">
        <v>14.5</v>
      </c>
      <c r="R320" t="s">
        <v>383</v>
      </c>
      <c r="S320">
        <v>0.41</v>
      </c>
      <c r="U320">
        <v>26</v>
      </c>
    </row>
    <row r="321" spans="1:21" x14ac:dyDescent="0.25">
      <c r="A321" s="2">
        <v>46045.839467592596</v>
      </c>
      <c r="B321" t="s">
        <v>309</v>
      </c>
      <c r="C321" t="s">
        <v>372</v>
      </c>
      <c r="D321">
        <v>3</v>
      </c>
      <c r="E321" t="s">
        <v>93</v>
      </c>
      <c r="F321" t="s">
        <v>388</v>
      </c>
      <c r="G321">
        <f t="shared" ref="G321:G384" si="15">(O321/(N321+O321+P321))*100</f>
        <v>7.66488413547237</v>
      </c>
      <c r="H321">
        <f t="shared" ref="H321:H384" si="16">(P321/(O321+P321+N321))*100</f>
        <v>0</v>
      </c>
      <c r="I321">
        <v>43.83</v>
      </c>
      <c r="J321">
        <f t="shared" ref="J321:J384" si="17">(N321/(P321+O321+N321))*100</f>
        <v>92.335115864527623</v>
      </c>
      <c r="K321">
        <v>0.7</v>
      </c>
      <c r="L321">
        <v>0.1</v>
      </c>
      <c r="M321">
        <v>0.7</v>
      </c>
      <c r="N321">
        <v>518</v>
      </c>
      <c r="O321">
        <v>43</v>
      </c>
      <c r="P321">
        <v>0</v>
      </c>
      <c r="Q321">
        <v>7.66</v>
      </c>
      <c r="R321" t="s">
        <v>375</v>
      </c>
      <c r="S321">
        <v>0.17</v>
      </c>
      <c r="U321">
        <v>54</v>
      </c>
    </row>
    <row r="322" spans="1:21" x14ac:dyDescent="0.25">
      <c r="A322" s="2">
        <v>46045.839768518519</v>
      </c>
      <c r="B322" t="s">
        <v>309</v>
      </c>
      <c r="C322" t="s">
        <v>372</v>
      </c>
      <c r="D322">
        <v>3</v>
      </c>
      <c r="E322" t="s">
        <v>102</v>
      </c>
      <c r="F322" t="s">
        <v>388</v>
      </c>
      <c r="G322">
        <f t="shared" si="15"/>
        <v>31.85419968304279</v>
      </c>
      <c r="H322">
        <f t="shared" si="16"/>
        <v>19.968304278922343</v>
      </c>
      <c r="I322">
        <v>43.83</v>
      </c>
      <c r="J322">
        <f t="shared" si="17"/>
        <v>48.177496038034867</v>
      </c>
      <c r="K322">
        <v>0.7</v>
      </c>
      <c r="L322">
        <v>0.1</v>
      </c>
      <c r="M322">
        <v>0.7</v>
      </c>
      <c r="N322">
        <v>304</v>
      </c>
      <c r="O322">
        <v>201</v>
      </c>
      <c r="P322">
        <v>126</v>
      </c>
      <c r="Q322">
        <v>51.82</v>
      </c>
      <c r="R322" t="s">
        <v>295</v>
      </c>
      <c r="S322">
        <v>1.48</v>
      </c>
      <c r="U322">
        <v>34</v>
      </c>
    </row>
    <row r="323" spans="1:21" x14ac:dyDescent="0.25">
      <c r="A323" s="2">
        <v>46045.840150462966</v>
      </c>
      <c r="B323" t="s">
        <v>309</v>
      </c>
      <c r="C323" t="s">
        <v>372</v>
      </c>
      <c r="D323">
        <v>3</v>
      </c>
      <c r="E323" t="s">
        <v>111</v>
      </c>
      <c r="F323" t="s">
        <v>388</v>
      </c>
      <c r="G323">
        <f t="shared" si="15"/>
        <v>41.809672386895471</v>
      </c>
      <c r="H323">
        <f t="shared" si="16"/>
        <v>17.940717628705151</v>
      </c>
      <c r="I323">
        <v>43.83</v>
      </c>
      <c r="J323">
        <f t="shared" si="17"/>
        <v>40.249609984399378</v>
      </c>
      <c r="K323">
        <v>0.7</v>
      </c>
      <c r="L323">
        <v>0.1</v>
      </c>
      <c r="M323">
        <v>0.7</v>
      </c>
      <c r="N323">
        <v>258</v>
      </c>
      <c r="O323">
        <v>268</v>
      </c>
      <c r="P323">
        <v>115</v>
      </c>
      <c r="Q323">
        <v>59.75</v>
      </c>
      <c r="R323" t="s">
        <v>378</v>
      </c>
      <c r="S323">
        <v>1.57</v>
      </c>
      <c r="U323">
        <v>77</v>
      </c>
    </row>
    <row r="324" spans="1:21" x14ac:dyDescent="0.25">
      <c r="A324" s="2">
        <v>46045.840555555558</v>
      </c>
      <c r="B324" t="s">
        <v>309</v>
      </c>
      <c r="C324" t="s">
        <v>372</v>
      </c>
      <c r="D324">
        <v>3</v>
      </c>
      <c r="E324" t="s">
        <v>121</v>
      </c>
      <c r="F324" t="s">
        <v>388</v>
      </c>
      <c r="G324">
        <f t="shared" si="15"/>
        <v>31.719532554257096</v>
      </c>
      <c r="H324">
        <f t="shared" si="16"/>
        <v>14.691151919866444</v>
      </c>
      <c r="I324">
        <v>43.83</v>
      </c>
      <c r="J324">
        <f t="shared" si="17"/>
        <v>53.589315525876458</v>
      </c>
      <c r="K324">
        <v>0.7</v>
      </c>
      <c r="L324">
        <v>0.1</v>
      </c>
      <c r="M324">
        <v>0.7</v>
      </c>
      <c r="N324">
        <v>321</v>
      </c>
      <c r="O324">
        <v>190</v>
      </c>
      <c r="P324">
        <v>88</v>
      </c>
      <c r="Q324">
        <v>46.41</v>
      </c>
      <c r="R324" t="s">
        <v>384</v>
      </c>
      <c r="S324">
        <v>1.3</v>
      </c>
      <c r="U324">
        <v>28</v>
      </c>
    </row>
    <row r="325" spans="1:21" x14ac:dyDescent="0.25">
      <c r="A325" s="2">
        <v>46045.840914351851</v>
      </c>
      <c r="B325" t="s">
        <v>309</v>
      </c>
      <c r="C325" t="s">
        <v>372</v>
      </c>
      <c r="D325">
        <v>3</v>
      </c>
      <c r="E325" t="s">
        <v>151</v>
      </c>
      <c r="F325" t="s">
        <v>388</v>
      </c>
      <c r="G325">
        <f t="shared" si="15"/>
        <v>28.115942028985508</v>
      </c>
      <c r="H325">
        <f t="shared" si="16"/>
        <v>56.231884057971016</v>
      </c>
      <c r="I325">
        <v>43.83</v>
      </c>
      <c r="J325">
        <f t="shared" si="17"/>
        <v>15.65217391304348</v>
      </c>
      <c r="K325">
        <v>0.7</v>
      </c>
      <c r="L325">
        <v>0.1</v>
      </c>
      <c r="M325">
        <v>0.7</v>
      </c>
      <c r="N325">
        <v>108</v>
      </c>
      <c r="O325">
        <v>194</v>
      </c>
      <c r="P325">
        <v>388</v>
      </c>
      <c r="Q325">
        <v>84.35</v>
      </c>
      <c r="R325" t="s">
        <v>389</v>
      </c>
      <c r="S325">
        <v>2.36</v>
      </c>
      <c r="U325">
        <v>25</v>
      </c>
    </row>
    <row r="326" spans="1:21" x14ac:dyDescent="0.25">
      <c r="A326" s="2">
        <v>46045.841365740744</v>
      </c>
      <c r="B326" t="s">
        <v>309</v>
      </c>
      <c r="C326" t="s">
        <v>372</v>
      </c>
      <c r="D326">
        <v>3</v>
      </c>
      <c r="E326" t="s">
        <v>160</v>
      </c>
      <c r="F326" t="s">
        <v>388</v>
      </c>
      <c r="G326">
        <f t="shared" si="15"/>
        <v>6.7028985507246386</v>
      </c>
      <c r="H326">
        <f t="shared" si="16"/>
        <v>0.18115942028985507</v>
      </c>
      <c r="I326">
        <v>43.83</v>
      </c>
      <c r="J326">
        <f t="shared" si="17"/>
        <v>93.115942028985515</v>
      </c>
      <c r="K326">
        <v>0.7</v>
      </c>
      <c r="L326">
        <v>0.1</v>
      </c>
      <c r="M326">
        <v>0.7</v>
      </c>
      <c r="N326">
        <v>514</v>
      </c>
      <c r="O326">
        <v>37</v>
      </c>
      <c r="P326">
        <v>1</v>
      </c>
      <c r="Q326">
        <v>6.88</v>
      </c>
      <c r="R326" t="s">
        <v>376</v>
      </c>
      <c r="S326">
        <v>0.17</v>
      </c>
      <c r="U326">
        <v>20</v>
      </c>
    </row>
    <row r="327" spans="1:21" x14ac:dyDescent="0.25">
      <c r="A327" s="2">
        <v>46045.841666666667</v>
      </c>
      <c r="B327" t="s">
        <v>309</v>
      </c>
      <c r="C327" t="s">
        <v>372</v>
      </c>
      <c r="D327">
        <v>3</v>
      </c>
      <c r="E327" t="s">
        <v>326</v>
      </c>
      <c r="F327" t="s">
        <v>388</v>
      </c>
      <c r="G327">
        <f t="shared" si="15"/>
        <v>6.5015479876160995</v>
      </c>
      <c r="H327">
        <f t="shared" si="16"/>
        <v>0.46439628482972134</v>
      </c>
      <c r="I327">
        <v>43.83</v>
      </c>
      <c r="J327">
        <f t="shared" si="17"/>
        <v>93.034055727554176</v>
      </c>
      <c r="K327">
        <v>0.7</v>
      </c>
      <c r="L327">
        <v>0.1</v>
      </c>
      <c r="M327">
        <v>0.7</v>
      </c>
      <c r="N327">
        <v>601</v>
      </c>
      <c r="O327">
        <v>42</v>
      </c>
      <c r="P327">
        <v>3</v>
      </c>
      <c r="Q327">
        <v>6.97</v>
      </c>
      <c r="R327" t="s">
        <v>383</v>
      </c>
      <c r="S327">
        <v>0.18</v>
      </c>
      <c r="U327">
        <v>77</v>
      </c>
    </row>
    <row r="328" spans="1:21" x14ac:dyDescent="0.25">
      <c r="A328" s="2">
        <v>46045.842002314814</v>
      </c>
      <c r="B328" t="s">
        <v>309</v>
      </c>
      <c r="C328" t="s">
        <v>372</v>
      </c>
      <c r="D328">
        <v>3</v>
      </c>
      <c r="E328" t="s">
        <v>183</v>
      </c>
      <c r="F328" t="s">
        <v>388</v>
      </c>
      <c r="G328">
        <f t="shared" si="15"/>
        <v>5.7724957555178262</v>
      </c>
      <c r="H328">
        <f t="shared" si="16"/>
        <v>0</v>
      </c>
      <c r="I328">
        <v>43.83</v>
      </c>
      <c r="J328">
        <f t="shared" si="17"/>
        <v>94.227504244482176</v>
      </c>
      <c r="K328">
        <v>0.7</v>
      </c>
      <c r="L328">
        <v>0.1</v>
      </c>
      <c r="M328">
        <v>0.7</v>
      </c>
      <c r="N328">
        <v>555</v>
      </c>
      <c r="O328">
        <v>34</v>
      </c>
      <c r="P328">
        <v>0</v>
      </c>
      <c r="Q328">
        <v>5.77</v>
      </c>
      <c r="R328" t="s">
        <v>380</v>
      </c>
      <c r="S328">
        <v>0.14000000000000001</v>
      </c>
      <c r="U328">
        <v>64</v>
      </c>
    </row>
    <row r="329" spans="1:21" x14ac:dyDescent="0.25">
      <c r="A329" s="2">
        <v>46045.842314814814</v>
      </c>
      <c r="B329" t="s">
        <v>309</v>
      </c>
      <c r="C329" t="s">
        <v>372</v>
      </c>
      <c r="D329">
        <v>3</v>
      </c>
      <c r="E329" t="s">
        <v>192</v>
      </c>
      <c r="F329" t="s">
        <v>388</v>
      </c>
      <c r="G329">
        <f t="shared" si="15"/>
        <v>55.967741935483872</v>
      </c>
      <c r="H329">
        <f t="shared" si="16"/>
        <v>23.06451612903226</v>
      </c>
      <c r="I329">
        <v>43.83</v>
      </c>
      <c r="J329">
        <f t="shared" si="17"/>
        <v>20.967741935483872</v>
      </c>
      <c r="K329">
        <v>0.7</v>
      </c>
      <c r="L329">
        <v>0.1</v>
      </c>
      <c r="M329">
        <v>0.7</v>
      </c>
      <c r="N329">
        <v>130</v>
      </c>
      <c r="O329">
        <v>347</v>
      </c>
      <c r="P329">
        <v>143</v>
      </c>
      <c r="Q329">
        <v>79.03</v>
      </c>
      <c r="R329" t="s">
        <v>385</v>
      </c>
      <c r="S329">
        <v>2.27</v>
      </c>
      <c r="U329">
        <v>29</v>
      </c>
    </row>
    <row r="330" spans="1:21" x14ac:dyDescent="0.25">
      <c r="A330" s="2">
        <v>46045.842743055553</v>
      </c>
      <c r="B330" t="s">
        <v>309</v>
      </c>
      <c r="C330" t="s">
        <v>372</v>
      </c>
      <c r="D330">
        <v>3</v>
      </c>
      <c r="E330" t="s">
        <v>205</v>
      </c>
      <c r="F330" t="s">
        <v>388</v>
      </c>
      <c r="G330">
        <f t="shared" si="15"/>
        <v>56.299840510366828</v>
      </c>
      <c r="H330">
        <f t="shared" si="16"/>
        <v>24.720893141945773</v>
      </c>
      <c r="I330">
        <v>43.83</v>
      </c>
      <c r="J330">
        <f t="shared" si="17"/>
        <v>18.9792663476874</v>
      </c>
      <c r="K330">
        <v>0.7</v>
      </c>
      <c r="L330">
        <v>0.1</v>
      </c>
      <c r="M330">
        <v>0.7</v>
      </c>
      <c r="N330">
        <v>119</v>
      </c>
      <c r="O330">
        <v>353</v>
      </c>
      <c r="P330">
        <v>155</v>
      </c>
      <c r="Q330">
        <v>81.02</v>
      </c>
      <c r="R330" t="s">
        <v>387</v>
      </c>
      <c r="S330">
        <v>2.36</v>
      </c>
      <c r="U330">
        <v>27</v>
      </c>
    </row>
    <row r="331" spans="1:21" x14ac:dyDescent="0.25">
      <c r="A331" s="2">
        <v>46045.838206018518</v>
      </c>
      <c r="B331" t="s">
        <v>309</v>
      </c>
      <c r="C331" t="s">
        <v>372</v>
      </c>
      <c r="D331">
        <v>3</v>
      </c>
      <c r="E331" t="s">
        <v>33</v>
      </c>
      <c r="F331" t="s">
        <v>388</v>
      </c>
      <c r="G331">
        <f t="shared" si="15"/>
        <v>20.52469135802469</v>
      </c>
      <c r="H331">
        <f t="shared" si="16"/>
        <v>12.191358024691358</v>
      </c>
      <c r="I331">
        <v>43.83</v>
      </c>
      <c r="J331">
        <f t="shared" si="17"/>
        <v>67.283950617283949</v>
      </c>
      <c r="K331">
        <v>0.7</v>
      </c>
      <c r="L331">
        <v>0.1</v>
      </c>
      <c r="M331">
        <v>0.7</v>
      </c>
      <c r="N331">
        <v>436</v>
      </c>
      <c r="O331">
        <v>133</v>
      </c>
      <c r="P331">
        <v>79</v>
      </c>
      <c r="Q331">
        <v>32.72</v>
      </c>
      <c r="R331" t="s">
        <v>384</v>
      </c>
      <c r="S331">
        <v>0.88</v>
      </c>
      <c r="U331">
        <v>76</v>
      </c>
    </row>
    <row r="332" spans="1:21" x14ac:dyDescent="0.25">
      <c r="A332" s="2">
        <v>46045.838564814818</v>
      </c>
      <c r="B332" t="s">
        <v>309</v>
      </c>
      <c r="C332" t="s">
        <v>372</v>
      </c>
      <c r="D332">
        <v>3</v>
      </c>
      <c r="E332" t="s">
        <v>48</v>
      </c>
      <c r="F332" t="s">
        <v>388</v>
      </c>
      <c r="G332">
        <f t="shared" si="15"/>
        <v>0.1392757660167131</v>
      </c>
      <c r="H332">
        <f t="shared" si="16"/>
        <v>0.1392757660167131</v>
      </c>
      <c r="I332">
        <v>43.83</v>
      </c>
      <c r="J332">
        <f t="shared" si="17"/>
        <v>99.721448467966582</v>
      </c>
      <c r="K332">
        <v>0.7</v>
      </c>
      <c r="L332">
        <v>0.1</v>
      </c>
      <c r="M332">
        <v>0.7</v>
      </c>
      <c r="N332">
        <v>716</v>
      </c>
      <c r="O332">
        <v>1</v>
      </c>
      <c r="P332">
        <v>1</v>
      </c>
      <c r="Q332">
        <v>0.28000000000000003</v>
      </c>
      <c r="R332" t="s">
        <v>380</v>
      </c>
      <c r="S332">
        <v>0.01</v>
      </c>
      <c r="U332">
        <v>18</v>
      </c>
    </row>
    <row r="333" spans="1:21" x14ac:dyDescent="0.25">
      <c r="A333" s="2">
        <v>46045.838888888888</v>
      </c>
      <c r="B333" t="s">
        <v>309</v>
      </c>
      <c r="C333" t="s">
        <v>372</v>
      </c>
      <c r="D333">
        <v>3</v>
      </c>
      <c r="E333" t="s">
        <v>58</v>
      </c>
      <c r="F333" t="s">
        <v>388</v>
      </c>
      <c r="G333">
        <f t="shared" si="15"/>
        <v>24.95921696574225</v>
      </c>
      <c r="H333">
        <f t="shared" si="16"/>
        <v>0.32626427406199021</v>
      </c>
      <c r="I333">
        <v>43.83</v>
      </c>
      <c r="J333">
        <f t="shared" si="17"/>
        <v>74.714518760195759</v>
      </c>
      <c r="K333">
        <v>0.7</v>
      </c>
      <c r="L333">
        <v>0.1</v>
      </c>
      <c r="M333">
        <v>0.7</v>
      </c>
      <c r="N333">
        <v>458</v>
      </c>
      <c r="O333">
        <v>153</v>
      </c>
      <c r="P333">
        <v>2</v>
      </c>
      <c r="Q333">
        <v>25.29</v>
      </c>
      <c r="R333" t="s">
        <v>379</v>
      </c>
      <c r="S333">
        <v>0.64</v>
      </c>
      <c r="U333">
        <v>64</v>
      </c>
    </row>
    <row r="334" spans="1:21" x14ac:dyDescent="0.25">
      <c r="A334" s="2">
        <v>46045.839236111111</v>
      </c>
      <c r="B334" t="s">
        <v>309</v>
      </c>
      <c r="C334" t="s">
        <v>372</v>
      </c>
      <c r="D334">
        <v>3</v>
      </c>
      <c r="E334" t="s">
        <v>73</v>
      </c>
      <c r="F334" t="s">
        <v>388</v>
      </c>
      <c r="G334">
        <f t="shared" si="15"/>
        <v>2.9459901800327333</v>
      </c>
      <c r="H334">
        <f t="shared" si="16"/>
        <v>0.32733224222585927</v>
      </c>
      <c r="I334">
        <v>43.83</v>
      </c>
      <c r="J334">
        <f t="shared" si="17"/>
        <v>96.726677577741398</v>
      </c>
      <c r="K334">
        <v>0.7</v>
      </c>
      <c r="L334">
        <v>0.1</v>
      </c>
      <c r="M334">
        <v>0.7</v>
      </c>
      <c r="N334">
        <v>591</v>
      </c>
      <c r="O334">
        <v>18</v>
      </c>
      <c r="P334">
        <v>2</v>
      </c>
      <c r="Q334">
        <v>3.27</v>
      </c>
      <c r="R334" t="s">
        <v>380</v>
      </c>
      <c r="S334">
        <v>0.08</v>
      </c>
      <c r="U334">
        <v>56</v>
      </c>
    </row>
    <row r="335" spans="1:21" x14ac:dyDescent="0.25">
      <c r="A335" s="2">
        <v>46045.839548611111</v>
      </c>
      <c r="B335" t="s">
        <v>309</v>
      </c>
      <c r="C335" t="s">
        <v>372</v>
      </c>
      <c r="D335">
        <v>3</v>
      </c>
      <c r="E335" t="s">
        <v>80</v>
      </c>
      <c r="F335" t="s">
        <v>388</v>
      </c>
      <c r="G335">
        <f t="shared" si="15"/>
        <v>9.667673716012084</v>
      </c>
      <c r="H335">
        <f t="shared" si="16"/>
        <v>4.833836858006042</v>
      </c>
      <c r="I335">
        <v>43.83</v>
      </c>
      <c r="J335">
        <f t="shared" si="17"/>
        <v>85.498489425981873</v>
      </c>
      <c r="K335">
        <v>0.7</v>
      </c>
      <c r="L335">
        <v>0.1</v>
      </c>
      <c r="M335">
        <v>0.7</v>
      </c>
      <c r="N335">
        <v>566</v>
      </c>
      <c r="O335">
        <v>64</v>
      </c>
      <c r="P335">
        <v>32</v>
      </c>
      <c r="Q335">
        <v>14.5</v>
      </c>
      <c r="R335" t="s">
        <v>383</v>
      </c>
      <c r="S335">
        <v>0.41</v>
      </c>
      <c r="U335">
        <v>26</v>
      </c>
    </row>
    <row r="336" spans="1:21" x14ac:dyDescent="0.25">
      <c r="A336" s="2">
        <v>46045.839884259258</v>
      </c>
      <c r="B336" t="s">
        <v>309</v>
      </c>
      <c r="C336" t="s">
        <v>372</v>
      </c>
      <c r="D336">
        <v>3</v>
      </c>
      <c r="E336" t="s">
        <v>93</v>
      </c>
      <c r="F336" t="s">
        <v>388</v>
      </c>
      <c r="G336">
        <f t="shared" si="15"/>
        <v>7.66488413547237</v>
      </c>
      <c r="H336">
        <f t="shared" si="16"/>
        <v>0</v>
      </c>
      <c r="I336">
        <v>43.83</v>
      </c>
      <c r="J336">
        <f t="shared" si="17"/>
        <v>92.335115864527623</v>
      </c>
      <c r="K336">
        <v>0.7</v>
      </c>
      <c r="L336">
        <v>0.1</v>
      </c>
      <c r="M336">
        <v>0.7</v>
      </c>
      <c r="N336">
        <v>518</v>
      </c>
      <c r="O336">
        <v>43</v>
      </c>
      <c r="P336">
        <v>0</v>
      </c>
      <c r="Q336">
        <v>7.66</v>
      </c>
      <c r="R336" t="s">
        <v>380</v>
      </c>
      <c r="S336">
        <v>0.17</v>
      </c>
      <c r="U336">
        <v>54</v>
      </c>
    </row>
    <row r="337" spans="1:21" x14ac:dyDescent="0.25">
      <c r="A337" s="2">
        <v>46045.840196759258</v>
      </c>
      <c r="B337" t="s">
        <v>309</v>
      </c>
      <c r="C337" t="s">
        <v>372</v>
      </c>
      <c r="D337">
        <v>3</v>
      </c>
      <c r="E337" t="s">
        <v>102</v>
      </c>
      <c r="F337" t="s">
        <v>388</v>
      </c>
      <c r="G337">
        <f t="shared" si="15"/>
        <v>32.646592709984148</v>
      </c>
      <c r="H337">
        <f t="shared" si="16"/>
        <v>19.175911251980981</v>
      </c>
      <c r="I337">
        <v>43.83</v>
      </c>
      <c r="J337">
        <f t="shared" si="17"/>
        <v>48.177496038034867</v>
      </c>
      <c r="K337">
        <v>0.7</v>
      </c>
      <c r="L337">
        <v>0.1</v>
      </c>
      <c r="M337">
        <v>0.7</v>
      </c>
      <c r="N337">
        <v>304</v>
      </c>
      <c r="O337">
        <v>206</v>
      </c>
      <c r="P337">
        <v>121</v>
      </c>
      <c r="Q337">
        <v>51.82</v>
      </c>
      <c r="R337" t="s">
        <v>295</v>
      </c>
      <c r="S337">
        <v>1.49</v>
      </c>
      <c r="U337">
        <v>34</v>
      </c>
    </row>
    <row r="338" spans="1:21" x14ac:dyDescent="0.25">
      <c r="A338" s="2">
        <v>46045.840590277781</v>
      </c>
      <c r="B338" t="s">
        <v>309</v>
      </c>
      <c r="C338" t="s">
        <v>372</v>
      </c>
      <c r="D338">
        <v>3</v>
      </c>
      <c r="E338" t="s">
        <v>111</v>
      </c>
      <c r="F338" t="s">
        <v>388</v>
      </c>
      <c r="G338">
        <f t="shared" si="15"/>
        <v>43.213728549141969</v>
      </c>
      <c r="H338">
        <f t="shared" si="16"/>
        <v>16.536661466458657</v>
      </c>
      <c r="I338">
        <v>43.83</v>
      </c>
      <c r="J338">
        <f t="shared" si="17"/>
        <v>40.249609984399378</v>
      </c>
      <c r="K338">
        <v>0.7</v>
      </c>
      <c r="L338">
        <v>0.1</v>
      </c>
      <c r="M338">
        <v>0.7</v>
      </c>
      <c r="N338">
        <v>258</v>
      </c>
      <c r="O338">
        <v>277</v>
      </c>
      <c r="P338">
        <v>106</v>
      </c>
      <c r="Q338">
        <v>59.75</v>
      </c>
      <c r="R338" t="s">
        <v>378</v>
      </c>
      <c r="S338">
        <v>1.57</v>
      </c>
      <c r="U338">
        <v>77</v>
      </c>
    </row>
    <row r="339" spans="1:21" x14ac:dyDescent="0.25">
      <c r="A339" s="2">
        <v>46045.840983796297</v>
      </c>
      <c r="B339" t="s">
        <v>309</v>
      </c>
      <c r="C339" t="s">
        <v>372</v>
      </c>
      <c r="D339">
        <v>3</v>
      </c>
      <c r="E339" t="s">
        <v>121</v>
      </c>
      <c r="F339" t="s">
        <v>388</v>
      </c>
      <c r="G339">
        <f t="shared" si="15"/>
        <v>32.053422370617696</v>
      </c>
      <c r="H339">
        <f t="shared" si="16"/>
        <v>14.357262103505844</v>
      </c>
      <c r="I339">
        <v>43.83</v>
      </c>
      <c r="J339">
        <f t="shared" si="17"/>
        <v>53.589315525876458</v>
      </c>
      <c r="K339">
        <v>0.7</v>
      </c>
      <c r="L339">
        <v>0.1</v>
      </c>
      <c r="M339">
        <v>0.7</v>
      </c>
      <c r="N339">
        <v>321</v>
      </c>
      <c r="O339">
        <v>192</v>
      </c>
      <c r="P339">
        <v>86</v>
      </c>
      <c r="Q339">
        <v>46.41</v>
      </c>
      <c r="R339" t="s">
        <v>390</v>
      </c>
      <c r="S339">
        <v>1.3</v>
      </c>
      <c r="U339">
        <v>28</v>
      </c>
    </row>
    <row r="340" spans="1:21" x14ac:dyDescent="0.25">
      <c r="A340" s="2">
        <v>46045.841365740744</v>
      </c>
      <c r="B340" t="s">
        <v>309</v>
      </c>
      <c r="C340" t="s">
        <v>372</v>
      </c>
      <c r="D340">
        <v>3</v>
      </c>
      <c r="E340" t="s">
        <v>151</v>
      </c>
      <c r="F340" t="s">
        <v>388</v>
      </c>
      <c r="G340">
        <f t="shared" si="15"/>
        <v>28.840579710144926</v>
      </c>
      <c r="H340">
        <f t="shared" si="16"/>
        <v>55.507246376811594</v>
      </c>
      <c r="I340">
        <v>43.83</v>
      </c>
      <c r="J340">
        <f t="shared" si="17"/>
        <v>15.65217391304348</v>
      </c>
      <c r="K340">
        <v>0.7</v>
      </c>
      <c r="L340">
        <v>0.1</v>
      </c>
      <c r="M340">
        <v>0.7</v>
      </c>
      <c r="N340">
        <v>108</v>
      </c>
      <c r="O340">
        <v>199</v>
      </c>
      <c r="P340">
        <v>383</v>
      </c>
      <c r="Q340">
        <v>84.35</v>
      </c>
      <c r="R340" t="s">
        <v>386</v>
      </c>
      <c r="S340">
        <v>2.36</v>
      </c>
      <c r="U340">
        <v>25</v>
      </c>
    </row>
    <row r="341" spans="1:21" x14ac:dyDescent="0.25">
      <c r="A341" s="2">
        <v>46045.841805555552</v>
      </c>
      <c r="B341" t="s">
        <v>309</v>
      </c>
      <c r="C341" t="s">
        <v>372</v>
      </c>
      <c r="D341">
        <v>3</v>
      </c>
      <c r="E341" t="s">
        <v>160</v>
      </c>
      <c r="F341" t="s">
        <v>388</v>
      </c>
      <c r="G341">
        <f t="shared" si="15"/>
        <v>6.7028985507246386</v>
      </c>
      <c r="H341">
        <f t="shared" si="16"/>
        <v>0.18115942028985507</v>
      </c>
      <c r="I341">
        <v>43.83</v>
      </c>
      <c r="J341">
        <f t="shared" si="17"/>
        <v>93.115942028985515</v>
      </c>
      <c r="K341">
        <v>0.7</v>
      </c>
      <c r="L341">
        <v>0.1</v>
      </c>
      <c r="M341">
        <v>0.7</v>
      </c>
      <c r="N341">
        <v>514</v>
      </c>
      <c r="O341">
        <v>37</v>
      </c>
      <c r="P341">
        <v>1</v>
      </c>
      <c r="Q341">
        <v>6.88</v>
      </c>
      <c r="R341" t="s">
        <v>375</v>
      </c>
      <c r="S341">
        <v>0.17</v>
      </c>
      <c r="U341">
        <v>20</v>
      </c>
    </row>
    <row r="342" spans="1:21" x14ac:dyDescent="0.25">
      <c r="A342" s="2">
        <v>46045.842118055552</v>
      </c>
      <c r="B342" t="s">
        <v>309</v>
      </c>
      <c r="C342" t="s">
        <v>372</v>
      </c>
      <c r="D342">
        <v>3</v>
      </c>
      <c r="E342" t="s">
        <v>326</v>
      </c>
      <c r="F342" t="s">
        <v>388</v>
      </c>
      <c r="G342">
        <f t="shared" si="15"/>
        <v>6.5015479876160995</v>
      </c>
      <c r="H342">
        <f t="shared" si="16"/>
        <v>0.46439628482972134</v>
      </c>
      <c r="I342">
        <v>43.83</v>
      </c>
      <c r="J342">
        <f t="shared" si="17"/>
        <v>93.034055727554176</v>
      </c>
      <c r="K342">
        <v>0.7</v>
      </c>
      <c r="L342">
        <v>0.1</v>
      </c>
      <c r="M342">
        <v>0.7</v>
      </c>
      <c r="N342">
        <v>601</v>
      </c>
      <c r="O342">
        <v>42</v>
      </c>
      <c r="P342">
        <v>3</v>
      </c>
      <c r="Q342">
        <v>6.97</v>
      </c>
      <c r="R342" t="s">
        <v>383</v>
      </c>
      <c r="S342">
        <v>0.18</v>
      </c>
      <c r="U342">
        <v>77</v>
      </c>
    </row>
    <row r="343" spans="1:21" x14ac:dyDescent="0.25">
      <c r="A343" s="2">
        <v>46045.842442129629</v>
      </c>
      <c r="B343" t="s">
        <v>309</v>
      </c>
      <c r="C343" t="s">
        <v>372</v>
      </c>
      <c r="D343">
        <v>3</v>
      </c>
      <c r="E343" t="s">
        <v>183</v>
      </c>
      <c r="F343" t="s">
        <v>388</v>
      </c>
      <c r="G343">
        <f t="shared" si="15"/>
        <v>5.7724957555178262</v>
      </c>
      <c r="H343">
        <f t="shared" si="16"/>
        <v>0</v>
      </c>
      <c r="I343">
        <v>43.83</v>
      </c>
      <c r="J343">
        <f t="shared" si="17"/>
        <v>94.227504244482176</v>
      </c>
      <c r="K343">
        <v>0.7</v>
      </c>
      <c r="L343">
        <v>0.1</v>
      </c>
      <c r="M343">
        <v>0.7</v>
      </c>
      <c r="N343">
        <v>555</v>
      </c>
      <c r="O343">
        <v>34</v>
      </c>
      <c r="P343">
        <v>0</v>
      </c>
      <c r="Q343">
        <v>5.77</v>
      </c>
      <c r="R343" t="s">
        <v>383</v>
      </c>
      <c r="S343">
        <v>0.14000000000000001</v>
      </c>
      <c r="U343">
        <v>64</v>
      </c>
    </row>
    <row r="344" spans="1:21" x14ac:dyDescent="0.25">
      <c r="A344" s="2">
        <v>46045.842766203707</v>
      </c>
      <c r="B344" t="s">
        <v>309</v>
      </c>
      <c r="C344" t="s">
        <v>372</v>
      </c>
      <c r="D344">
        <v>3</v>
      </c>
      <c r="E344" t="s">
        <v>192</v>
      </c>
      <c r="F344" t="s">
        <v>388</v>
      </c>
      <c r="G344">
        <f t="shared" si="15"/>
        <v>56.935483870967744</v>
      </c>
      <c r="H344">
        <f t="shared" si="16"/>
        <v>22.096774193548388</v>
      </c>
      <c r="I344">
        <v>43.83</v>
      </c>
      <c r="J344">
        <f t="shared" si="17"/>
        <v>20.967741935483872</v>
      </c>
      <c r="K344">
        <v>0.7</v>
      </c>
      <c r="L344">
        <v>0.1</v>
      </c>
      <c r="M344">
        <v>0.7</v>
      </c>
      <c r="N344">
        <v>130</v>
      </c>
      <c r="O344">
        <v>353</v>
      </c>
      <c r="P344">
        <v>137</v>
      </c>
      <c r="Q344">
        <v>79.03</v>
      </c>
      <c r="R344" t="s">
        <v>387</v>
      </c>
      <c r="S344">
        <v>2.2799999999999998</v>
      </c>
      <c r="U344">
        <v>29</v>
      </c>
    </row>
    <row r="345" spans="1:21" x14ac:dyDescent="0.25">
      <c r="A345" s="2">
        <v>46045.843194444446</v>
      </c>
      <c r="B345" t="s">
        <v>309</v>
      </c>
      <c r="C345" t="s">
        <v>372</v>
      </c>
      <c r="D345">
        <v>3</v>
      </c>
      <c r="E345" t="s">
        <v>205</v>
      </c>
      <c r="F345" t="s">
        <v>388</v>
      </c>
      <c r="G345">
        <f t="shared" si="15"/>
        <v>56.937799043062199</v>
      </c>
      <c r="H345">
        <f t="shared" si="16"/>
        <v>24.082934609250398</v>
      </c>
      <c r="I345">
        <v>43.83</v>
      </c>
      <c r="J345">
        <f t="shared" si="17"/>
        <v>18.9792663476874</v>
      </c>
      <c r="K345">
        <v>0.7</v>
      </c>
      <c r="L345">
        <v>0.1</v>
      </c>
      <c r="M345">
        <v>0.7</v>
      </c>
      <c r="N345">
        <v>119</v>
      </c>
      <c r="O345">
        <v>357</v>
      </c>
      <c r="P345">
        <v>151</v>
      </c>
      <c r="Q345">
        <v>81.02</v>
      </c>
      <c r="R345" t="s">
        <v>387</v>
      </c>
      <c r="S345">
        <v>2.37</v>
      </c>
      <c r="U345">
        <v>27</v>
      </c>
    </row>
    <row r="346" spans="1:21" x14ac:dyDescent="0.25">
      <c r="A346" s="2">
        <v>46045.737858796296</v>
      </c>
      <c r="B346" t="s">
        <v>309</v>
      </c>
      <c r="C346" t="s">
        <v>372</v>
      </c>
      <c r="D346">
        <v>3</v>
      </c>
      <c r="E346" t="s">
        <v>34</v>
      </c>
      <c r="F346" t="s">
        <v>373</v>
      </c>
      <c r="G346">
        <f t="shared" si="15"/>
        <v>37.258347978910365</v>
      </c>
      <c r="H346">
        <f t="shared" si="16"/>
        <v>0.17574692442882248</v>
      </c>
      <c r="I346">
        <v>43.83</v>
      </c>
      <c r="J346">
        <f t="shared" si="17"/>
        <v>62.565905096660813</v>
      </c>
      <c r="K346">
        <v>0.7</v>
      </c>
      <c r="L346">
        <v>0.1</v>
      </c>
      <c r="M346">
        <v>0.7</v>
      </c>
      <c r="N346">
        <v>356</v>
      </c>
      <c r="O346">
        <v>212</v>
      </c>
      <c r="P346">
        <v>1</v>
      </c>
      <c r="Q346">
        <v>37.43</v>
      </c>
      <c r="R346" t="s">
        <v>385</v>
      </c>
      <c r="S346">
        <v>0.86</v>
      </c>
      <c r="U346">
        <v>94</v>
      </c>
    </row>
    <row r="347" spans="1:21" x14ac:dyDescent="0.25">
      <c r="A347" s="2">
        <v>46045.738287037035</v>
      </c>
      <c r="B347" t="s">
        <v>309</v>
      </c>
      <c r="C347" t="s">
        <v>372</v>
      </c>
      <c r="D347">
        <v>3</v>
      </c>
      <c r="E347" t="s">
        <v>36</v>
      </c>
      <c r="F347" t="s">
        <v>373</v>
      </c>
      <c r="G347">
        <f t="shared" si="15"/>
        <v>19.130434782608695</v>
      </c>
      <c r="H347">
        <f t="shared" si="16"/>
        <v>0.14492753623188406</v>
      </c>
      <c r="I347">
        <v>43.83</v>
      </c>
      <c r="J347">
        <f t="shared" si="17"/>
        <v>80.724637681159422</v>
      </c>
      <c r="K347">
        <v>0.7</v>
      </c>
      <c r="L347">
        <v>0.1</v>
      </c>
      <c r="M347">
        <v>0.7</v>
      </c>
      <c r="N347">
        <v>557</v>
      </c>
      <c r="O347">
        <v>132</v>
      </c>
      <c r="P347">
        <v>1</v>
      </c>
      <c r="Q347">
        <v>19.28</v>
      </c>
      <c r="R347" t="s">
        <v>385</v>
      </c>
      <c r="S347">
        <v>0.54</v>
      </c>
      <c r="U347">
        <v>42</v>
      </c>
    </row>
    <row r="348" spans="1:21" x14ac:dyDescent="0.25">
      <c r="A348" s="2">
        <v>46045.738726851851</v>
      </c>
      <c r="B348" t="s">
        <v>309</v>
      </c>
      <c r="C348" t="s">
        <v>372</v>
      </c>
      <c r="D348">
        <v>3</v>
      </c>
      <c r="E348" t="s">
        <v>41</v>
      </c>
      <c r="F348" t="s">
        <v>373</v>
      </c>
      <c r="G348">
        <f t="shared" si="15"/>
        <v>1.3050570962479608</v>
      </c>
      <c r="H348">
        <f t="shared" si="16"/>
        <v>0</v>
      </c>
      <c r="I348">
        <v>43.83</v>
      </c>
      <c r="J348">
        <f t="shared" si="17"/>
        <v>98.694942903752036</v>
      </c>
      <c r="K348">
        <v>0.7</v>
      </c>
      <c r="L348">
        <v>0.1</v>
      </c>
      <c r="M348">
        <v>0.7</v>
      </c>
      <c r="N348">
        <v>605</v>
      </c>
      <c r="O348">
        <v>8</v>
      </c>
      <c r="P348">
        <v>0</v>
      </c>
      <c r="Q348">
        <v>1.31</v>
      </c>
      <c r="R348" t="s">
        <v>390</v>
      </c>
      <c r="S348">
        <v>0.03</v>
      </c>
      <c r="U348">
        <v>26</v>
      </c>
    </row>
    <row r="349" spans="1:21" x14ac:dyDescent="0.25">
      <c r="A349" s="2">
        <v>46045.739108796297</v>
      </c>
      <c r="B349" t="s">
        <v>309</v>
      </c>
      <c r="C349" t="s">
        <v>372</v>
      </c>
      <c r="D349">
        <v>3</v>
      </c>
      <c r="E349" t="s">
        <v>42</v>
      </c>
      <c r="F349" t="s">
        <v>373</v>
      </c>
      <c r="G349">
        <f t="shared" si="15"/>
        <v>2.6509572901325478</v>
      </c>
      <c r="H349">
        <f t="shared" si="16"/>
        <v>0</v>
      </c>
      <c r="I349">
        <v>43.83</v>
      </c>
      <c r="J349">
        <f t="shared" si="17"/>
        <v>97.349042709867447</v>
      </c>
      <c r="K349">
        <v>0.7</v>
      </c>
      <c r="L349">
        <v>0.1</v>
      </c>
      <c r="M349">
        <v>0.7</v>
      </c>
      <c r="N349">
        <v>661</v>
      </c>
      <c r="O349">
        <v>18</v>
      </c>
      <c r="P349">
        <v>0</v>
      </c>
      <c r="Q349">
        <v>2.65</v>
      </c>
      <c r="R349" t="s">
        <v>378</v>
      </c>
      <c r="S349">
        <v>7.0000000000000007E-2</v>
      </c>
      <c r="U349">
        <v>23</v>
      </c>
    </row>
    <row r="350" spans="1:21" x14ac:dyDescent="0.25">
      <c r="A350" s="2">
        <v>46045.739502314813</v>
      </c>
      <c r="B350" t="s">
        <v>309</v>
      </c>
      <c r="C350" t="s">
        <v>372</v>
      </c>
      <c r="D350">
        <v>3</v>
      </c>
      <c r="E350" t="s">
        <v>43</v>
      </c>
      <c r="F350" t="s">
        <v>373</v>
      </c>
      <c r="G350">
        <f t="shared" si="15"/>
        <v>18.198198198198199</v>
      </c>
      <c r="H350">
        <f t="shared" si="16"/>
        <v>0</v>
      </c>
      <c r="I350">
        <v>43.83</v>
      </c>
      <c r="J350">
        <f t="shared" si="17"/>
        <v>81.801801801801801</v>
      </c>
      <c r="K350">
        <v>0.7</v>
      </c>
      <c r="L350">
        <v>0.1</v>
      </c>
      <c r="M350">
        <v>0.7</v>
      </c>
      <c r="N350">
        <v>454</v>
      </c>
      <c r="O350">
        <v>101</v>
      </c>
      <c r="P350">
        <v>0</v>
      </c>
      <c r="Q350">
        <v>18.2</v>
      </c>
      <c r="R350" t="s">
        <v>392</v>
      </c>
      <c r="S350">
        <v>0.42</v>
      </c>
      <c r="U350">
        <v>158</v>
      </c>
    </row>
    <row r="351" spans="1:21" x14ac:dyDescent="0.25">
      <c r="A351" s="2">
        <v>46045.739918981482</v>
      </c>
      <c r="B351" t="s">
        <v>309</v>
      </c>
      <c r="C351" t="s">
        <v>372</v>
      </c>
      <c r="D351">
        <v>3</v>
      </c>
      <c r="E351" t="s">
        <v>54</v>
      </c>
      <c r="F351" t="s">
        <v>373</v>
      </c>
      <c r="G351">
        <f t="shared" si="15"/>
        <v>0.75642965204236012</v>
      </c>
      <c r="H351">
        <f t="shared" si="16"/>
        <v>0</v>
      </c>
      <c r="I351">
        <v>43.83</v>
      </c>
      <c r="J351">
        <f t="shared" si="17"/>
        <v>99.243570347957643</v>
      </c>
      <c r="K351">
        <v>0.7</v>
      </c>
      <c r="L351">
        <v>0.1</v>
      </c>
      <c r="M351">
        <v>0.7</v>
      </c>
      <c r="N351">
        <v>656</v>
      </c>
      <c r="O351">
        <v>5</v>
      </c>
      <c r="P351">
        <v>0</v>
      </c>
      <c r="Q351">
        <v>0.76</v>
      </c>
      <c r="R351" t="s">
        <v>295</v>
      </c>
      <c r="S351">
        <v>0.02</v>
      </c>
      <c r="U351">
        <v>15</v>
      </c>
    </row>
    <row r="352" spans="1:21" x14ac:dyDescent="0.25">
      <c r="A352" s="2">
        <v>46045.740300925929</v>
      </c>
      <c r="B352" t="s">
        <v>309</v>
      </c>
      <c r="C352" t="s">
        <v>372</v>
      </c>
      <c r="D352">
        <v>3</v>
      </c>
      <c r="E352" t="s">
        <v>75</v>
      </c>
      <c r="F352" t="s">
        <v>373</v>
      </c>
      <c r="G352">
        <f t="shared" si="15"/>
        <v>2.3328149300155521</v>
      </c>
      <c r="H352">
        <f t="shared" si="16"/>
        <v>0</v>
      </c>
      <c r="I352">
        <v>43.83</v>
      </c>
      <c r="J352">
        <f t="shared" si="17"/>
        <v>97.667185069984455</v>
      </c>
      <c r="K352">
        <v>0.7</v>
      </c>
      <c r="L352">
        <v>0.1</v>
      </c>
      <c r="M352">
        <v>0.7</v>
      </c>
      <c r="N352">
        <v>628</v>
      </c>
      <c r="O352">
        <v>15</v>
      </c>
      <c r="P352">
        <v>0</v>
      </c>
      <c r="Q352">
        <v>2.33</v>
      </c>
      <c r="R352" t="s">
        <v>295</v>
      </c>
      <c r="S352">
        <v>0.06</v>
      </c>
      <c r="U352">
        <v>34</v>
      </c>
    </row>
    <row r="353" spans="1:21" x14ac:dyDescent="0.25">
      <c r="A353" s="2">
        <v>46045.740694444445</v>
      </c>
      <c r="B353" t="s">
        <v>309</v>
      </c>
      <c r="C353" t="s">
        <v>372</v>
      </c>
      <c r="D353">
        <v>3</v>
      </c>
      <c r="E353" t="s">
        <v>324</v>
      </c>
      <c r="F353" t="s">
        <v>373</v>
      </c>
      <c r="G353">
        <f t="shared" si="15"/>
        <v>44.705882352941181</v>
      </c>
      <c r="H353">
        <f t="shared" si="16"/>
        <v>0.84033613445378152</v>
      </c>
      <c r="I353">
        <v>43.83</v>
      </c>
      <c r="J353">
        <f t="shared" si="17"/>
        <v>54.45378151260504</v>
      </c>
      <c r="K353">
        <v>0.7</v>
      </c>
      <c r="L353">
        <v>0.1</v>
      </c>
      <c r="M353">
        <v>0.7</v>
      </c>
      <c r="N353">
        <v>324</v>
      </c>
      <c r="O353">
        <v>266</v>
      </c>
      <c r="P353">
        <v>5</v>
      </c>
      <c r="Q353">
        <v>45.55</v>
      </c>
      <c r="R353" t="s">
        <v>394</v>
      </c>
      <c r="S353">
        <v>1.1200000000000001</v>
      </c>
      <c r="U353">
        <v>128</v>
      </c>
    </row>
    <row r="354" spans="1:21" x14ac:dyDescent="0.25">
      <c r="A354" s="2">
        <v>46045.741157407407</v>
      </c>
      <c r="B354" t="s">
        <v>309</v>
      </c>
      <c r="C354" t="s">
        <v>372</v>
      </c>
      <c r="D354">
        <v>3</v>
      </c>
      <c r="E354" t="s">
        <v>118</v>
      </c>
      <c r="F354" t="s">
        <v>373</v>
      </c>
      <c r="G354">
        <f t="shared" si="15"/>
        <v>10.676156583629894</v>
      </c>
      <c r="H354">
        <f t="shared" si="16"/>
        <v>0.1779359430604982</v>
      </c>
      <c r="I354">
        <v>43.83</v>
      </c>
      <c r="J354">
        <f t="shared" si="17"/>
        <v>89.145907473309606</v>
      </c>
      <c r="K354">
        <v>0.7</v>
      </c>
      <c r="L354">
        <v>0.1</v>
      </c>
      <c r="M354">
        <v>0.7</v>
      </c>
      <c r="N354">
        <v>501</v>
      </c>
      <c r="O354">
        <v>60</v>
      </c>
      <c r="P354">
        <v>1</v>
      </c>
      <c r="Q354">
        <v>10.85</v>
      </c>
      <c r="R354" t="s">
        <v>392</v>
      </c>
      <c r="S354">
        <v>0.23</v>
      </c>
      <c r="U354">
        <v>153</v>
      </c>
    </row>
    <row r="355" spans="1:21" x14ac:dyDescent="0.25">
      <c r="A355" s="2">
        <v>46045.741562499999</v>
      </c>
      <c r="B355" t="s">
        <v>309</v>
      </c>
      <c r="C355" t="s">
        <v>372</v>
      </c>
      <c r="D355">
        <v>3</v>
      </c>
      <c r="E355" t="s">
        <v>137</v>
      </c>
      <c r="F355" t="s">
        <v>373</v>
      </c>
      <c r="G355">
        <f t="shared" si="15"/>
        <v>84.992987377279107</v>
      </c>
      <c r="H355">
        <f t="shared" si="16"/>
        <v>1.5427769985974753</v>
      </c>
      <c r="I355">
        <v>43.83</v>
      </c>
      <c r="J355">
        <f t="shared" si="17"/>
        <v>13.464235624123422</v>
      </c>
      <c r="K355">
        <v>0.7</v>
      </c>
      <c r="L355">
        <v>0.1</v>
      </c>
      <c r="M355">
        <v>0.7</v>
      </c>
      <c r="N355">
        <v>96</v>
      </c>
      <c r="O355">
        <v>606</v>
      </c>
      <c r="P355">
        <v>11</v>
      </c>
      <c r="Q355">
        <v>86.54</v>
      </c>
      <c r="R355" t="s">
        <v>395</v>
      </c>
      <c r="S355">
        <v>2.56</v>
      </c>
      <c r="U355">
        <v>39</v>
      </c>
    </row>
    <row r="356" spans="1:21" x14ac:dyDescent="0.25">
      <c r="A356" s="2">
        <v>46045.742118055554</v>
      </c>
      <c r="B356" t="s">
        <v>309</v>
      </c>
      <c r="C356" t="s">
        <v>372</v>
      </c>
      <c r="D356">
        <v>3</v>
      </c>
      <c r="E356" t="s">
        <v>162</v>
      </c>
      <c r="F356" t="s">
        <v>373</v>
      </c>
      <c r="G356">
        <f t="shared" si="15"/>
        <v>1.347305389221557</v>
      </c>
      <c r="H356">
        <f t="shared" si="16"/>
        <v>0.14970059880239522</v>
      </c>
      <c r="I356">
        <v>43.83</v>
      </c>
      <c r="J356">
        <f t="shared" si="17"/>
        <v>98.502994011976057</v>
      </c>
      <c r="K356">
        <v>0.7</v>
      </c>
      <c r="L356">
        <v>0.1</v>
      </c>
      <c r="M356">
        <v>0.7</v>
      </c>
      <c r="N356">
        <v>658</v>
      </c>
      <c r="O356">
        <v>9</v>
      </c>
      <c r="P356">
        <v>1</v>
      </c>
      <c r="Q356">
        <v>1.5</v>
      </c>
      <c r="R356" t="s">
        <v>295</v>
      </c>
      <c r="S356">
        <v>0.04</v>
      </c>
      <c r="U356">
        <v>25</v>
      </c>
    </row>
    <row r="357" spans="1:21" x14ac:dyDescent="0.25">
      <c r="A357" s="2">
        <v>46045.742511574077</v>
      </c>
      <c r="B357" t="s">
        <v>309</v>
      </c>
      <c r="C357" t="s">
        <v>372</v>
      </c>
      <c r="D357">
        <v>3</v>
      </c>
      <c r="E357" t="s">
        <v>179</v>
      </c>
      <c r="F357" t="s">
        <v>373</v>
      </c>
      <c r="G357">
        <f t="shared" si="15"/>
        <v>21.372854914196569</v>
      </c>
      <c r="H357">
        <f t="shared" si="16"/>
        <v>0.15600624024960999</v>
      </c>
      <c r="I357">
        <v>43.83</v>
      </c>
      <c r="J357">
        <f t="shared" si="17"/>
        <v>78.471138845553824</v>
      </c>
      <c r="K357">
        <v>0.7</v>
      </c>
      <c r="L357">
        <v>0.1</v>
      </c>
      <c r="M357">
        <v>0.7</v>
      </c>
      <c r="N357">
        <v>503</v>
      </c>
      <c r="O357">
        <v>137</v>
      </c>
      <c r="P357">
        <v>1</v>
      </c>
      <c r="Q357">
        <v>21.53</v>
      </c>
      <c r="R357" t="s">
        <v>387</v>
      </c>
      <c r="S357">
        <v>0.56999999999999995</v>
      </c>
      <c r="U357">
        <v>83</v>
      </c>
    </row>
    <row r="358" spans="1:21" x14ac:dyDescent="0.25">
      <c r="A358" s="2">
        <v>46045.742939814816</v>
      </c>
      <c r="B358" t="s">
        <v>309</v>
      </c>
      <c r="C358" t="s">
        <v>372</v>
      </c>
      <c r="D358">
        <v>3</v>
      </c>
      <c r="E358" t="s">
        <v>204</v>
      </c>
      <c r="F358" t="s">
        <v>373</v>
      </c>
      <c r="G358">
        <f t="shared" si="15"/>
        <v>1.8416206261510131</v>
      </c>
      <c r="H358">
        <f t="shared" si="16"/>
        <v>0</v>
      </c>
      <c r="I358">
        <v>43.83</v>
      </c>
      <c r="J358">
        <f t="shared" si="17"/>
        <v>98.158379373848987</v>
      </c>
      <c r="K358">
        <v>0.7</v>
      </c>
      <c r="L358">
        <v>0.1</v>
      </c>
      <c r="M358">
        <v>0.7</v>
      </c>
      <c r="N358">
        <v>533</v>
      </c>
      <c r="O358">
        <v>10</v>
      </c>
      <c r="P358">
        <v>0</v>
      </c>
      <c r="Q358">
        <v>1.84</v>
      </c>
      <c r="R358" t="s">
        <v>379</v>
      </c>
      <c r="S358">
        <v>0.05</v>
      </c>
      <c r="U358">
        <v>25</v>
      </c>
    </row>
    <row r="359" spans="1:21" x14ac:dyDescent="0.25">
      <c r="A359" s="2">
        <v>46045.743298611109</v>
      </c>
      <c r="B359" t="s">
        <v>309</v>
      </c>
      <c r="C359" t="s">
        <v>372</v>
      </c>
      <c r="D359">
        <v>3</v>
      </c>
      <c r="E359" t="s">
        <v>207</v>
      </c>
      <c r="F359" t="s">
        <v>373</v>
      </c>
      <c r="G359">
        <f t="shared" si="15"/>
        <v>8.5299455535390205</v>
      </c>
      <c r="H359">
        <f t="shared" si="16"/>
        <v>0</v>
      </c>
      <c r="I359">
        <v>43.83</v>
      </c>
      <c r="J359">
        <f t="shared" si="17"/>
        <v>91.470054446460978</v>
      </c>
      <c r="K359">
        <v>0.7</v>
      </c>
      <c r="L359">
        <v>0.1</v>
      </c>
      <c r="M359">
        <v>0.7</v>
      </c>
      <c r="N359">
        <v>504</v>
      </c>
      <c r="O359">
        <v>47</v>
      </c>
      <c r="P359">
        <v>0</v>
      </c>
      <c r="Q359">
        <v>8.5299999999999994</v>
      </c>
      <c r="R359" t="s">
        <v>390</v>
      </c>
      <c r="S359">
        <v>0.22</v>
      </c>
      <c r="U359">
        <v>85</v>
      </c>
    </row>
    <row r="360" spans="1:21" x14ac:dyDescent="0.25">
      <c r="A360" s="2">
        <v>46045.743668981479</v>
      </c>
      <c r="B360" t="s">
        <v>309</v>
      </c>
      <c r="C360" t="s">
        <v>372</v>
      </c>
      <c r="D360">
        <v>3</v>
      </c>
      <c r="E360" t="s">
        <v>212</v>
      </c>
      <c r="F360" t="s">
        <v>373</v>
      </c>
      <c r="G360">
        <f t="shared" si="15"/>
        <v>45.079365079365083</v>
      </c>
      <c r="H360">
        <f t="shared" si="16"/>
        <v>1.1111111111111112</v>
      </c>
      <c r="I360">
        <v>43.83</v>
      </c>
      <c r="J360">
        <f t="shared" si="17"/>
        <v>53.80952380952381</v>
      </c>
      <c r="K360">
        <v>0.7</v>
      </c>
      <c r="L360">
        <v>0.1</v>
      </c>
      <c r="M360">
        <v>0.7</v>
      </c>
      <c r="N360">
        <v>339</v>
      </c>
      <c r="O360">
        <v>284</v>
      </c>
      <c r="P360">
        <v>7</v>
      </c>
      <c r="Q360">
        <v>46.19</v>
      </c>
      <c r="R360" t="s">
        <v>385</v>
      </c>
      <c r="S360">
        <v>1.2</v>
      </c>
      <c r="U360">
        <v>63</v>
      </c>
    </row>
    <row r="361" spans="1:21" x14ac:dyDescent="0.25">
      <c r="A361" s="2">
        <v>46045.737858796296</v>
      </c>
      <c r="B361" t="s">
        <v>309</v>
      </c>
      <c r="C361" t="s">
        <v>372</v>
      </c>
      <c r="D361">
        <v>3</v>
      </c>
      <c r="E361" t="s">
        <v>34</v>
      </c>
      <c r="F361" t="s">
        <v>373</v>
      </c>
      <c r="G361">
        <f t="shared" si="15"/>
        <v>37.258347978910365</v>
      </c>
      <c r="H361">
        <f t="shared" si="16"/>
        <v>0.17574692442882248</v>
      </c>
      <c r="I361">
        <v>43.83</v>
      </c>
      <c r="J361">
        <f t="shared" si="17"/>
        <v>62.565905096660813</v>
      </c>
      <c r="K361">
        <v>0.7</v>
      </c>
      <c r="L361">
        <v>0.1</v>
      </c>
      <c r="M361">
        <v>0.7</v>
      </c>
      <c r="N361">
        <v>356</v>
      </c>
      <c r="O361">
        <v>212</v>
      </c>
      <c r="P361">
        <v>1</v>
      </c>
      <c r="Q361">
        <v>37.43</v>
      </c>
      <c r="R361" t="s">
        <v>386</v>
      </c>
      <c r="S361">
        <v>0.86</v>
      </c>
      <c r="U361">
        <v>94</v>
      </c>
    </row>
    <row r="362" spans="1:21" x14ac:dyDescent="0.25">
      <c r="A362" s="2">
        <v>46045.738298611112</v>
      </c>
      <c r="B362" t="s">
        <v>309</v>
      </c>
      <c r="C362" t="s">
        <v>372</v>
      </c>
      <c r="D362">
        <v>3</v>
      </c>
      <c r="E362" t="s">
        <v>36</v>
      </c>
      <c r="F362" t="s">
        <v>373</v>
      </c>
      <c r="G362">
        <f t="shared" si="15"/>
        <v>19.130434782608695</v>
      </c>
      <c r="H362">
        <f t="shared" si="16"/>
        <v>0.14492753623188406</v>
      </c>
      <c r="I362">
        <v>43.83</v>
      </c>
      <c r="J362">
        <f t="shared" si="17"/>
        <v>80.724637681159422</v>
      </c>
      <c r="K362">
        <v>0.7</v>
      </c>
      <c r="L362">
        <v>0.1</v>
      </c>
      <c r="M362">
        <v>0.7</v>
      </c>
      <c r="N362">
        <v>557</v>
      </c>
      <c r="O362">
        <v>132</v>
      </c>
      <c r="P362">
        <v>1</v>
      </c>
      <c r="Q362">
        <v>19.28</v>
      </c>
      <c r="R362" t="s">
        <v>386</v>
      </c>
      <c r="S362">
        <v>0.54</v>
      </c>
      <c r="U362">
        <v>42</v>
      </c>
    </row>
    <row r="363" spans="1:21" x14ac:dyDescent="0.25">
      <c r="A363" s="2">
        <v>46045.738749999997</v>
      </c>
      <c r="B363" t="s">
        <v>309</v>
      </c>
      <c r="C363" t="s">
        <v>372</v>
      </c>
      <c r="D363">
        <v>3</v>
      </c>
      <c r="E363" t="s">
        <v>41</v>
      </c>
      <c r="F363" t="s">
        <v>373</v>
      </c>
      <c r="G363">
        <f t="shared" si="15"/>
        <v>1.3050570962479608</v>
      </c>
      <c r="H363">
        <f t="shared" si="16"/>
        <v>0</v>
      </c>
      <c r="I363">
        <v>43.83</v>
      </c>
      <c r="J363">
        <f t="shared" si="17"/>
        <v>98.694942903752036</v>
      </c>
      <c r="K363">
        <v>0.7</v>
      </c>
      <c r="L363">
        <v>0.1</v>
      </c>
      <c r="M363">
        <v>0.7</v>
      </c>
      <c r="N363">
        <v>605</v>
      </c>
      <c r="O363">
        <v>8</v>
      </c>
      <c r="P363">
        <v>0</v>
      </c>
      <c r="Q363">
        <v>1.31</v>
      </c>
      <c r="R363" t="s">
        <v>390</v>
      </c>
      <c r="S363">
        <v>0.03</v>
      </c>
      <c r="U363">
        <v>26</v>
      </c>
    </row>
    <row r="364" spans="1:21" x14ac:dyDescent="0.25">
      <c r="A364" s="2">
        <v>46045.739120370374</v>
      </c>
      <c r="B364" t="s">
        <v>309</v>
      </c>
      <c r="C364" t="s">
        <v>372</v>
      </c>
      <c r="D364">
        <v>3</v>
      </c>
      <c r="E364" t="s">
        <v>42</v>
      </c>
      <c r="F364" t="s">
        <v>373</v>
      </c>
      <c r="G364">
        <f t="shared" si="15"/>
        <v>2.6509572901325478</v>
      </c>
      <c r="H364">
        <f t="shared" si="16"/>
        <v>0</v>
      </c>
      <c r="I364">
        <v>43.83</v>
      </c>
      <c r="J364">
        <f t="shared" si="17"/>
        <v>97.349042709867447</v>
      </c>
      <c r="K364">
        <v>0.7</v>
      </c>
      <c r="L364">
        <v>0.1</v>
      </c>
      <c r="M364">
        <v>0.7</v>
      </c>
      <c r="N364">
        <v>661</v>
      </c>
      <c r="O364">
        <v>18</v>
      </c>
      <c r="P364">
        <v>0</v>
      </c>
      <c r="Q364">
        <v>2.65</v>
      </c>
      <c r="R364" t="s">
        <v>378</v>
      </c>
      <c r="S364">
        <v>7.0000000000000007E-2</v>
      </c>
      <c r="U364">
        <v>23</v>
      </c>
    </row>
    <row r="365" spans="1:21" x14ac:dyDescent="0.25">
      <c r="A365" s="2">
        <v>46045.73951388889</v>
      </c>
      <c r="B365" t="s">
        <v>309</v>
      </c>
      <c r="C365" t="s">
        <v>372</v>
      </c>
      <c r="D365">
        <v>3</v>
      </c>
      <c r="E365" t="s">
        <v>43</v>
      </c>
      <c r="F365" t="s">
        <v>373</v>
      </c>
      <c r="G365">
        <f t="shared" si="15"/>
        <v>18.198198198198199</v>
      </c>
      <c r="H365">
        <f t="shared" si="16"/>
        <v>0</v>
      </c>
      <c r="I365">
        <v>43.83</v>
      </c>
      <c r="J365">
        <f t="shared" si="17"/>
        <v>81.801801801801801</v>
      </c>
      <c r="K365">
        <v>0.7</v>
      </c>
      <c r="L365">
        <v>0.1</v>
      </c>
      <c r="M365">
        <v>0.7</v>
      </c>
      <c r="N365">
        <v>454</v>
      </c>
      <c r="O365">
        <v>101</v>
      </c>
      <c r="P365">
        <v>0</v>
      </c>
      <c r="Q365">
        <v>18.2</v>
      </c>
      <c r="R365" t="s">
        <v>387</v>
      </c>
      <c r="S365">
        <v>0.42</v>
      </c>
      <c r="U365">
        <v>158</v>
      </c>
    </row>
    <row r="366" spans="1:21" x14ac:dyDescent="0.25">
      <c r="A366" s="2">
        <v>46045.739930555559</v>
      </c>
      <c r="B366" t="s">
        <v>309</v>
      </c>
      <c r="C366" t="s">
        <v>372</v>
      </c>
      <c r="D366">
        <v>3</v>
      </c>
      <c r="E366" t="s">
        <v>54</v>
      </c>
      <c r="F366" t="s">
        <v>373</v>
      </c>
      <c r="G366">
        <f t="shared" si="15"/>
        <v>0.75642965204236012</v>
      </c>
      <c r="H366">
        <f t="shared" si="16"/>
        <v>0</v>
      </c>
      <c r="I366">
        <v>43.83</v>
      </c>
      <c r="J366">
        <f t="shared" si="17"/>
        <v>99.243570347957643</v>
      </c>
      <c r="K366">
        <v>0.7</v>
      </c>
      <c r="L366">
        <v>0.1</v>
      </c>
      <c r="M366">
        <v>0.7</v>
      </c>
      <c r="N366">
        <v>656</v>
      </c>
      <c r="O366">
        <v>5</v>
      </c>
      <c r="P366">
        <v>0</v>
      </c>
      <c r="Q366">
        <v>0.76</v>
      </c>
      <c r="R366" t="s">
        <v>295</v>
      </c>
      <c r="S366">
        <v>0.02</v>
      </c>
      <c r="U366">
        <v>15</v>
      </c>
    </row>
    <row r="367" spans="1:21" x14ac:dyDescent="0.25">
      <c r="A367" s="2">
        <v>46045.740324074075</v>
      </c>
      <c r="B367" t="s">
        <v>309</v>
      </c>
      <c r="C367" t="s">
        <v>372</v>
      </c>
      <c r="D367">
        <v>3</v>
      </c>
      <c r="E367" t="s">
        <v>75</v>
      </c>
      <c r="F367" t="s">
        <v>373</v>
      </c>
      <c r="G367">
        <f t="shared" si="15"/>
        <v>2.3328149300155521</v>
      </c>
      <c r="H367">
        <f t="shared" si="16"/>
        <v>0</v>
      </c>
      <c r="I367">
        <v>43.83</v>
      </c>
      <c r="J367">
        <f t="shared" si="17"/>
        <v>97.667185069984455</v>
      </c>
      <c r="K367">
        <v>0.7</v>
      </c>
      <c r="L367">
        <v>0.1</v>
      </c>
      <c r="M367">
        <v>0.7</v>
      </c>
      <c r="N367">
        <v>628</v>
      </c>
      <c r="O367">
        <v>15</v>
      </c>
      <c r="P367">
        <v>0</v>
      </c>
      <c r="Q367">
        <v>2.33</v>
      </c>
      <c r="R367" t="s">
        <v>295</v>
      </c>
      <c r="S367">
        <v>0.06</v>
      </c>
      <c r="U367">
        <v>34</v>
      </c>
    </row>
    <row r="368" spans="1:21" x14ac:dyDescent="0.25">
      <c r="A368" s="2">
        <v>46045.740706018521</v>
      </c>
      <c r="B368" t="s">
        <v>309</v>
      </c>
      <c r="C368" t="s">
        <v>372</v>
      </c>
      <c r="D368">
        <v>3</v>
      </c>
      <c r="E368" t="s">
        <v>324</v>
      </c>
      <c r="F368" t="s">
        <v>373</v>
      </c>
      <c r="G368">
        <f t="shared" si="15"/>
        <v>44.705882352941181</v>
      </c>
      <c r="H368">
        <f t="shared" si="16"/>
        <v>0.84033613445378152</v>
      </c>
      <c r="I368">
        <v>43.83</v>
      </c>
      <c r="J368">
        <f t="shared" si="17"/>
        <v>54.45378151260504</v>
      </c>
      <c r="K368">
        <v>0.7</v>
      </c>
      <c r="L368">
        <v>0.1</v>
      </c>
      <c r="M368">
        <v>0.7</v>
      </c>
      <c r="N368">
        <v>324</v>
      </c>
      <c r="O368">
        <v>266</v>
      </c>
      <c r="P368">
        <v>5</v>
      </c>
      <c r="Q368">
        <v>45.55</v>
      </c>
      <c r="R368" t="s">
        <v>393</v>
      </c>
      <c r="S368">
        <v>1.1200000000000001</v>
      </c>
      <c r="U368">
        <v>128</v>
      </c>
    </row>
    <row r="369" spans="1:21" x14ac:dyDescent="0.25">
      <c r="A369" s="2">
        <v>46045.74119212963</v>
      </c>
      <c r="B369" t="s">
        <v>309</v>
      </c>
      <c r="C369" t="s">
        <v>372</v>
      </c>
      <c r="D369">
        <v>3</v>
      </c>
      <c r="E369" t="s">
        <v>118</v>
      </c>
      <c r="F369" t="s">
        <v>373</v>
      </c>
      <c r="G369">
        <f t="shared" si="15"/>
        <v>10.676156583629894</v>
      </c>
      <c r="H369">
        <f t="shared" si="16"/>
        <v>0.1779359430604982</v>
      </c>
      <c r="I369">
        <v>43.83</v>
      </c>
      <c r="J369">
        <f t="shared" si="17"/>
        <v>89.145907473309606</v>
      </c>
      <c r="K369">
        <v>0.7</v>
      </c>
      <c r="L369">
        <v>0.1</v>
      </c>
      <c r="M369">
        <v>0.7</v>
      </c>
      <c r="N369">
        <v>501</v>
      </c>
      <c r="O369">
        <v>60</v>
      </c>
      <c r="P369">
        <v>1</v>
      </c>
      <c r="Q369">
        <v>10.85</v>
      </c>
      <c r="R369" t="s">
        <v>392</v>
      </c>
      <c r="S369">
        <v>0.23</v>
      </c>
      <c r="U369">
        <v>153</v>
      </c>
    </row>
    <row r="370" spans="1:21" x14ac:dyDescent="0.25">
      <c r="A370" s="2">
        <v>46045.741597222222</v>
      </c>
      <c r="B370" t="s">
        <v>309</v>
      </c>
      <c r="C370" t="s">
        <v>372</v>
      </c>
      <c r="D370">
        <v>3</v>
      </c>
      <c r="E370" t="s">
        <v>137</v>
      </c>
      <c r="F370" t="s">
        <v>373</v>
      </c>
      <c r="G370">
        <f t="shared" si="15"/>
        <v>84.992987377279107</v>
      </c>
      <c r="H370">
        <f t="shared" si="16"/>
        <v>1.5427769985974753</v>
      </c>
      <c r="I370">
        <v>43.83</v>
      </c>
      <c r="J370">
        <f t="shared" si="17"/>
        <v>13.464235624123422</v>
      </c>
      <c r="K370">
        <v>0.7</v>
      </c>
      <c r="L370">
        <v>0.1</v>
      </c>
      <c r="M370">
        <v>0.7</v>
      </c>
      <c r="N370">
        <v>96</v>
      </c>
      <c r="O370">
        <v>606</v>
      </c>
      <c r="P370">
        <v>11</v>
      </c>
      <c r="Q370">
        <v>86.54</v>
      </c>
      <c r="R370" t="s">
        <v>396</v>
      </c>
      <c r="S370">
        <v>2.56</v>
      </c>
      <c r="U370">
        <v>39</v>
      </c>
    </row>
    <row r="371" spans="1:21" x14ac:dyDescent="0.25">
      <c r="A371" s="2">
        <v>46045.742175925923</v>
      </c>
      <c r="B371" t="s">
        <v>309</v>
      </c>
      <c r="C371" t="s">
        <v>372</v>
      </c>
      <c r="D371">
        <v>3</v>
      </c>
      <c r="E371" t="s">
        <v>162</v>
      </c>
      <c r="F371" t="s">
        <v>373</v>
      </c>
      <c r="G371">
        <f t="shared" si="15"/>
        <v>1.347305389221557</v>
      </c>
      <c r="H371">
        <f t="shared" si="16"/>
        <v>0.14970059880239522</v>
      </c>
      <c r="I371">
        <v>43.83</v>
      </c>
      <c r="J371">
        <f t="shared" si="17"/>
        <v>98.502994011976057</v>
      </c>
      <c r="K371">
        <v>0.7</v>
      </c>
      <c r="L371">
        <v>0.1</v>
      </c>
      <c r="M371">
        <v>0.7</v>
      </c>
      <c r="N371">
        <v>658</v>
      </c>
      <c r="O371">
        <v>9</v>
      </c>
      <c r="P371">
        <v>1</v>
      </c>
      <c r="Q371">
        <v>1.5</v>
      </c>
      <c r="R371" t="s">
        <v>295</v>
      </c>
      <c r="S371">
        <v>0.04</v>
      </c>
      <c r="U371">
        <v>25</v>
      </c>
    </row>
    <row r="372" spans="1:21" x14ac:dyDescent="0.25">
      <c r="A372" s="2">
        <v>46045.74255787037</v>
      </c>
      <c r="B372" t="s">
        <v>309</v>
      </c>
      <c r="C372" t="s">
        <v>372</v>
      </c>
      <c r="D372">
        <v>3</v>
      </c>
      <c r="E372" t="s">
        <v>179</v>
      </c>
      <c r="F372" t="s">
        <v>373</v>
      </c>
      <c r="G372">
        <f t="shared" si="15"/>
        <v>21.372854914196569</v>
      </c>
      <c r="H372">
        <f t="shared" si="16"/>
        <v>0.15600624024960999</v>
      </c>
      <c r="I372">
        <v>43.83</v>
      </c>
      <c r="J372">
        <f t="shared" si="17"/>
        <v>78.471138845553824</v>
      </c>
      <c r="K372">
        <v>0.7</v>
      </c>
      <c r="L372">
        <v>0.1</v>
      </c>
      <c r="M372">
        <v>0.7</v>
      </c>
      <c r="N372">
        <v>503</v>
      </c>
      <c r="O372">
        <v>137</v>
      </c>
      <c r="P372">
        <v>1</v>
      </c>
      <c r="Q372">
        <v>21.53</v>
      </c>
      <c r="R372" t="s">
        <v>387</v>
      </c>
      <c r="S372">
        <v>0.56999999999999995</v>
      </c>
      <c r="U372">
        <v>83</v>
      </c>
    </row>
    <row r="373" spans="1:21" x14ac:dyDescent="0.25">
      <c r="A373" s="2">
        <v>46045.742986111109</v>
      </c>
      <c r="B373" t="s">
        <v>309</v>
      </c>
      <c r="C373" t="s">
        <v>372</v>
      </c>
      <c r="D373">
        <v>3</v>
      </c>
      <c r="E373" t="s">
        <v>204</v>
      </c>
      <c r="F373" t="s">
        <v>373</v>
      </c>
      <c r="G373">
        <f t="shared" si="15"/>
        <v>1.8416206261510131</v>
      </c>
      <c r="H373">
        <f t="shared" si="16"/>
        <v>0</v>
      </c>
      <c r="I373">
        <v>43.83</v>
      </c>
      <c r="J373">
        <f t="shared" si="17"/>
        <v>98.158379373848987</v>
      </c>
      <c r="K373">
        <v>0.7</v>
      </c>
      <c r="L373">
        <v>0.1</v>
      </c>
      <c r="M373">
        <v>0.7</v>
      </c>
      <c r="N373">
        <v>533</v>
      </c>
      <c r="O373">
        <v>10</v>
      </c>
      <c r="P373">
        <v>0</v>
      </c>
      <c r="Q373">
        <v>1.84</v>
      </c>
      <c r="R373" t="s">
        <v>379</v>
      </c>
      <c r="S373">
        <v>0.05</v>
      </c>
      <c r="U373">
        <v>25</v>
      </c>
    </row>
    <row r="374" spans="1:21" x14ac:dyDescent="0.25">
      <c r="A374" s="2">
        <v>46045.743344907409</v>
      </c>
      <c r="B374" t="s">
        <v>309</v>
      </c>
      <c r="C374" t="s">
        <v>372</v>
      </c>
      <c r="D374">
        <v>3</v>
      </c>
      <c r="E374" t="s">
        <v>207</v>
      </c>
      <c r="F374" t="s">
        <v>373</v>
      </c>
      <c r="G374">
        <f t="shared" si="15"/>
        <v>8.5299455535390205</v>
      </c>
      <c r="H374">
        <f t="shared" si="16"/>
        <v>0</v>
      </c>
      <c r="I374">
        <v>43.83</v>
      </c>
      <c r="J374">
        <f t="shared" si="17"/>
        <v>91.470054446460978</v>
      </c>
      <c r="K374">
        <v>0.7</v>
      </c>
      <c r="L374">
        <v>0.1</v>
      </c>
      <c r="M374">
        <v>0.7</v>
      </c>
      <c r="N374">
        <v>504</v>
      </c>
      <c r="O374">
        <v>47</v>
      </c>
      <c r="P374">
        <v>0</v>
      </c>
      <c r="Q374">
        <v>8.5299999999999994</v>
      </c>
      <c r="R374" t="s">
        <v>390</v>
      </c>
      <c r="S374">
        <v>0.22</v>
      </c>
      <c r="U374">
        <v>85</v>
      </c>
    </row>
    <row r="375" spans="1:21" x14ac:dyDescent="0.25">
      <c r="A375" s="2">
        <v>46045.743726851855</v>
      </c>
      <c r="B375" t="s">
        <v>309</v>
      </c>
      <c r="C375" t="s">
        <v>372</v>
      </c>
      <c r="D375">
        <v>3</v>
      </c>
      <c r="E375" t="s">
        <v>212</v>
      </c>
      <c r="F375" t="s">
        <v>373</v>
      </c>
      <c r="G375">
        <f t="shared" si="15"/>
        <v>45.079365079365083</v>
      </c>
      <c r="H375">
        <f t="shared" si="16"/>
        <v>1.1111111111111112</v>
      </c>
      <c r="I375">
        <v>43.83</v>
      </c>
      <c r="J375">
        <f t="shared" si="17"/>
        <v>53.80952380952381</v>
      </c>
      <c r="K375">
        <v>0.7</v>
      </c>
      <c r="L375">
        <v>0.1</v>
      </c>
      <c r="M375">
        <v>0.7</v>
      </c>
      <c r="N375">
        <v>339</v>
      </c>
      <c r="O375">
        <v>284</v>
      </c>
      <c r="P375">
        <v>7</v>
      </c>
      <c r="Q375">
        <v>46.19</v>
      </c>
      <c r="R375" t="s">
        <v>386</v>
      </c>
      <c r="S375">
        <v>1.2</v>
      </c>
      <c r="U375">
        <v>63</v>
      </c>
    </row>
    <row r="376" spans="1:21" x14ac:dyDescent="0.25">
      <c r="A376" s="2">
        <v>46045.744201388887</v>
      </c>
      <c r="B376" t="s">
        <v>309</v>
      </c>
      <c r="C376" t="s">
        <v>372</v>
      </c>
      <c r="D376">
        <v>3</v>
      </c>
      <c r="E376" t="s">
        <v>34</v>
      </c>
      <c r="F376" t="s">
        <v>373</v>
      </c>
      <c r="G376">
        <f t="shared" si="15"/>
        <v>37.258347978910365</v>
      </c>
      <c r="H376">
        <f t="shared" si="16"/>
        <v>0.17574692442882248</v>
      </c>
      <c r="I376">
        <v>43.83</v>
      </c>
      <c r="J376">
        <f t="shared" si="17"/>
        <v>62.565905096660813</v>
      </c>
      <c r="K376">
        <v>0.7</v>
      </c>
      <c r="L376">
        <v>0.1</v>
      </c>
      <c r="M376">
        <v>0.7</v>
      </c>
      <c r="N376">
        <v>356</v>
      </c>
      <c r="O376">
        <v>212</v>
      </c>
      <c r="P376">
        <v>1</v>
      </c>
      <c r="Q376">
        <v>37.43</v>
      </c>
      <c r="R376" t="s">
        <v>387</v>
      </c>
      <c r="S376">
        <v>0.86</v>
      </c>
      <c r="U376">
        <v>94</v>
      </c>
    </row>
    <row r="377" spans="1:21" x14ac:dyDescent="0.25">
      <c r="A377" s="2">
        <v>46045.744629629633</v>
      </c>
      <c r="B377" t="s">
        <v>309</v>
      </c>
      <c r="C377" t="s">
        <v>372</v>
      </c>
      <c r="D377">
        <v>3</v>
      </c>
      <c r="E377" t="s">
        <v>36</v>
      </c>
      <c r="F377" t="s">
        <v>373</v>
      </c>
      <c r="G377">
        <f t="shared" si="15"/>
        <v>19.130434782608695</v>
      </c>
      <c r="H377">
        <f t="shared" si="16"/>
        <v>0.14492753623188406</v>
      </c>
      <c r="I377">
        <v>43.83</v>
      </c>
      <c r="J377">
        <f t="shared" si="17"/>
        <v>80.724637681159422</v>
      </c>
      <c r="K377">
        <v>0.7</v>
      </c>
      <c r="L377">
        <v>0.1</v>
      </c>
      <c r="M377">
        <v>0.7</v>
      </c>
      <c r="N377">
        <v>557</v>
      </c>
      <c r="O377">
        <v>132</v>
      </c>
      <c r="P377">
        <v>1</v>
      </c>
      <c r="Q377">
        <v>19.28</v>
      </c>
      <c r="R377" t="s">
        <v>392</v>
      </c>
      <c r="S377">
        <v>0.54</v>
      </c>
      <c r="U377">
        <v>42</v>
      </c>
    </row>
    <row r="378" spans="1:21" x14ac:dyDescent="0.25">
      <c r="A378" s="2">
        <v>46045.745034722226</v>
      </c>
      <c r="B378" t="s">
        <v>309</v>
      </c>
      <c r="C378" t="s">
        <v>372</v>
      </c>
      <c r="D378">
        <v>3</v>
      </c>
      <c r="E378" t="s">
        <v>41</v>
      </c>
      <c r="F378" t="s">
        <v>373</v>
      </c>
      <c r="G378">
        <f t="shared" si="15"/>
        <v>1.3050570962479608</v>
      </c>
      <c r="H378">
        <f t="shared" si="16"/>
        <v>0</v>
      </c>
      <c r="I378">
        <v>43.83</v>
      </c>
      <c r="J378">
        <f t="shared" si="17"/>
        <v>98.694942903752036</v>
      </c>
      <c r="K378">
        <v>0.7</v>
      </c>
      <c r="L378">
        <v>0.1</v>
      </c>
      <c r="M378">
        <v>0.7</v>
      </c>
      <c r="N378">
        <v>605</v>
      </c>
      <c r="O378">
        <v>8</v>
      </c>
      <c r="P378">
        <v>0</v>
      </c>
      <c r="Q378">
        <v>1.31</v>
      </c>
      <c r="R378" t="s">
        <v>390</v>
      </c>
      <c r="S378">
        <v>0.03</v>
      </c>
      <c r="U378">
        <v>26</v>
      </c>
    </row>
    <row r="379" spans="1:21" x14ac:dyDescent="0.25">
      <c r="A379" s="2">
        <v>46045.745405092595</v>
      </c>
      <c r="B379" t="s">
        <v>309</v>
      </c>
      <c r="C379" t="s">
        <v>372</v>
      </c>
      <c r="D379">
        <v>3</v>
      </c>
      <c r="E379" t="s">
        <v>42</v>
      </c>
      <c r="F379" t="s">
        <v>373</v>
      </c>
      <c r="G379">
        <f t="shared" si="15"/>
        <v>2.6509572901325478</v>
      </c>
      <c r="H379">
        <f t="shared" si="16"/>
        <v>0</v>
      </c>
      <c r="I379">
        <v>43.83</v>
      </c>
      <c r="J379">
        <f t="shared" si="17"/>
        <v>97.349042709867447</v>
      </c>
      <c r="K379">
        <v>0.7</v>
      </c>
      <c r="L379">
        <v>0.1</v>
      </c>
      <c r="M379">
        <v>0.7</v>
      </c>
      <c r="N379">
        <v>661</v>
      </c>
      <c r="O379">
        <v>18</v>
      </c>
      <c r="P379">
        <v>0</v>
      </c>
      <c r="Q379">
        <v>2.65</v>
      </c>
      <c r="R379" t="s">
        <v>390</v>
      </c>
      <c r="S379">
        <v>7.0000000000000007E-2</v>
      </c>
      <c r="U379">
        <v>23</v>
      </c>
    </row>
    <row r="380" spans="1:21" x14ac:dyDescent="0.25">
      <c r="A380" s="2">
        <v>46045.745787037034</v>
      </c>
      <c r="B380" t="s">
        <v>309</v>
      </c>
      <c r="C380" t="s">
        <v>372</v>
      </c>
      <c r="D380">
        <v>3</v>
      </c>
      <c r="E380" t="s">
        <v>43</v>
      </c>
      <c r="F380" t="s">
        <v>373</v>
      </c>
      <c r="G380">
        <f t="shared" si="15"/>
        <v>18.198198198198199</v>
      </c>
      <c r="H380">
        <f t="shared" si="16"/>
        <v>0</v>
      </c>
      <c r="I380">
        <v>43.83</v>
      </c>
      <c r="J380">
        <f t="shared" si="17"/>
        <v>81.801801801801801</v>
      </c>
      <c r="K380">
        <v>0.7</v>
      </c>
      <c r="L380">
        <v>0.1</v>
      </c>
      <c r="M380">
        <v>0.7</v>
      </c>
      <c r="N380">
        <v>454</v>
      </c>
      <c r="O380">
        <v>101</v>
      </c>
      <c r="P380">
        <v>0</v>
      </c>
      <c r="Q380">
        <v>18.2</v>
      </c>
      <c r="R380" t="s">
        <v>392</v>
      </c>
      <c r="S380">
        <v>0.42</v>
      </c>
      <c r="U380">
        <v>158</v>
      </c>
    </row>
    <row r="381" spans="1:21" x14ac:dyDescent="0.25">
      <c r="A381" s="2">
        <v>46045.746203703704</v>
      </c>
      <c r="B381" t="s">
        <v>309</v>
      </c>
      <c r="C381" t="s">
        <v>372</v>
      </c>
      <c r="D381">
        <v>3</v>
      </c>
      <c r="E381" t="s">
        <v>54</v>
      </c>
      <c r="F381" t="s">
        <v>373</v>
      </c>
      <c r="G381">
        <f t="shared" si="15"/>
        <v>0.75642965204236012</v>
      </c>
      <c r="H381">
        <f t="shared" si="16"/>
        <v>0</v>
      </c>
      <c r="I381">
        <v>43.83</v>
      </c>
      <c r="J381">
        <f t="shared" si="17"/>
        <v>99.243570347957643</v>
      </c>
      <c r="K381">
        <v>0.7</v>
      </c>
      <c r="L381">
        <v>0.1</v>
      </c>
      <c r="M381">
        <v>0.7</v>
      </c>
      <c r="N381">
        <v>656</v>
      </c>
      <c r="O381">
        <v>5</v>
      </c>
      <c r="P381">
        <v>0</v>
      </c>
      <c r="Q381">
        <v>0.76</v>
      </c>
      <c r="R381" t="s">
        <v>390</v>
      </c>
      <c r="S381">
        <v>0.02</v>
      </c>
      <c r="U381">
        <v>15</v>
      </c>
    </row>
    <row r="382" spans="1:21" x14ac:dyDescent="0.25">
      <c r="A382" s="2">
        <v>46045.746574074074</v>
      </c>
      <c r="B382" t="s">
        <v>309</v>
      </c>
      <c r="C382" t="s">
        <v>372</v>
      </c>
      <c r="D382">
        <v>3</v>
      </c>
      <c r="E382" t="s">
        <v>75</v>
      </c>
      <c r="F382" t="s">
        <v>373</v>
      </c>
      <c r="G382">
        <f t="shared" si="15"/>
        <v>2.3328149300155521</v>
      </c>
      <c r="H382">
        <f t="shared" si="16"/>
        <v>0</v>
      </c>
      <c r="I382">
        <v>43.83</v>
      </c>
      <c r="J382">
        <f t="shared" si="17"/>
        <v>97.667185069984455</v>
      </c>
      <c r="K382">
        <v>0.7</v>
      </c>
      <c r="L382">
        <v>0.1</v>
      </c>
      <c r="M382">
        <v>0.7</v>
      </c>
      <c r="N382">
        <v>628</v>
      </c>
      <c r="O382">
        <v>15</v>
      </c>
      <c r="P382">
        <v>0</v>
      </c>
      <c r="Q382">
        <v>2.33</v>
      </c>
      <c r="R382" t="s">
        <v>378</v>
      </c>
      <c r="S382">
        <v>0.06</v>
      </c>
      <c r="U382">
        <v>34</v>
      </c>
    </row>
    <row r="383" spans="1:21" x14ac:dyDescent="0.25">
      <c r="A383" s="2">
        <v>46045.746979166666</v>
      </c>
      <c r="B383" t="s">
        <v>309</v>
      </c>
      <c r="C383" t="s">
        <v>372</v>
      </c>
      <c r="D383">
        <v>3</v>
      </c>
      <c r="E383" t="s">
        <v>324</v>
      </c>
      <c r="F383" t="s">
        <v>373</v>
      </c>
      <c r="G383">
        <f t="shared" si="15"/>
        <v>44.705882352941181</v>
      </c>
      <c r="H383">
        <f t="shared" si="16"/>
        <v>0.84033613445378152</v>
      </c>
      <c r="I383">
        <v>43.83</v>
      </c>
      <c r="J383">
        <f t="shared" si="17"/>
        <v>54.45378151260504</v>
      </c>
      <c r="K383">
        <v>0.7</v>
      </c>
      <c r="L383">
        <v>0.1</v>
      </c>
      <c r="M383">
        <v>0.7</v>
      </c>
      <c r="N383">
        <v>324</v>
      </c>
      <c r="O383">
        <v>266</v>
      </c>
      <c r="P383">
        <v>5</v>
      </c>
      <c r="Q383">
        <v>45.55</v>
      </c>
      <c r="R383" t="s">
        <v>386</v>
      </c>
      <c r="S383">
        <v>1.1200000000000001</v>
      </c>
      <c r="U383">
        <v>128</v>
      </c>
    </row>
    <row r="384" spans="1:21" x14ac:dyDescent="0.25">
      <c r="A384" s="2">
        <v>46045.747418981482</v>
      </c>
      <c r="B384" t="s">
        <v>309</v>
      </c>
      <c r="C384" t="s">
        <v>372</v>
      </c>
      <c r="D384">
        <v>3</v>
      </c>
      <c r="E384" t="s">
        <v>118</v>
      </c>
      <c r="F384" t="s">
        <v>373</v>
      </c>
      <c r="G384">
        <f t="shared" si="15"/>
        <v>10.676156583629894</v>
      </c>
      <c r="H384">
        <f t="shared" si="16"/>
        <v>0.1779359430604982</v>
      </c>
      <c r="I384">
        <v>43.83</v>
      </c>
      <c r="J384">
        <f t="shared" si="17"/>
        <v>89.145907473309606</v>
      </c>
      <c r="K384">
        <v>0.7</v>
      </c>
      <c r="L384">
        <v>0.1</v>
      </c>
      <c r="M384">
        <v>0.7</v>
      </c>
      <c r="N384">
        <v>501</v>
      </c>
      <c r="O384">
        <v>60</v>
      </c>
      <c r="P384">
        <v>1</v>
      </c>
      <c r="Q384">
        <v>10.85</v>
      </c>
      <c r="R384" t="s">
        <v>378</v>
      </c>
      <c r="S384">
        <v>0.23</v>
      </c>
      <c r="U384">
        <v>153</v>
      </c>
    </row>
    <row r="385" spans="1:21" x14ac:dyDescent="0.25">
      <c r="A385" s="2">
        <v>46045.747824074075</v>
      </c>
      <c r="B385" t="s">
        <v>309</v>
      </c>
      <c r="C385" t="s">
        <v>372</v>
      </c>
      <c r="D385">
        <v>3</v>
      </c>
      <c r="E385" t="s">
        <v>137</v>
      </c>
      <c r="F385" t="s">
        <v>373</v>
      </c>
      <c r="G385">
        <f t="shared" ref="G385:G448" si="18">(O385/(N385+O385+P385))*100</f>
        <v>84.992987377279107</v>
      </c>
      <c r="H385">
        <f t="shared" ref="H385:H448" si="19">(P385/(O385+P385+N385))*100</f>
        <v>1.5427769985974753</v>
      </c>
      <c r="I385">
        <v>43.83</v>
      </c>
      <c r="J385">
        <f t="shared" ref="J385:J448" si="20">(N385/(P385+O385+N385))*100</f>
        <v>13.464235624123422</v>
      </c>
      <c r="K385">
        <v>0.7</v>
      </c>
      <c r="L385">
        <v>0.1</v>
      </c>
      <c r="M385">
        <v>0.7</v>
      </c>
      <c r="N385">
        <v>96</v>
      </c>
      <c r="O385">
        <v>606</v>
      </c>
      <c r="P385">
        <v>11</v>
      </c>
      <c r="Q385">
        <v>86.54</v>
      </c>
      <c r="R385" t="s">
        <v>397</v>
      </c>
      <c r="S385">
        <v>2.56</v>
      </c>
      <c r="U385">
        <v>39</v>
      </c>
    </row>
    <row r="386" spans="1:21" x14ac:dyDescent="0.25">
      <c r="A386" s="2">
        <v>46045.748368055552</v>
      </c>
      <c r="B386" t="s">
        <v>309</v>
      </c>
      <c r="C386" t="s">
        <v>372</v>
      </c>
      <c r="D386">
        <v>3</v>
      </c>
      <c r="E386" t="s">
        <v>162</v>
      </c>
      <c r="F386" t="s">
        <v>373</v>
      </c>
      <c r="G386">
        <f t="shared" si="18"/>
        <v>1.347305389221557</v>
      </c>
      <c r="H386">
        <f t="shared" si="19"/>
        <v>0.14970059880239522</v>
      </c>
      <c r="I386">
        <v>43.83</v>
      </c>
      <c r="J386">
        <f t="shared" si="20"/>
        <v>98.502994011976057</v>
      </c>
      <c r="K386">
        <v>0.7</v>
      </c>
      <c r="L386">
        <v>0.1</v>
      </c>
      <c r="M386">
        <v>0.7</v>
      </c>
      <c r="N386">
        <v>658</v>
      </c>
      <c r="O386">
        <v>9</v>
      </c>
      <c r="P386">
        <v>1</v>
      </c>
      <c r="Q386">
        <v>1.5</v>
      </c>
      <c r="R386" t="s">
        <v>295</v>
      </c>
      <c r="S386">
        <v>0.04</v>
      </c>
      <c r="U386">
        <v>25</v>
      </c>
    </row>
    <row r="387" spans="1:21" x14ac:dyDescent="0.25">
      <c r="A387" s="2">
        <v>46045.748749999999</v>
      </c>
      <c r="B387" t="s">
        <v>309</v>
      </c>
      <c r="C387" t="s">
        <v>372</v>
      </c>
      <c r="D387">
        <v>3</v>
      </c>
      <c r="E387" t="s">
        <v>179</v>
      </c>
      <c r="F387" t="s">
        <v>373</v>
      </c>
      <c r="G387">
        <f t="shared" si="18"/>
        <v>21.372854914196569</v>
      </c>
      <c r="H387">
        <f t="shared" si="19"/>
        <v>0.15600624024960999</v>
      </c>
      <c r="I387">
        <v>43.83</v>
      </c>
      <c r="J387">
        <f t="shared" si="20"/>
        <v>78.471138845553824</v>
      </c>
      <c r="K387">
        <v>0.7</v>
      </c>
      <c r="L387">
        <v>0.1</v>
      </c>
      <c r="M387">
        <v>0.7</v>
      </c>
      <c r="N387">
        <v>503</v>
      </c>
      <c r="O387">
        <v>137</v>
      </c>
      <c r="P387">
        <v>1</v>
      </c>
      <c r="Q387">
        <v>21.53</v>
      </c>
      <c r="R387" t="s">
        <v>387</v>
      </c>
      <c r="S387">
        <v>0.56999999999999995</v>
      </c>
      <c r="U387">
        <v>83</v>
      </c>
    </row>
    <row r="388" spans="1:21" x14ac:dyDescent="0.25">
      <c r="A388" s="2">
        <v>46045.749178240738</v>
      </c>
      <c r="B388" t="s">
        <v>309</v>
      </c>
      <c r="C388" t="s">
        <v>372</v>
      </c>
      <c r="D388">
        <v>3</v>
      </c>
      <c r="E388" t="s">
        <v>204</v>
      </c>
      <c r="F388" t="s">
        <v>373</v>
      </c>
      <c r="G388">
        <f t="shared" si="18"/>
        <v>1.8416206261510131</v>
      </c>
      <c r="H388">
        <f t="shared" si="19"/>
        <v>0</v>
      </c>
      <c r="I388">
        <v>43.83</v>
      </c>
      <c r="J388">
        <f t="shared" si="20"/>
        <v>98.158379373848987</v>
      </c>
      <c r="K388">
        <v>0.7</v>
      </c>
      <c r="L388">
        <v>0.1</v>
      </c>
      <c r="M388">
        <v>0.7</v>
      </c>
      <c r="N388">
        <v>533</v>
      </c>
      <c r="O388">
        <v>10</v>
      </c>
      <c r="P388">
        <v>0</v>
      </c>
      <c r="Q388">
        <v>1.84</v>
      </c>
      <c r="R388" t="s">
        <v>379</v>
      </c>
      <c r="S388">
        <v>0.05</v>
      </c>
      <c r="U388">
        <v>25</v>
      </c>
    </row>
    <row r="389" spans="1:21" x14ac:dyDescent="0.25">
      <c r="A389" s="2">
        <v>46045.749525462961</v>
      </c>
      <c r="B389" t="s">
        <v>309</v>
      </c>
      <c r="C389" t="s">
        <v>372</v>
      </c>
      <c r="D389">
        <v>3</v>
      </c>
      <c r="E389" t="s">
        <v>207</v>
      </c>
      <c r="F389" t="s">
        <v>373</v>
      </c>
      <c r="G389">
        <f t="shared" si="18"/>
        <v>8.5299455535390205</v>
      </c>
      <c r="H389">
        <f t="shared" si="19"/>
        <v>0</v>
      </c>
      <c r="I389">
        <v>43.83</v>
      </c>
      <c r="J389">
        <f t="shared" si="20"/>
        <v>91.470054446460978</v>
      </c>
      <c r="K389">
        <v>0.7</v>
      </c>
      <c r="L389">
        <v>0.1</v>
      </c>
      <c r="M389">
        <v>0.7</v>
      </c>
      <c r="N389">
        <v>504</v>
      </c>
      <c r="O389">
        <v>47</v>
      </c>
      <c r="P389">
        <v>0</v>
      </c>
      <c r="Q389">
        <v>8.5299999999999994</v>
      </c>
      <c r="R389" t="s">
        <v>384</v>
      </c>
      <c r="S389">
        <v>0.22</v>
      </c>
      <c r="U389">
        <v>85</v>
      </c>
    </row>
    <row r="390" spans="1:21" x14ac:dyDescent="0.25">
      <c r="A390" s="2">
        <v>46045.749895833331</v>
      </c>
      <c r="B390" t="s">
        <v>309</v>
      </c>
      <c r="C390" t="s">
        <v>372</v>
      </c>
      <c r="D390">
        <v>3</v>
      </c>
      <c r="E390" t="s">
        <v>212</v>
      </c>
      <c r="F390" t="s">
        <v>373</v>
      </c>
      <c r="G390">
        <f t="shared" si="18"/>
        <v>45.079365079365083</v>
      </c>
      <c r="H390">
        <f t="shared" si="19"/>
        <v>1.1111111111111112</v>
      </c>
      <c r="I390">
        <v>43.83</v>
      </c>
      <c r="J390">
        <f t="shared" si="20"/>
        <v>53.80952380952381</v>
      </c>
      <c r="K390">
        <v>0.7</v>
      </c>
      <c r="L390">
        <v>0.1</v>
      </c>
      <c r="M390">
        <v>0.7</v>
      </c>
      <c r="N390">
        <v>339</v>
      </c>
      <c r="O390">
        <v>284</v>
      </c>
      <c r="P390">
        <v>7</v>
      </c>
      <c r="Q390">
        <v>46.19</v>
      </c>
      <c r="R390" t="s">
        <v>389</v>
      </c>
      <c r="S390">
        <v>1.2</v>
      </c>
      <c r="U390">
        <v>63</v>
      </c>
    </row>
    <row r="391" spans="1:21" x14ac:dyDescent="0.25">
      <c r="A391" s="2">
        <v>46045.744259259256</v>
      </c>
      <c r="B391" t="s">
        <v>309</v>
      </c>
      <c r="C391" t="s">
        <v>372</v>
      </c>
      <c r="D391">
        <v>3</v>
      </c>
      <c r="E391" t="s">
        <v>34</v>
      </c>
      <c r="F391" t="s">
        <v>373</v>
      </c>
      <c r="G391">
        <f t="shared" si="18"/>
        <v>37.258347978910365</v>
      </c>
      <c r="H391">
        <f t="shared" si="19"/>
        <v>0.17574692442882248</v>
      </c>
      <c r="I391">
        <v>43.83</v>
      </c>
      <c r="J391">
        <f t="shared" si="20"/>
        <v>62.565905096660813</v>
      </c>
      <c r="K391">
        <v>0.7</v>
      </c>
      <c r="L391">
        <v>0.1</v>
      </c>
      <c r="M391">
        <v>0.7</v>
      </c>
      <c r="N391">
        <v>356</v>
      </c>
      <c r="O391">
        <v>212</v>
      </c>
      <c r="P391">
        <v>1</v>
      </c>
      <c r="Q391">
        <v>37.43</v>
      </c>
      <c r="R391" t="s">
        <v>387</v>
      </c>
      <c r="S391">
        <v>0.86</v>
      </c>
      <c r="U391">
        <v>94</v>
      </c>
    </row>
    <row r="392" spans="1:21" x14ac:dyDescent="0.25">
      <c r="A392" s="2">
        <v>46045.744675925926</v>
      </c>
      <c r="B392" t="s">
        <v>309</v>
      </c>
      <c r="C392" t="s">
        <v>372</v>
      </c>
      <c r="D392">
        <v>3</v>
      </c>
      <c r="E392" t="s">
        <v>36</v>
      </c>
      <c r="F392" t="s">
        <v>373</v>
      </c>
      <c r="G392">
        <f t="shared" si="18"/>
        <v>19.130434782608695</v>
      </c>
      <c r="H392">
        <f t="shared" si="19"/>
        <v>0.14492753623188406</v>
      </c>
      <c r="I392">
        <v>43.83</v>
      </c>
      <c r="J392">
        <f t="shared" si="20"/>
        <v>80.724637681159422</v>
      </c>
      <c r="K392">
        <v>0.7</v>
      </c>
      <c r="L392">
        <v>0.1</v>
      </c>
      <c r="M392">
        <v>0.7</v>
      </c>
      <c r="N392">
        <v>557</v>
      </c>
      <c r="O392">
        <v>132</v>
      </c>
      <c r="P392">
        <v>1</v>
      </c>
      <c r="Q392">
        <v>19.28</v>
      </c>
      <c r="R392" t="s">
        <v>392</v>
      </c>
      <c r="S392">
        <v>0.54</v>
      </c>
      <c r="U392">
        <v>42</v>
      </c>
    </row>
    <row r="393" spans="1:21" x14ac:dyDescent="0.25">
      <c r="A393" s="2">
        <v>46045.745092592595</v>
      </c>
      <c r="B393" t="s">
        <v>309</v>
      </c>
      <c r="C393" t="s">
        <v>372</v>
      </c>
      <c r="D393">
        <v>3</v>
      </c>
      <c r="E393" t="s">
        <v>41</v>
      </c>
      <c r="F393" t="s">
        <v>373</v>
      </c>
      <c r="G393">
        <f t="shared" si="18"/>
        <v>1.3050570962479608</v>
      </c>
      <c r="H393">
        <f t="shared" si="19"/>
        <v>0</v>
      </c>
      <c r="I393">
        <v>43.83</v>
      </c>
      <c r="J393">
        <f t="shared" si="20"/>
        <v>98.694942903752036</v>
      </c>
      <c r="K393">
        <v>0.7</v>
      </c>
      <c r="L393">
        <v>0.1</v>
      </c>
      <c r="M393">
        <v>0.7</v>
      </c>
      <c r="N393">
        <v>605</v>
      </c>
      <c r="O393">
        <v>8</v>
      </c>
      <c r="P393">
        <v>0</v>
      </c>
      <c r="Q393">
        <v>1.31</v>
      </c>
      <c r="R393" t="s">
        <v>390</v>
      </c>
      <c r="S393">
        <v>0.03</v>
      </c>
      <c r="U393">
        <v>26</v>
      </c>
    </row>
    <row r="394" spans="1:21" x14ac:dyDescent="0.25">
      <c r="A394" s="2">
        <v>46045.745474537034</v>
      </c>
      <c r="B394" t="s">
        <v>309</v>
      </c>
      <c r="C394" t="s">
        <v>372</v>
      </c>
      <c r="D394">
        <v>3</v>
      </c>
      <c r="E394" t="s">
        <v>42</v>
      </c>
      <c r="F394" t="s">
        <v>373</v>
      </c>
      <c r="G394">
        <f t="shared" si="18"/>
        <v>2.6509572901325478</v>
      </c>
      <c r="H394">
        <f t="shared" si="19"/>
        <v>0</v>
      </c>
      <c r="I394">
        <v>43.83</v>
      </c>
      <c r="J394">
        <f t="shared" si="20"/>
        <v>97.349042709867447</v>
      </c>
      <c r="K394">
        <v>0.7</v>
      </c>
      <c r="L394">
        <v>0.1</v>
      </c>
      <c r="M394">
        <v>0.7</v>
      </c>
      <c r="N394">
        <v>661</v>
      </c>
      <c r="O394">
        <v>18</v>
      </c>
      <c r="P394">
        <v>0</v>
      </c>
      <c r="Q394">
        <v>2.65</v>
      </c>
      <c r="R394" t="s">
        <v>390</v>
      </c>
      <c r="S394">
        <v>7.0000000000000007E-2</v>
      </c>
      <c r="U394">
        <v>23</v>
      </c>
    </row>
    <row r="395" spans="1:21" x14ac:dyDescent="0.25">
      <c r="A395" s="2">
        <v>46045.745856481481</v>
      </c>
      <c r="B395" t="s">
        <v>309</v>
      </c>
      <c r="C395" t="s">
        <v>372</v>
      </c>
      <c r="D395">
        <v>3</v>
      </c>
      <c r="E395" t="s">
        <v>43</v>
      </c>
      <c r="F395" t="s">
        <v>373</v>
      </c>
      <c r="G395">
        <f t="shared" si="18"/>
        <v>18.198198198198199</v>
      </c>
      <c r="H395">
        <f t="shared" si="19"/>
        <v>0</v>
      </c>
      <c r="I395">
        <v>43.83</v>
      </c>
      <c r="J395">
        <f t="shared" si="20"/>
        <v>81.801801801801801</v>
      </c>
      <c r="K395">
        <v>0.7</v>
      </c>
      <c r="L395">
        <v>0.1</v>
      </c>
      <c r="M395">
        <v>0.7</v>
      </c>
      <c r="N395">
        <v>454</v>
      </c>
      <c r="O395">
        <v>101</v>
      </c>
      <c r="P395">
        <v>0</v>
      </c>
      <c r="Q395">
        <v>18.2</v>
      </c>
      <c r="R395" t="s">
        <v>392</v>
      </c>
      <c r="S395">
        <v>0.42</v>
      </c>
      <c r="U395">
        <v>158</v>
      </c>
    </row>
    <row r="396" spans="1:21" x14ac:dyDescent="0.25">
      <c r="A396" s="2">
        <v>46045.746261574073</v>
      </c>
      <c r="B396" t="s">
        <v>309</v>
      </c>
      <c r="C396" t="s">
        <v>372</v>
      </c>
      <c r="D396">
        <v>3</v>
      </c>
      <c r="E396" t="s">
        <v>54</v>
      </c>
      <c r="F396" t="s">
        <v>373</v>
      </c>
      <c r="G396">
        <f t="shared" si="18"/>
        <v>0.75642965204236012</v>
      </c>
      <c r="H396">
        <f t="shared" si="19"/>
        <v>0</v>
      </c>
      <c r="I396">
        <v>43.83</v>
      </c>
      <c r="J396">
        <f t="shared" si="20"/>
        <v>99.243570347957643</v>
      </c>
      <c r="K396">
        <v>0.7</v>
      </c>
      <c r="L396">
        <v>0.1</v>
      </c>
      <c r="M396">
        <v>0.7</v>
      </c>
      <c r="N396">
        <v>656</v>
      </c>
      <c r="O396">
        <v>5</v>
      </c>
      <c r="P396">
        <v>0</v>
      </c>
      <c r="Q396">
        <v>0.76</v>
      </c>
      <c r="R396" t="s">
        <v>390</v>
      </c>
      <c r="S396">
        <v>0.02</v>
      </c>
      <c r="U396">
        <v>15</v>
      </c>
    </row>
    <row r="397" spans="1:21" x14ac:dyDescent="0.25">
      <c r="A397" s="2">
        <v>46045.746631944443</v>
      </c>
      <c r="B397" t="s">
        <v>309</v>
      </c>
      <c r="C397" t="s">
        <v>372</v>
      </c>
      <c r="D397">
        <v>3</v>
      </c>
      <c r="E397" t="s">
        <v>75</v>
      </c>
      <c r="F397" t="s">
        <v>373</v>
      </c>
      <c r="G397">
        <f t="shared" si="18"/>
        <v>2.3328149300155521</v>
      </c>
      <c r="H397">
        <f t="shared" si="19"/>
        <v>0</v>
      </c>
      <c r="I397">
        <v>43.83</v>
      </c>
      <c r="J397">
        <f t="shared" si="20"/>
        <v>97.667185069984455</v>
      </c>
      <c r="K397">
        <v>0.7</v>
      </c>
      <c r="L397">
        <v>0.1</v>
      </c>
      <c r="M397">
        <v>0.7</v>
      </c>
      <c r="N397">
        <v>628</v>
      </c>
      <c r="O397">
        <v>15</v>
      </c>
      <c r="P397">
        <v>0</v>
      </c>
      <c r="Q397">
        <v>2.33</v>
      </c>
      <c r="R397" t="s">
        <v>295</v>
      </c>
      <c r="S397">
        <v>0.06</v>
      </c>
      <c r="U397">
        <v>34</v>
      </c>
    </row>
    <row r="398" spans="1:21" x14ac:dyDescent="0.25">
      <c r="A398" s="2">
        <v>46045.747025462966</v>
      </c>
      <c r="B398" t="s">
        <v>309</v>
      </c>
      <c r="C398" t="s">
        <v>372</v>
      </c>
      <c r="D398">
        <v>3</v>
      </c>
      <c r="E398" t="s">
        <v>324</v>
      </c>
      <c r="F398" t="s">
        <v>373</v>
      </c>
      <c r="G398">
        <f t="shared" si="18"/>
        <v>44.705882352941181</v>
      </c>
      <c r="H398">
        <f t="shared" si="19"/>
        <v>0.84033613445378152</v>
      </c>
      <c r="I398">
        <v>43.83</v>
      </c>
      <c r="J398">
        <f t="shared" si="20"/>
        <v>54.45378151260504</v>
      </c>
      <c r="K398">
        <v>0.7</v>
      </c>
      <c r="L398">
        <v>0.1</v>
      </c>
      <c r="M398">
        <v>0.7</v>
      </c>
      <c r="N398">
        <v>324</v>
      </c>
      <c r="O398">
        <v>266</v>
      </c>
      <c r="P398">
        <v>5</v>
      </c>
      <c r="Q398">
        <v>45.55</v>
      </c>
      <c r="R398" t="s">
        <v>386</v>
      </c>
      <c r="S398">
        <v>1.1200000000000001</v>
      </c>
      <c r="U398">
        <v>128</v>
      </c>
    </row>
    <row r="399" spans="1:21" x14ac:dyDescent="0.25">
      <c r="A399" s="2">
        <v>46045.747476851851</v>
      </c>
      <c r="B399" t="s">
        <v>309</v>
      </c>
      <c r="C399" t="s">
        <v>372</v>
      </c>
      <c r="D399">
        <v>3</v>
      </c>
      <c r="E399" t="s">
        <v>118</v>
      </c>
      <c r="F399" t="s">
        <v>373</v>
      </c>
      <c r="G399">
        <f t="shared" si="18"/>
        <v>10.676156583629894</v>
      </c>
      <c r="H399">
        <f t="shared" si="19"/>
        <v>0.1779359430604982</v>
      </c>
      <c r="I399">
        <v>43.83</v>
      </c>
      <c r="J399">
        <f t="shared" si="20"/>
        <v>89.145907473309606</v>
      </c>
      <c r="K399">
        <v>0.7</v>
      </c>
      <c r="L399">
        <v>0.1</v>
      </c>
      <c r="M399">
        <v>0.7</v>
      </c>
      <c r="N399">
        <v>501</v>
      </c>
      <c r="O399">
        <v>60</v>
      </c>
      <c r="P399">
        <v>1</v>
      </c>
      <c r="Q399">
        <v>10.85</v>
      </c>
      <c r="R399" t="s">
        <v>295</v>
      </c>
      <c r="S399">
        <v>0.23</v>
      </c>
      <c r="U399">
        <v>153</v>
      </c>
    </row>
    <row r="400" spans="1:21" x14ac:dyDescent="0.25">
      <c r="A400" s="2">
        <v>46045.747870370367</v>
      </c>
      <c r="B400" t="s">
        <v>309</v>
      </c>
      <c r="C400" t="s">
        <v>372</v>
      </c>
      <c r="D400">
        <v>3</v>
      </c>
      <c r="E400" t="s">
        <v>137</v>
      </c>
      <c r="F400" t="s">
        <v>373</v>
      </c>
      <c r="G400">
        <f t="shared" si="18"/>
        <v>84.992987377279107</v>
      </c>
      <c r="H400">
        <f t="shared" si="19"/>
        <v>1.5427769985974753</v>
      </c>
      <c r="I400">
        <v>43.83</v>
      </c>
      <c r="J400">
        <f t="shared" si="20"/>
        <v>13.464235624123422</v>
      </c>
      <c r="K400">
        <v>0.7</v>
      </c>
      <c r="L400">
        <v>0.1</v>
      </c>
      <c r="M400">
        <v>0.7</v>
      </c>
      <c r="N400">
        <v>96</v>
      </c>
      <c r="O400">
        <v>606</v>
      </c>
      <c r="P400">
        <v>11</v>
      </c>
      <c r="Q400">
        <v>86.54</v>
      </c>
      <c r="R400" t="s">
        <v>397</v>
      </c>
      <c r="S400">
        <v>2.56</v>
      </c>
      <c r="U400">
        <v>39</v>
      </c>
    </row>
    <row r="401" spans="1:21" x14ac:dyDescent="0.25">
      <c r="A401" s="2">
        <v>46045.748402777775</v>
      </c>
      <c r="B401" t="s">
        <v>309</v>
      </c>
      <c r="C401" t="s">
        <v>372</v>
      </c>
      <c r="D401">
        <v>3</v>
      </c>
      <c r="E401" t="s">
        <v>162</v>
      </c>
      <c r="F401" t="s">
        <v>373</v>
      </c>
      <c r="G401">
        <f t="shared" si="18"/>
        <v>1.3493253373313343</v>
      </c>
      <c r="H401">
        <f t="shared" si="19"/>
        <v>0</v>
      </c>
      <c r="I401">
        <v>43.83</v>
      </c>
      <c r="J401">
        <f t="shared" si="20"/>
        <v>98.650674662668663</v>
      </c>
      <c r="K401">
        <v>0.7</v>
      </c>
      <c r="L401">
        <v>0.1</v>
      </c>
      <c r="M401">
        <v>0.7</v>
      </c>
      <c r="N401">
        <v>658</v>
      </c>
      <c r="O401">
        <v>9</v>
      </c>
      <c r="P401">
        <v>0</v>
      </c>
      <c r="Q401">
        <v>1.35</v>
      </c>
      <c r="R401" t="s">
        <v>295</v>
      </c>
      <c r="S401">
        <v>0.04</v>
      </c>
      <c r="U401">
        <v>26</v>
      </c>
    </row>
    <row r="402" spans="1:21" x14ac:dyDescent="0.25">
      <c r="A402" s="2">
        <v>46045.748796296299</v>
      </c>
      <c r="B402" t="s">
        <v>309</v>
      </c>
      <c r="C402" t="s">
        <v>372</v>
      </c>
      <c r="D402">
        <v>3</v>
      </c>
      <c r="E402" t="s">
        <v>179</v>
      </c>
      <c r="F402" t="s">
        <v>373</v>
      </c>
      <c r="G402">
        <f t="shared" si="18"/>
        <v>21.372854914196569</v>
      </c>
      <c r="H402">
        <f t="shared" si="19"/>
        <v>0.15600624024960999</v>
      </c>
      <c r="I402">
        <v>43.83</v>
      </c>
      <c r="J402">
        <f t="shared" si="20"/>
        <v>78.471138845553824</v>
      </c>
      <c r="K402">
        <v>0.7</v>
      </c>
      <c r="L402">
        <v>0.1</v>
      </c>
      <c r="M402">
        <v>0.7</v>
      </c>
      <c r="N402">
        <v>503</v>
      </c>
      <c r="O402">
        <v>137</v>
      </c>
      <c r="P402">
        <v>1</v>
      </c>
      <c r="Q402">
        <v>21.53</v>
      </c>
      <c r="R402" t="s">
        <v>387</v>
      </c>
      <c r="S402">
        <v>0.56999999999999995</v>
      </c>
      <c r="U402">
        <v>83</v>
      </c>
    </row>
    <row r="403" spans="1:21" x14ac:dyDescent="0.25">
      <c r="A403" s="2">
        <v>46045.749212962961</v>
      </c>
      <c r="B403" t="s">
        <v>309</v>
      </c>
      <c r="C403" t="s">
        <v>372</v>
      </c>
      <c r="D403">
        <v>3</v>
      </c>
      <c r="E403" t="s">
        <v>204</v>
      </c>
      <c r="F403" t="s">
        <v>373</v>
      </c>
      <c r="G403">
        <f t="shared" si="18"/>
        <v>1.8416206261510131</v>
      </c>
      <c r="H403">
        <f t="shared" si="19"/>
        <v>0</v>
      </c>
      <c r="I403">
        <v>43.83</v>
      </c>
      <c r="J403">
        <f t="shared" si="20"/>
        <v>98.158379373848987</v>
      </c>
      <c r="K403">
        <v>0.7</v>
      </c>
      <c r="L403">
        <v>0.1</v>
      </c>
      <c r="M403">
        <v>0.7</v>
      </c>
      <c r="N403">
        <v>533</v>
      </c>
      <c r="O403">
        <v>10</v>
      </c>
      <c r="P403">
        <v>0</v>
      </c>
      <c r="Q403">
        <v>1.84</v>
      </c>
      <c r="R403" t="s">
        <v>379</v>
      </c>
      <c r="S403">
        <v>0.05</v>
      </c>
      <c r="U403">
        <v>25</v>
      </c>
    </row>
    <row r="404" spans="1:21" x14ac:dyDescent="0.25">
      <c r="A404" s="2">
        <v>46045.749571759261</v>
      </c>
      <c r="B404" t="s">
        <v>309</v>
      </c>
      <c r="C404" t="s">
        <v>372</v>
      </c>
      <c r="D404">
        <v>3</v>
      </c>
      <c r="E404" t="s">
        <v>207</v>
      </c>
      <c r="F404" t="s">
        <v>373</v>
      </c>
      <c r="G404">
        <f t="shared" si="18"/>
        <v>8.5299455535390205</v>
      </c>
      <c r="H404">
        <f t="shared" si="19"/>
        <v>0</v>
      </c>
      <c r="I404">
        <v>43.83</v>
      </c>
      <c r="J404">
        <f t="shared" si="20"/>
        <v>91.470054446460978</v>
      </c>
      <c r="K404">
        <v>0.7</v>
      </c>
      <c r="L404">
        <v>0.1</v>
      </c>
      <c r="M404">
        <v>0.7</v>
      </c>
      <c r="N404">
        <v>504</v>
      </c>
      <c r="O404">
        <v>47</v>
      </c>
      <c r="P404">
        <v>0</v>
      </c>
      <c r="Q404">
        <v>8.5299999999999994</v>
      </c>
      <c r="R404" t="s">
        <v>384</v>
      </c>
      <c r="S404">
        <v>0.22</v>
      </c>
      <c r="U404">
        <v>85</v>
      </c>
    </row>
    <row r="405" spans="1:21" x14ac:dyDescent="0.25">
      <c r="A405" s="2">
        <v>46045.749942129631</v>
      </c>
      <c r="B405" t="s">
        <v>309</v>
      </c>
      <c r="C405" t="s">
        <v>372</v>
      </c>
      <c r="D405">
        <v>3</v>
      </c>
      <c r="E405" t="s">
        <v>212</v>
      </c>
      <c r="F405" t="s">
        <v>373</v>
      </c>
      <c r="G405">
        <f t="shared" si="18"/>
        <v>45.079365079365083</v>
      </c>
      <c r="H405">
        <f t="shared" si="19"/>
        <v>1.1111111111111112</v>
      </c>
      <c r="I405">
        <v>43.83</v>
      </c>
      <c r="J405">
        <f t="shared" si="20"/>
        <v>53.80952380952381</v>
      </c>
      <c r="K405">
        <v>0.7</v>
      </c>
      <c r="L405">
        <v>0.1</v>
      </c>
      <c r="M405">
        <v>0.7</v>
      </c>
      <c r="N405">
        <v>339</v>
      </c>
      <c r="O405">
        <v>284</v>
      </c>
      <c r="P405">
        <v>7</v>
      </c>
      <c r="Q405">
        <v>46.19</v>
      </c>
      <c r="R405" t="s">
        <v>389</v>
      </c>
      <c r="S405">
        <v>1.2</v>
      </c>
      <c r="U405">
        <v>63</v>
      </c>
    </row>
    <row r="406" spans="1:21" x14ac:dyDescent="0.25">
      <c r="A406" s="2">
        <v>46045.752835648149</v>
      </c>
      <c r="B406" t="s">
        <v>309</v>
      </c>
      <c r="C406" t="s">
        <v>372</v>
      </c>
      <c r="D406">
        <v>3</v>
      </c>
      <c r="E406" t="s">
        <v>34</v>
      </c>
      <c r="F406" t="s">
        <v>373</v>
      </c>
      <c r="G406">
        <f t="shared" si="18"/>
        <v>37.258347978910365</v>
      </c>
      <c r="H406">
        <f t="shared" si="19"/>
        <v>0.17574692442882248</v>
      </c>
      <c r="I406">
        <v>43.83</v>
      </c>
      <c r="J406">
        <f t="shared" si="20"/>
        <v>62.565905096660813</v>
      </c>
      <c r="K406">
        <v>0.7</v>
      </c>
      <c r="L406">
        <v>0.1</v>
      </c>
      <c r="M406">
        <v>0.7</v>
      </c>
      <c r="N406">
        <v>356</v>
      </c>
      <c r="O406">
        <v>212</v>
      </c>
      <c r="P406">
        <v>1</v>
      </c>
      <c r="Q406">
        <v>37.43</v>
      </c>
      <c r="R406" t="s">
        <v>390</v>
      </c>
      <c r="S406">
        <v>0.86</v>
      </c>
      <c r="U406">
        <v>94</v>
      </c>
    </row>
    <row r="407" spans="1:21" x14ac:dyDescent="0.25">
      <c r="A407" s="2">
        <v>46045.753206018519</v>
      </c>
      <c r="B407" t="s">
        <v>309</v>
      </c>
      <c r="C407" t="s">
        <v>372</v>
      </c>
      <c r="D407">
        <v>3</v>
      </c>
      <c r="E407" t="s">
        <v>36</v>
      </c>
      <c r="F407" t="s">
        <v>373</v>
      </c>
      <c r="G407">
        <f t="shared" si="18"/>
        <v>19.130434782608695</v>
      </c>
      <c r="H407">
        <f t="shared" si="19"/>
        <v>0.14492753623188406</v>
      </c>
      <c r="I407">
        <v>43.83</v>
      </c>
      <c r="J407">
        <f t="shared" si="20"/>
        <v>80.724637681159422</v>
      </c>
      <c r="K407">
        <v>0.7</v>
      </c>
      <c r="L407">
        <v>0.1</v>
      </c>
      <c r="M407">
        <v>0.7</v>
      </c>
      <c r="N407">
        <v>557</v>
      </c>
      <c r="O407">
        <v>132</v>
      </c>
      <c r="P407">
        <v>1</v>
      </c>
      <c r="Q407">
        <v>19.28</v>
      </c>
      <c r="R407" t="s">
        <v>385</v>
      </c>
      <c r="S407">
        <v>0.54</v>
      </c>
      <c r="U407">
        <v>42</v>
      </c>
    </row>
    <row r="408" spans="1:21" x14ac:dyDescent="0.25">
      <c r="A408" s="2">
        <v>46045.753645833334</v>
      </c>
      <c r="B408" t="s">
        <v>309</v>
      </c>
      <c r="C408" t="s">
        <v>372</v>
      </c>
      <c r="D408">
        <v>3</v>
      </c>
      <c r="E408" t="s">
        <v>41</v>
      </c>
      <c r="F408" t="s">
        <v>373</v>
      </c>
      <c r="G408">
        <f t="shared" si="18"/>
        <v>1.3050570962479608</v>
      </c>
      <c r="H408">
        <f t="shared" si="19"/>
        <v>0</v>
      </c>
      <c r="I408">
        <v>43.83</v>
      </c>
      <c r="J408">
        <f t="shared" si="20"/>
        <v>98.694942903752036</v>
      </c>
      <c r="K408">
        <v>0.7</v>
      </c>
      <c r="L408">
        <v>0.1</v>
      </c>
      <c r="M408">
        <v>0.7</v>
      </c>
      <c r="N408">
        <v>605</v>
      </c>
      <c r="O408">
        <v>8</v>
      </c>
      <c r="P408">
        <v>0</v>
      </c>
      <c r="Q408">
        <v>1.31</v>
      </c>
      <c r="R408" t="s">
        <v>390</v>
      </c>
      <c r="S408">
        <v>0.03</v>
      </c>
      <c r="U408">
        <v>26</v>
      </c>
    </row>
    <row r="409" spans="1:21" x14ac:dyDescent="0.25">
      <c r="A409" s="2">
        <v>46045.754027777781</v>
      </c>
      <c r="B409" t="s">
        <v>309</v>
      </c>
      <c r="C409" t="s">
        <v>372</v>
      </c>
      <c r="D409">
        <v>3</v>
      </c>
      <c r="E409" t="s">
        <v>42</v>
      </c>
      <c r="F409" t="s">
        <v>373</v>
      </c>
      <c r="G409">
        <f t="shared" si="18"/>
        <v>2.6509572901325478</v>
      </c>
      <c r="H409">
        <f t="shared" si="19"/>
        <v>0</v>
      </c>
      <c r="I409">
        <v>43.83</v>
      </c>
      <c r="J409">
        <f t="shared" si="20"/>
        <v>97.349042709867447</v>
      </c>
      <c r="K409">
        <v>0.7</v>
      </c>
      <c r="L409">
        <v>0.1</v>
      </c>
      <c r="M409">
        <v>0.7</v>
      </c>
      <c r="N409">
        <v>661</v>
      </c>
      <c r="O409">
        <v>18</v>
      </c>
      <c r="P409">
        <v>0</v>
      </c>
      <c r="Q409">
        <v>2.65</v>
      </c>
      <c r="R409" t="s">
        <v>295</v>
      </c>
      <c r="S409">
        <v>7.0000000000000007E-2</v>
      </c>
      <c r="U409">
        <v>23</v>
      </c>
    </row>
    <row r="410" spans="1:21" x14ac:dyDescent="0.25">
      <c r="A410" s="2">
        <v>46045.75440972222</v>
      </c>
      <c r="B410" t="s">
        <v>309</v>
      </c>
      <c r="C410" t="s">
        <v>372</v>
      </c>
      <c r="D410">
        <v>3</v>
      </c>
      <c r="E410" t="s">
        <v>43</v>
      </c>
      <c r="F410" t="s">
        <v>373</v>
      </c>
      <c r="G410">
        <f t="shared" si="18"/>
        <v>18.198198198198199</v>
      </c>
      <c r="H410">
        <f t="shared" si="19"/>
        <v>0</v>
      </c>
      <c r="I410">
        <v>43.83</v>
      </c>
      <c r="J410">
        <f t="shared" si="20"/>
        <v>81.801801801801801</v>
      </c>
      <c r="K410">
        <v>0.7</v>
      </c>
      <c r="L410">
        <v>0.1</v>
      </c>
      <c r="M410">
        <v>0.7</v>
      </c>
      <c r="N410">
        <v>454</v>
      </c>
      <c r="O410">
        <v>101</v>
      </c>
      <c r="P410">
        <v>0</v>
      </c>
      <c r="Q410">
        <v>18.2</v>
      </c>
      <c r="R410" t="s">
        <v>392</v>
      </c>
      <c r="S410">
        <v>0.42</v>
      </c>
      <c r="U410">
        <v>158</v>
      </c>
    </row>
    <row r="411" spans="1:21" x14ac:dyDescent="0.25">
      <c r="A411" s="2">
        <v>46045.754826388889</v>
      </c>
      <c r="B411" t="s">
        <v>309</v>
      </c>
      <c r="C411" t="s">
        <v>372</v>
      </c>
      <c r="D411">
        <v>3</v>
      </c>
      <c r="E411" t="s">
        <v>54</v>
      </c>
      <c r="F411" t="s">
        <v>373</v>
      </c>
      <c r="G411">
        <f t="shared" si="18"/>
        <v>0.75642965204236012</v>
      </c>
      <c r="H411">
        <f t="shared" si="19"/>
        <v>0</v>
      </c>
      <c r="I411">
        <v>43.83</v>
      </c>
      <c r="J411">
        <f t="shared" si="20"/>
        <v>99.243570347957643</v>
      </c>
      <c r="K411">
        <v>0.7</v>
      </c>
      <c r="L411">
        <v>0.1</v>
      </c>
      <c r="M411">
        <v>0.7</v>
      </c>
      <c r="N411">
        <v>656</v>
      </c>
      <c r="O411">
        <v>5</v>
      </c>
      <c r="P411">
        <v>0</v>
      </c>
      <c r="Q411">
        <v>0.76</v>
      </c>
      <c r="R411" t="s">
        <v>390</v>
      </c>
      <c r="S411">
        <v>0.02</v>
      </c>
      <c r="U411">
        <v>15</v>
      </c>
    </row>
    <row r="412" spans="1:21" x14ac:dyDescent="0.25">
      <c r="A412" s="2">
        <v>46045.755208333336</v>
      </c>
      <c r="B412" t="s">
        <v>309</v>
      </c>
      <c r="C412" t="s">
        <v>372</v>
      </c>
      <c r="D412">
        <v>3</v>
      </c>
      <c r="E412" t="s">
        <v>75</v>
      </c>
      <c r="F412" t="s">
        <v>373</v>
      </c>
      <c r="G412">
        <f t="shared" si="18"/>
        <v>2.3328149300155521</v>
      </c>
      <c r="H412">
        <f t="shared" si="19"/>
        <v>0</v>
      </c>
      <c r="I412">
        <v>43.83</v>
      </c>
      <c r="J412">
        <f t="shared" si="20"/>
        <v>97.667185069984455</v>
      </c>
      <c r="K412">
        <v>0.7</v>
      </c>
      <c r="L412">
        <v>0.1</v>
      </c>
      <c r="M412">
        <v>0.7</v>
      </c>
      <c r="N412">
        <v>628</v>
      </c>
      <c r="O412">
        <v>15</v>
      </c>
      <c r="P412">
        <v>0</v>
      </c>
      <c r="Q412">
        <v>2.33</v>
      </c>
      <c r="R412" t="s">
        <v>295</v>
      </c>
      <c r="S412">
        <v>0.06</v>
      </c>
      <c r="U412">
        <v>34</v>
      </c>
    </row>
    <row r="413" spans="1:21" x14ac:dyDescent="0.25">
      <c r="A413" s="2">
        <v>46045.755590277775</v>
      </c>
      <c r="B413" t="s">
        <v>309</v>
      </c>
      <c r="C413" t="s">
        <v>372</v>
      </c>
      <c r="D413">
        <v>3</v>
      </c>
      <c r="E413" t="s">
        <v>324</v>
      </c>
      <c r="F413" t="s">
        <v>373</v>
      </c>
      <c r="G413">
        <f t="shared" si="18"/>
        <v>44.705882352941181</v>
      </c>
      <c r="H413">
        <f t="shared" si="19"/>
        <v>0.84033613445378152</v>
      </c>
      <c r="I413">
        <v>43.83</v>
      </c>
      <c r="J413">
        <f t="shared" si="20"/>
        <v>54.45378151260504</v>
      </c>
      <c r="K413">
        <v>0.7</v>
      </c>
      <c r="L413">
        <v>0.1</v>
      </c>
      <c r="M413">
        <v>0.7</v>
      </c>
      <c r="N413">
        <v>324</v>
      </c>
      <c r="O413">
        <v>266</v>
      </c>
      <c r="P413">
        <v>5</v>
      </c>
      <c r="Q413">
        <v>45.55</v>
      </c>
      <c r="R413" t="s">
        <v>394</v>
      </c>
      <c r="S413">
        <v>1.1200000000000001</v>
      </c>
      <c r="U413">
        <v>128</v>
      </c>
    </row>
    <row r="414" spans="1:21" x14ac:dyDescent="0.25">
      <c r="A414" s="2">
        <v>46045.756064814814</v>
      </c>
      <c r="B414" t="s">
        <v>309</v>
      </c>
      <c r="C414" t="s">
        <v>372</v>
      </c>
      <c r="D414">
        <v>3</v>
      </c>
      <c r="E414" t="s">
        <v>118</v>
      </c>
      <c r="F414" t="s">
        <v>373</v>
      </c>
      <c r="G414">
        <f t="shared" si="18"/>
        <v>10.676156583629894</v>
      </c>
      <c r="H414">
        <f t="shared" si="19"/>
        <v>0.1779359430604982</v>
      </c>
      <c r="I414">
        <v>43.83</v>
      </c>
      <c r="J414">
        <f t="shared" si="20"/>
        <v>89.145907473309606</v>
      </c>
      <c r="K414">
        <v>0.7</v>
      </c>
      <c r="L414">
        <v>0.1</v>
      </c>
      <c r="M414">
        <v>0.7</v>
      </c>
      <c r="N414">
        <v>501</v>
      </c>
      <c r="O414">
        <v>60</v>
      </c>
      <c r="P414">
        <v>1</v>
      </c>
      <c r="Q414">
        <v>10.85</v>
      </c>
      <c r="R414" t="s">
        <v>392</v>
      </c>
      <c r="S414">
        <v>0.23</v>
      </c>
      <c r="U414">
        <v>153</v>
      </c>
    </row>
    <row r="415" spans="1:21" x14ac:dyDescent="0.25">
      <c r="A415" s="2">
        <v>46045.756469907406</v>
      </c>
      <c r="B415" t="s">
        <v>309</v>
      </c>
      <c r="C415" t="s">
        <v>372</v>
      </c>
      <c r="D415">
        <v>3</v>
      </c>
      <c r="E415" t="s">
        <v>137</v>
      </c>
      <c r="F415" t="s">
        <v>373</v>
      </c>
      <c r="G415">
        <f t="shared" si="18"/>
        <v>85.133239831697054</v>
      </c>
      <c r="H415">
        <f t="shared" si="19"/>
        <v>1.4025245441795231</v>
      </c>
      <c r="I415">
        <v>43.83</v>
      </c>
      <c r="J415">
        <f t="shared" si="20"/>
        <v>13.464235624123422</v>
      </c>
      <c r="K415">
        <v>0.7</v>
      </c>
      <c r="L415">
        <v>0.1</v>
      </c>
      <c r="M415">
        <v>0.7</v>
      </c>
      <c r="N415">
        <v>96</v>
      </c>
      <c r="O415">
        <v>607</v>
      </c>
      <c r="P415">
        <v>10</v>
      </c>
      <c r="Q415">
        <v>86.54</v>
      </c>
      <c r="R415" t="s">
        <v>396</v>
      </c>
      <c r="S415">
        <v>2.56</v>
      </c>
      <c r="U415">
        <v>39</v>
      </c>
    </row>
    <row r="416" spans="1:21" x14ac:dyDescent="0.25">
      <c r="A416" s="2">
        <v>46045.757048611114</v>
      </c>
      <c r="B416" t="s">
        <v>309</v>
      </c>
      <c r="C416" t="s">
        <v>372</v>
      </c>
      <c r="D416">
        <v>3</v>
      </c>
      <c r="E416" t="s">
        <v>162</v>
      </c>
      <c r="F416" t="s">
        <v>373</v>
      </c>
      <c r="G416">
        <f t="shared" si="18"/>
        <v>1.3493253373313343</v>
      </c>
      <c r="H416">
        <f t="shared" si="19"/>
        <v>0</v>
      </c>
      <c r="I416">
        <v>43.83</v>
      </c>
      <c r="J416">
        <f t="shared" si="20"/>
        <v>98.650674662668663</v>
      </c>
      <c r="K416">
        <v>0.7</v>
      </c>
      <c r="L416">
        <v>0.1</v>
      </c>
      <c r="M416">
        <v>0.7</v>
      </c>
      <c r="N416">
        <v>658</v>
      </c>
      <c r="O416">
        <v>9</v>
      </c>
      <c r="P416">
        <v>0</v>
      </c>
      <c r="Q416">
        <v>1.35</v>
      </c>
      <c r="R416" t="s">
        <v>295</v>
      </c>
      <c r="S416">
        <v>0.04</v>
      </c>
      <c r="U416">
        <v>26</v>
      </c>
    </row>
    <row r="417" spans="1:21" x14ac:dyDescent="0.25">
      <c r="A417" s="2">
        <v>46045.75744212963</v>
      </c>
      <c r="B417" t="s">
        <v>309</v>
      </c>
      <c r="C417" t="s">
        <v>372</v>
      </c>
      <c r="D417">
        <v>3</v>
      </c>
      <c r="E417" t="s">
        <v>179</v>
      </c>
      <c r="F417" t="s">
        <v>373</v>
      </c>
      <c r="G417">
        <f t="shared" si="18"/>
        <v>21.372854914196569</v>
      </c>
      <c r="H417">
        <f t="shared" si="19"/>
        <v>0.15600624024960999</v>
      </c>
      <c r="I417">
        <v>43.83</v>
      </c>
      <c r="J417">
        <f t="shared" si="20"/>
        <v>78.471138845553824</v>
      </c>
      <c r="K417">
        <v>0.7</v>
      </c>
      <c r="L417">
        <v>0.1</v>
      </c>
      <c r="M417">
        <v>0.7</v>
      </c>
      <c r="N417">
        <v>503</v>
      </c>
      <c r="O417">
        <v>137</v>
      </c>
      <c r="P417">
        <v>1</v>
      </c>
      <c r="Q417">
        <v>21.53</v>
      </c>
      <c r="R417" t="s">
        <v>385</v>
      </c>
      <c r="S417">
        <v>0.56999999999999995</v>
      </c>
      <c r="U417">
        <v>83</v>
      </c>
    </row>
    <row r="418" spans="1:21" x14ac:dyDescent="0.25">
      <c r="A418" s="2">
        <v>46045.757870370369</v>
      </c>
      <c r="B418" t="s">
        <v>309</v>
      </c>
      <c r="C418" t="s">
        <v>372</v>
      </c>
      <c r="D418">
        <v>3</v>
      </c>
      <c r="E418" t="s">
        <v>204</v>
      </c>
      <c r="F418" t="s">
        <v>373</v>
      </c>
      <c r="G418">
        <f t="shared" si="18"/>
        <v>1.8416206261510131</v>
      </c>
      <c r="H418">
        <f t="shared" si="19"/>
        <v>0</v>
      </c>
      <c r="I418">
        <v>43.83</v>
      </c>
      <c r="J418">
        <f t="shared" si="20"/>
        <v>98.158379373848987</v>
      </c>
      <c r="K418">
        <v>0.7</v>
      </c>
      <c r="L418">
        <v>0.1</v>
      </c>
      <c r="M418">
        <v>0.7</v>
      </c>
      <c r="N418">
        <v>533</v>
      </c>
      <c r="O418">
        <v>10</v>
      </c>
      <c r="P418">
        <v>0</v>
      </c>
      <c r="Q418">
        <v>1.84</v>
      </c>
      <c r="R418" t="s">
        <v>384</v>
      </c>
      <c r="S418">
        <v>0.05</v>
      </c>
      <c r="U418">
        <v>25</v>
      </c>
    </row>
    <row r="419" spans="1:21" x14ac:dyDescent="0.25">
      <c r="A419" s="2">
        <v>46045.758229166669</v>
      </c>
      <c r="B419" t="s">
        <v>309</v>
      </c>
      <c r="C419" t="s">
        <v>372</v>
      </c>
      <c r="D419">
        <v>3</v>
      </c>
      <c r="E419" t="s">
        <v>207</v>
      </c>
      <c r="F419" t="s">
        <v>373</v>
      </c>
      <c r="G419">
        <f t="shared" si="18"/>
        <v>8.5299455535390205</v>
      </c>
      <c r="H419">
        <f t="shared" si="19"/>
        <v>0</v>
      </c>
      <c r="I419">
        <v>43.83</v>
      </c>
      <c r="J419">
        <f t="shared" si="20"/>
        <v>91.470054446460978</v>
      </c>
      <c r="K419">
        <v>0.7</v>
      </c>
      <c r="L419">
        <v>0.1</v>
      </c>
      <c r="M419">
        <v>0.7</v>
      </c>
      <c r="N419">
        <v>504</v>
      </c>
      <c r="O419">
        <v>47</v>
      </c>
      <c r="P419">
        <v>0</v>
      </c>
      <c r="Q419">
        <v>8.5299999999999994</v>
      </c>
      <c r="R419" t="s">
        <v>295</v>
      </c>
      <c r="S419">
        <v>0.22</v>
      </c>
      <c r="U419">
        <v>85</v>
      </c>
    </row>
    <row r="420" spans="1:21" x14ac:dyDescent="0.25">
      <c r="A420" s="2">
        <v>46045.758622685185</v>
      </c>
      <c r="B420" t="s">
        <v>309</v>
      </c>
      <c r="C420" t="s">
        <v>372</v>
      </c>
      <c r="D420">
        <v>3</v>
      </c>
      <c r="E420" t="s">
        <v>212</v>
      </c>
      <c r="F420" t="s">
        <v>373</v>
      </c>
      <c r="G420">
        <f t="shared" si="18"/>
        <v>45.238095238095241</v>
      </c>
      <c r="H420">
        <f t="shared" si="19"/>
        <v>0.95238095238095244</v>
      </c>
      <c r="I420">
        <v>43.83</v>
      </c>
      <c r="J420">
        <f t="shared" si="20"/>
        <v>53.80952380952381</v>
      </c>
      <c r="K420">
        <v>0.7</v>
      </c>
      <c r="L420">
        <v>0.1</v>
      </c>
      <c r="M420">
        <v>0.7</v>
      </c>
      <c r="N420">
        <v>339</v>
      </c>
      <c r="O420">
        <v>285</v>
      </c>
      <c r="P420">
        <v>6</v>
      </c>
      <c r="Q420">
        <v>46.19</v>
      </c>
      <c r="R420" t="s">
        <v>394</v>
      </c>
      <c r="S420">
        <v>1.2</v>
      </c>
      <c r="U420">
        <v>63</v>
      </c>
    </row>
    <row r="421" spans="1:21" x14ac:dyDescent="0.25">
      <c r="A421" s="2">
        <v>46045.755196759259</v>
      </c>
      <c r="B421" t="s">
        <v>309</v>
      </c>
      <c r="C421" t="s">
        <v>372</v>
      </c>
      <c r="D421">
        <v>3</v>
      </c>
      <c r="E421" t="s">
        <v>75</v>
      </c>
      <c r="F421" t="s">
        <v>373</v>
      </c>
      <c r="G421">
        <f t="shared" si="18"/>
        <v>2.3328149300155521</v>
      </c>
      <c r="H421">
        <f t="shared" si="19"/>
        <v>0</v>
      </c>
      <c r="I421">
        <v>43.83</v>
      </c>
      <c r="J421">
        <f t="shared" si="20"/>
        <v>97.667185069984455</v>
      </c>
      <c r="K421">
        <v>0.7</v>
      </c>
      <c r="L421">
        <v>0.1</v>
      </c>
      <c r="M421">
        <v>0.7</v>
      </c>
      <c r="N421">
        <v>628</v>
      </c>
      <c r="O421">
        <v>15</v>
      </c>
      <c r="P421">
        <v>0</v>
      </c>
      <c r="Q421">
        <v>2.33</v>
      </c>
      <c r="R421" t="s">
        <v>295</v>
      </c>
      <c r="S421">
        <v>0.06</v>
      </c>
      <c r="U421">
        <v>34</v>
      </c>
    </row>
    <row r="422" spans="1:21" x14ac:dyDescent="0.25">
      <c r="A422" s="2">
        <v>46045.755590277775</v>
      </c>
      <c r="B422" t="s">
        <v>309</v>
      </c>
      <c r="C422" t="s">
        <v>372</v>
      </c>
      <c r="D422">
        <v>3</v>
      </c>
      <c r="E422" t="s">
        <v>324</v>
      </c>
      <c r="F422" t="s">
        <v>373</v>
      </c>
      <c r="G422">
        <f t="shared" si="18"/>
        <v>44.949494949494948</v>
      </c>
      <c r="H422">
        <f t="shared" si="19"/>
        <v>0.50505050505050508</v>
      </c>
      <c r="I422">
        <v>43.83</v>
      </c>
      <c r="J422">
        <f t="shared" si="20"/>
        <v>54.54545454545454</v>
      </c>
      <c r="K422">
        <v>0.7</v>
      </c>
      <c r="L422">
        <v>0.1</v>
      </c>
      <c r="M422">
        <v>0.7</v>
      </c>
      <c r="N422">
        <v>324</v>
      </c>
      <c r="O422">
        <v>267</v>
      </c>
      <c r="P422">
        <v>3</v>
      </c>
      <c r="Q422">
        <v>45.45</v>
      </c>
      <c r="R422" t="s">
        <v>394</v>
      </c>
      <c r="S422">
        <v>1.1200000000000001</v>
      </c>
      <c r="U422">
        <v>129</v>
      </c>
    </row>
    <row r="423" spans="1:21" x14ac:dyDescent="0.25">
      <c r="A423" s="2">
        <v>46045.757430555554</v>
      </c>
      <c r="B423" t="s">
        <v>309</v>
      </c>
      <c r="C423" t="s">
        <v>372</v>
      </c>
      <c r="D423">
        <v>3</v>
      </c>
      <c r="E423" t="s">
        <v>179</v>
      </c>
      <c r="F423" t="s">
        <v>373</v>
      </c>
      <c r="G423">
        <f t="shared" si="18"/>
        <v>21.372854914196569</v>
      </c>
      <c r="H423">
        <f t="shared" si="19"/>
        <v>0.15600624024960999</v>
      </c>
      <c r="I423">
        <v>43.83</v>
      </c>
      <c r="J423">
        <f t="shared" si="20"/>
        <v>78.471138845553824</v>
      </c>
      <c r="K423">
        <v>0.7</v>
      </c>
      <c r="L423">
        <v>0.1</v>
      </c>
      <c r="M423">
        <v>0.7</v>
      </c>
      <c r="N423">
        <v>503</v>
      </c>
      <c r="O423">
        <v>137</v>
      </c>
      <c r="P423">
        <v>1</v>
      </c>
      <c r="Q423">
        <v>21.53</v>
      </c>
      <c r="R423" t="s">
        <v>387</v>
      </c>
      <c r="S423">
        <v>0.56999999999999995</v>
      </c>
      <c r="U423">
        <v>83</v>
      </c>
    </row>
    <row r="424" spans="1:21" x14ac:dyDescent="0.25">
      <c r="A424" s="2">
        <v>46045.7578587963</v>
      </c>
      <c r="B424" t="s">
        <v>309</v>
      </c>
      <c r="C424" t="s">
        <v>372</v>
      </c>
      <c r="D424">
        <v>3</v>
      </c>
      <c r="E424" t="s">
        <v>204</v>
      </c>
      <c r="F424" t="s">
        <v>373</v>
      </c>
      <c r="G424">
        <f t="shared" si="18"/>
        <v>1.8416206261510131</v>
      </c>
      <c r="H424">
        <f t="shared" si="19"/>
        <v>0</v>
      </c>
      <c r="I424">
        <v>43.83</v>
      </c>
      <c r="J424">
        <f t="shared" si="20"/>
        <v>98.158379373848987</v>
      </c>
      <c r="K424">
        <v>0.7</v>
      </c>
      <c r="L424">
        <v>0.1</v>
      </c>
      <c r="M424">
        <v>0.7</v>
      </c>
      <c r="N424">
        <v>533</v>
      </c>
      <c r="O424">
        <v>10</v>
      </c>
      <c r="P424">
        <v>0</v>
      </c>
      <c r="Q424">
        <v>1.84</v>
      </c>
      <c r="R424" t="s">
        <v>384</v>
      </c>
      <c r="S424">
        <v>0.05</v>
      </c>
      <c r="U424">
        <v>25</v>
      </c>
    </row>
    <row r="425" spans="1:21" x14ac:dyDescent="0.25">
      <c r="A425" s="2">
        <v>46045.758611111109</v>
      </c>
      <c r="B425" t="s">
        <v>309</v>
      </c>
      <c r="C425" t="s">
        <v>372</v>
      </c>
      <c r="D425">
        <v>3</v>
      </c>
      <c r="E425" t="s">
        <v>212</v>
      </c>
      <c r="F425" t="s">
        <v>373</v>
      </c>
      <c r="G425">
        <f t="shared" si="18"/>
        <v>45.238095238095241</v>
      </c>
      <c r="H425">
        <f t="shared" si="19"/>
        <v>0.95238095238095244</v>
      </c>
      <c r="I425">
        <v>43.83</v>
      </c>
      <c r="J425">
        <f t="shared" si="20"/>
        <v>53.80952380952381</v>
      </c>
      <c r="K425">
        <v>0.7</v>
      </c>
      <c r="L425">
        <v>0.1</v>
      </c>
      <c r="M425">
        <v>0.7</v>
      </c>
      <c r="N425">
        <v>339</v>
      </c>
      <c r="O425">
        <v>285</v>
      </c>
      <c r="P425">
        <v>6</v>
      </c>
      <c r="Q425">
        <v>46.19</v>
      </c>
      <c r="R425" t="s">
        <v>394</v>
      </c>
      <c r="S425">
        <v>1.2</v>
      </c>
      <c r="U425">
        <v>63</v>
      </c>
    </row>
    <row r="426" spans="1:21" x14ac:dyDescent="0.25">
      <c r="A426" s="2">
        <v>46045.759189814817</v>
      </c>
      <c r="B426" t="s">
        <v>309</v>
      </c>
      <c r="C426" t="s">
        <v>372</v>
      </c>
      <c r="D426">
        <v>3</v>
      </c>
      <c r="E426" t="s">
        <v>34</v>
      </c>
      <c r="F426" t="s">
        <v>373</v>
      </c>
      <c r="G426">
        <f t="shared" si="18"/>
        <v>37.258347978910365</v>
      </c>
      <c r="H426">
        <f t="shared" si="19"/>
        <v>0.17574692442882248</v>
      </c>
      <c r="I426">
        <v>43.83</v>
      </c>
      <c r="J426">
        <f t="shared" si="20"/>
        <v>62.565905096660813</v>
      </c>
      <c r="K426">
        <v>0.7</v>
      </c>
      <c r="L426">
        <v>0.1</v>
      </c>
      <c r="M426">
        <v>0.7</v>
      </c>
      <c r="N426">
        <v>356</v>
      </c>
      <c r="O426">
        <v>212</v>
      </c>
      <c r="P426">
        <v>1</v>
      </c>
      <c r="Q426">
        <v>37.43</v>
      </c>
      <c r="R426" t="s">
        <v>385</v>
      </c>
      <c r="S426">
        <v>0.86</v>
      </c>
      <c r="U426">
        <v>94</v>
      </c>
    </row>
    <row r="427" spans="1:21" x14ac:dyDescent="0.25">
      <c r="A427" s="2">
        <v>46045.759618055556</v>
      </c>
      <c r="B427" t="s">
        <v>309</v>
      </c>
      <c r="C427" t="s">
        <v>372</v>
      </c>
      <c r="D427">
        <v>3</v>
      </c>
      <c r="E427" t="s">
        <v>36</v>
      </c>
      <c r="F427" t="s">
        <v>373</v>
      </c>
      <c r="G427">
        <f t="shared" si="18"/>
        <v>19.130434782608695</v>
      </c>
      <c r="H427">
        <f t="shared" si="19"/>
        <v>0.14492753623188406</v>
      </c>
      <c r="I427">
        <v>43.83</v>
      </c>
      <c r="J427">
        <f t="shared" si="20"/>
        <v>80.724637681159422</v>
      </c>
      <c r="K427">
        <v>0.7</v>
      </c>
      <c r="L427">
        <v>0.1</v>
      </c>
      <c r="M427">
        <v>0.7</v>
      </c>
      <c r="N427">
        <v>557</v>
      </c>
      <c r="O427">
        <v>132</v>
      </c>
      <c r="P427">
        <v>1</v>
      </c>
      <c r="Q427">
        <v>19.28</v>
      </c>
      <c r="R427" t="s">
        <v>387</v>
      </c>
      <c r="S427">
        <v>0.54</v>
      </c>
      <c r="U427">
        <v>42</v>
      </c>
    </row>
    <row r="428" spans="1:21" x14ac:dyDescent="0.25">
      <c r="A428" s="2">
        <v>46045.760046296295</v>
      </c>
      <c r="B428" t="s">
        <v>309</v>
      </c>
      <c r="C428" t="s">
        <v>372</v>
      </c>
      <c r="D428">
        <v>3</v>
      </c>
      <c r="E428" t="s">
        <v>41</v>
      </c>
      <c r="F428" t="s">
        <v>373</v>
      </c>
      <c r="G428">
        <f t="shared" si="18"/>
        <v>1.3050570962479608</v>
      </c>
      <c r="H428">
        <f t="shared" si="19"/>
        <v>0</v>
      </c>
      <c r="I428">
        <v>43.83</v>
      </c>
      <c r="J428">
        <f t="shared" si="20"/>
        <v>98.694942903752036</v>
      </c>
      <c r="K428">
        <v>0.7</v>
      </c>
      <c r="L428">
        <v>0.1</v>
      </c>
      <c r="M428">
        <v>0.7</v>
      </c>
      <c r="N428">
        <v>605</v>
      </c>
      <c r="O428">
        <v>8</v>
      </c>
      <c r="P428">
        <v>0</v>
      </c>
      <c r="Q428">
        <v>1.31</v>
      </c>
      <c r="R428" t="s">
        <v>384</v>
      </c>
      <c r="S428">
        <v>0.03</v>
      </c>
      <c r="U428">
        <v>26</v>
      </c>
    </row>
    <row r="429" spans="1:21" x14ac:dyDescent="0.25">
      <c r="A429" s="2">
        <v>46045.760405092595</v>
      </c>
      <c r="B429" t="s">
        <v>309</v>
      </c>
      <c r="C429" t="s">
        <v>372</v>
      </c>
      <c r="D429">
        <v>3</v>
      </c>
      <c r="E429" t="s">
        <v>42</v>
      </c>
      <c r="F429" t="s">
        <v>373</v>
      </c>
      <c r="G429">
        <f t="shared" si="18"/>
        <v>2.6509572901325478</v>
      </c>
      <c r="H429">
        <f t="shared" si="19"/>
        <v>0</v>
      </c>
      <c r="I429">
        <v>43.83</v>
      </c>
      <c r="J429">
        <f t="shared" si="20"/>
        <v>97.349042709867447</v>
      </c>
      <c r="K429">
        <v>0.7</v>
      </c>
      <c r="L429">
        <v>0.1</v>
      </c>
      <c r="M429">
        <v>0.7</v>
      </c>
      <c r="N429">
        <v>661</v>
      </c>
      <c r="O429">
        <v>18</v>
      </c>
      <c r="P429">
        <v>0</v>
      </c>
      <c r="Q429">
        <v>2.65</v>
      </c>
      <c r="R429" t="s">
        <v>390</v>
      </c>
      <c r="S429">
        <v>7.0000000000000007E-2</v>
      </c>
      <c r="U429">
        <v>23</v>
      </c>
    </row>
    <row r="430" spans="1:21" x14ac:dyDescent="0.25">
      <c r="A430" s="2">
        <v>46045.760787037034</v>
      </c>
      <c r="B430" t="s">
        <v>309</v>
      </c>
      <c r="C430" t="s">
        <v>372</v>
      </c>
      <c r="D430">
        <v>3</v>
      </c>
      <c r="E430" t="s">
        <v>43</v>
      </c>
      <c r="F430" t="s">
        <v>373</v>
      </c>
      <c r="G430">
        <f t="shared" si="18"/>
        <v>18.198198198198199</v>
      </c>
      <c r="H430">
        <f t="shared" si="19"/>
        <v>0</v>
      </c>
      <c r="I430">
        <v>43.83</v>
      </c>
      <c r="J430">
        <f t="shared" si="20"/>
        <v>81.801801801801801</v>
      </c>
      <c r="K430">
        <v>0.7</v>
      </c>
      <c r="L430">
        <v>0.1</v>
      </c>
      <c r="M430">
        <v>0.7</v>
      </c>
      <c r="N430">
        <v>454</v>
      </c>
      <c r="O430">
        <v>101</v>
      </c>
      <c r="P430">
        <v>0</v>
      </c>
      <c r="Q430">
        <v>18.2</v>
      </c>
      <c r="R430" t="s">
        <v>378</v>
      </c>
      <c r="S430">
        <v>0.42</v>
      </c>
      <c r="U430">
        <v>158</v>
      </c>
    </row>
    <row r="431" spans="1:21" x14ac:dyDescent="0.25">
      <c r="A431" s="2">
        <v>46045.761180555557</v>
      </c>
      <c r="B431" t="s">
        <v>309</v>
      </c>
      <c r="C431" t="s">
        <v>372</v>
      </c>
      <c r="D431">
        <v>3</v>
      </c>
      <c r="E431" t="s">
        <v>54</v>
      </c>
      <c r="F431" t="s">
        <v>373</v>
      </c>
      <c r="G431">
        <f t="shared" si="18"/>
        <v>0.75642965204236012</v>
      </c>
      <c r="H431">
        <f t="shared" si="19"/>
        <v>0</v>
      </c>
      <c r="I431">
        <v>43.83</v>
      </c>
      <c r="J431">
        <f t="shared" si="20"/>
        <v>99.243570347957643</v>
      </c>
      <c r="K431">
        <v>0.7</v>
      </c>
      <c r="L431">
        <v>0.1</v>
      </c>
      <c r="M431">
        <v>0.7</v>
      </c>
      <c r="N431">
        <v>656</v>
      </c>
      <c r="O431">
        <v>5</v>
      </c>
      <c r="P431">
        <v>0</v>
      </c>
      <c r="Q431">
        <v>0.76</v>
      </c>
      <c r="R431" t="s">
        <v>384</v>
      </c>
      <c r="S431">
        <v>0.02</v>
      </c>
      <c r="U431">
        <v>15</v>
      </c>
    </row>
    <row r="432" spans="1:21" x14ac:dyDescent="0.25">
      <c r="A432" s="2">
        <v>46045.761550925927</v>
      </c>
      <c r="B432" t="s">
        <v>309</v>
      </c>
      <c r="C432" t="s">
        <v>372</v>
      </c>
      <c r="D432">
        <v>3</v>
      </c>
      <c r="E432" t="s">
        <v>75</v>
      </c>
      <c r="F432" t="s">
        <v>373</v>
      </c>
      <c r="G432">
        <f t="shared" si="18"/>
        <v>2.3328149300155521</v>
      </c>
      <c r="H432">
        <f t="shared" si="19"/>
        <v>0</v>
      </c>
      <c r="I432">
        <v>43.83</v>
      </c>
      <c r="J432">
        <f t="shared" si="20"/>
        <v>97.667185069984455</v>
      </c>
      <c r="K432">
        <v>0.7</v>
      </c>
      <c r="L432">
        <v>0.1</v>
      </c>
      <c r="M432">
        <v>0.7</v>
      </c>
      <c r="N432">
        <v>628</v>
      </c>
      <c r="O432">
        <v>15</v>
      </c>
      <c r="P432">
        <v>0</v>
      </c>
      <c r="Q432">
        <v>2.33</v>
      </c>
      <c r="R432" t="s">
        <v>390</v>
      </c>
      <c r="S432">
        <v>0.06</v>
      </c>
      <c r="U432">
        <v>34</v>
      </c>
    </row>
    <row r="433" spans="1:21" x14ac:dyDescent="0.25">
      <c r="A433" s="2">
        <v>46045.761932870373</v>
      </c>
      <c r="B433" t="s">
        <v>309</v>
      </c>
      <c r="C433" t="s">
        <v>372</v>
      </c>
      <c r="D433">
        <v>3</v>
      </c>
      <c r="E433" t="s">
        <v>324</v>
      </c>
      <c r="F433" t="s">
        <v>373</v>
      </c>
      <c r="G433">
        <f t="shared" si="18"/>
        <v>44.949494949494948</v>
      </c>
      <c r="H433">
        <f t="shared" si="19"/>
        <v>0.50505050505050508</v>
      </c>
      <c r="I433">
        <v>43.83</v>
      </c>
      <c r="J433">
        <f t="shared" si="20"/>
        <v>54.54545454545454</v>
      </c>
      <c r="K433">
        <v>0.7</v>
      </c>
      <c r="L433">
        <v>0.1</v>
      </c>
      <c r="M433">
        <v>0.7</v>
      </c>
      <c r="N433">
        <v>324</v>
      </c>
      <c r="O433">
        <v>267</v>
      </c>
      <c r="P433">
        <v>3</v>
      </c>
      <c r="Q433">
        <v>45.45</v>
      </c>
      <c r="R433" t="s">
        <v>394</v>
      </c>
      <c r="S433">
        <v>1.1200000000000001</v>
      </c>
      <c r="U433">
        <v>129</v>
      </c>
    </row>
    <row r="434" spans="1:21" x14ac:dyDescent="0.25">
      <c r="A434" s="2">
        <v>46045.762395833335</v>
      </c>
      <c r="B434" t="s">
        <v>309</v>
      </c>
      <c r="C434" t="s">
        <v>372</v>
      </c>
      <c r="D434">
        <v>3</v>
      </c>
      <c r="E434" t="s">
        <v>118</v>
      </c>
      <c r="F434" t="s">
        <v>373</v>
      </c>
      <c r="G434">
        <f t="shared" si="18"/>
        <v>10.676156583629894</v>
      </c>
      <c r="H434">
        <f t="shared" si="19"/>
        <v>0.1779359430604982</v>
      </c>
      <c r="I434">
        <v>43.83</v>
      </c>
      <c r="J434">
        <f t="shared" si="20"/>
        <v>89.145907473309606</v>
      </c>
      <c r="K434">
        <v>0.7</v>
      </c>
      <c r="L434">
        <v>0.1</v>
      </c>
      <c r="M434">
        <v>0.7</v>
      </c>
      <c r="N434">
        <v>501</v>
      </c>
      <c r="O434">
        <v>60</v>
      </c>
      <c r="P434">
        <v>1</v>
      </c>
      <c r="Q434">
        <v>10.85</v>
      </c>
      <c r="R434" t="s">
        <v>378</v>
      </c>
      <c r="S434">
        <v>0.23</v>
      </c>
      <c r="U434">
        <v>153</v>
      </c>
    </row>
    <row r="435" spans="1:21" x14ac:dyDescent="0.25">
      <c r="A435" s="2">
        <v>46045.762789351851</v>
      </c>
      <c r="B435" t="s">
        <v>309</v>
      </c>
      <c r="C435" t="s">
        <v>372</v>
      </c>
      <c r="D435">
        <v>3</v>
      </c>
      <c r="E435" t="s">
        <v>137</v>
      </c>
      <c r="F435" t="s">
        <v>373</v>
      </c>
      <c r="G435">
        <f t="shared" si="18"/>
        <v>85.133239831697054</v>
      </c>
      <c r="H435">
        <f t="shared" si="19"/>
        <v>1.4025245441795231</v>
      </c>
      <c r="I435">
        <v>43.83</v>
      </c>
      <c r="J435">
        <f t="shared" si="20"/>
        <v>13.464235624123422</v>
      </c>
      <c r="K435">
        <v>0.7</v>
      </c>
      <c r="L435">
        <v>0.1</v>
      </c>
      <c r="M435">
        <v>0.7</v>
      </c>
      <c r="N435">
        <v>96</v>
      </c>
      <c r="O435">
        <v>607</v>
      </c>
      <c r="P435">
        <v>10</v>
      </c>
      <c r="Q435">
        <v>86.54</v>
      </c>
      <c r="R435" t="s">
        <v>398</v>
      </c>
      <c r="S435">
        <v>2.56</v>
      </c>
      <c r="U435">
        <v>39</v>
      </c>
    </row>
    <row r="436" spans="1:21" x14ac:dyDescent="0.25">
      <c r="A436" s="2">
        <v>46045.763356481482</v>
      </c>
      <c r="B436" t="s">
        <v>309</v>
      </c>
      <c r="C436" t="s">
        <v>372</v>
      </c>
      <c r="D436">
        <v>3</v>
      </c>
      <c r="E436" t="s">
        <v>162</v>
      </c>
      <c r="F436" t="s">
        <v>373</v>
      </c>
      <c r="G436">
        <f t="shared" si="18"/>
        <v>1.3493253373313343</v>
      </c>
      <c r="H436">
        <f t="shared" si="19"/>
        <v>0</v>
      </c>
      <c r="I436">
        <v>43.83</v>
      </c>
      <c r="J436">
        <f t="shared" si="20"/>
        <v>98.650674662668663</v>
      </c>
      <c r="K436">
        <v>0.7</v>
      </c>
      <c r="L436">
        <v>0.1</v>
      </c>
      <c r="M436">
        <v>0.7</v>
      </c>
      <c r="N436">
        <v>658</v>
      </c>
      <c r="O436">
        <v>9</v>
      </c>
      <c r="P436">
        <v>0</v>
      </c>
      <c r="Q436">
        <v>1.35</v>
      </c>
      <c r="R436" t="s">
        <v>390</v>
      </c>
      <c r="S436">
        <v>0.04</v>
      </c>
      <c r="U436">
        <v>26</v>
      </c>
    </row>
    <row r="437" spans="1:21" x14ac:dyDescent="0.25">
      <c r="A437" s="2">
        <v>46045.763738425929</v>
      </c>
      <c r="B437" t="s">
        <v>309</v>
      </c>
      <c r="C437" t="s">
        <v>372</v>
      </c>
      <c r="D437">
        <v>3</v>
      </c>
      <c r="E437" t="s">
        <v>179</v>
      </c>
      <c r="F437" t="s">
        <v>373</v>
      </c>
      <c r="G437">
        <f t="shared" si="18"/>
        <v>21.40625</v>
      </c>
      <c r="H437">
        <f t="shared" si="19"/>
        <v>0</v>
      </c>
      <c r="I437">
        <v>43.83</v>
      </c>
      <c r="J437">
        <f t="shared" si="20"/>
        <v>78.59375</v>
      </c>
      <c r="K437">
        <v>0.7</v>
      </c>
      <c r="L437">
        <v>0.1</v>
      </c>
      <c r="M437">
        <v>0.7</v>
      </c>
      <c r="N437">
        <v>503</v>
      </c>
      <c r="O437">
        <v>137</v>
      </c>
      <c r="P437">
        <v>0</v>
      </c>
      <c r="Q437">
        <v>21.41</v>
      </c>
      <c r="R437" t="s">
        <v>392</v>
      </c>
      <c r="S437">
        <v>0.56000000000000005</v>
      </c>
      <c r="U437">
        <v>84</v>
      </c>
    </row>
    <row r="438" spans="1:21" x14ac:dyDescent="0.25">
      <c r="A438" s="2">
        <v>46045.764155092591</v>
      </c>
      <c r="B438" t="s">
        <v>309</v>
      </c>
      <c r="C438" t="s">
        <v>372</v>
      </c>
      <c r="D438">
        <v>3</v>
      </c>
      <c r="E438" t="s">
        <v>204</v>
      </c>
      <c r="F438" t="s">
        <v>373</v>
      </c>
      <c r="G438">
        <f t="shared" si="18"/>
        <v>1.8416206261510131</v>
      </c>
      <c r="H438">
        <f t="shared" si="19"/>
        <v>0</v>
      </c>
      <c r="I438">
        <v>43.83</v>
      </c>
      <c r="J438">
        <f t="shared" si="20"/>
        <v>98.158379373848987</v>
      </c>
      <c r="K438">
        <v>0.7</v>
      </c>
      <c r="L438">
        <v>0.1</v>
      </c>
      <c r="M438">
        <v>0.7</v>
      </c>
      <c r="N438">
        <v>533</v>
      </c>
      <c r="O438">
        <v>10</v>
      </c>
      <c r="P438">
        <v>0</v>
      </c>
      <c r="Q438">
        <v>1.84</v>
      </c>
      <c r="R438" t="s">
        <v>379</v>
      </c>
      <c r="S438">
        <v>0.05</v>
      </c>
      <c r="U438">
        <v>25</v>
      </c>
    </row>
    <row r="439" spans="1:21" x14ac:dyDescent="0.25">
      <c r="A439" s="2">
        <v>46045.764502314814</v>
      </c>
      <c r="B439" t="s">
        <v>309</v>
      </c>
      <c r="C439" t="s">
        <v>372</v>
      </c>
      <c r="D439">
        <v>3</v>
      </c>
      <c r="E439" t="s">
        <v>207</v>
      </c>
      <c r="F439" t="s">
        <v>373</v>
      </c>
      <c r="G439">
        <f t="shared" si="18"/>
        <v>8.5299455535390205</v>
      </c>
      <c r="H439">
        <f t="shared" si="19"/>
        <v>0</v>
      </c>
      <c r="I439">
        <v>43.83</v>
      </c>
      <c r="J439">
        <f t="shared" si="20"/>
        <v>91.470054446460978</v>
      </c>
      <c r="K439">
        <v>0.7</v>
      </c>
      <c r="L439">
        <v>0.1</v>
      </c>
      <c r="M439">
        <v>0.7</v>
      </c>
      <c r="N439">
        <v>504</v>
      </c>
      <c r="O439">
        <v>47</v>
      </c>
      <c r="P439">
        <v>0</v>
      </c>
      <c r="Q439">
        <v>8.5299999999999994</v>
      </c>
      <c r="R439" t="s">
        <v>390</v>
      </c>
      <c r="S439">
        <v>0.22</v>
      </c>
      <c r="U439">
        <v>85</v>
      </c>
    </row>
    <row r="440" spans="1:21" x14ac:dyDescent="0.25">
      <c r="A440" s="2">
        <v>46045.764884259261</v>
      </c>
      <c r="B440" t="s">
        <v>309</v>
      </c>
      <c r="C440" t="s">
        <v>372</v>
      </c>
      <c r="D440">
        <v>3</v>
      </c>
      <c r="E440" t="s">
        <v>212</v>
      </c>
      <c r="F440" t="s">
        <v>373</v>
      </c>
      <c r="G440">
        <f t="shared" si="18"/>
        <v>45.238095238095241</v>
      </c>
      <c r="H440">
        <f t="shared" si="19"/>
        <v>0.95238095238095244</v>
      </c>
      <c r="I440">
        <v>43.83</v>
      </c>
      <c r="J440">
        <f t="shared" si="20"/>
        <v>53.80952380952381</v>
      </c>
      <c r="K440">
        <v>0.7</v>
      </c>
      <c r="L440">
        <v>0.1</v>
      </c>
      <c r="M440">
        <v>0.7</v>
      </c>
      <c r="N440">
        <v>339</v>
      </c>
      <c r="O440">
        <v>285</v>
      </c>
      <c r="P440">
        <v>6</v>
      </c>
      <c r="Q440">
        <v>46.19</v>
      </c>
      <c r="R440" t="s">
        <v>386</v>
      </c>
      <c r="S440">
        <v>1.2</v>
      </c>
      <c r="U440">
        <v>63</v>
      </c>
    </row>
    <row r="441" spans="1:21" x14ac:dyDescent="0.25">
      <c r="A441" s="2">
        <v>46045.777291666665</v>
      </c>
      <c r="B441" t="s">
        <v>309</v>
      </c>
      <c r="C441" t="s">
        <v>372</v>
      </c>
      <c r="D441">
        <v>3</v>
      </c>
      <c r="E441" t="s">
        <v>34</v>
      </c>
      <c r="F441" t="s">
        <v>373</v>
      </c>
      <c r="G441">
        <f t="shared" si="18"/>
        <v>35.570469798657719</v>
      </c>
      <c r="H441">
        <f t="shared" si="19"/>
        <v>0.16778523489932887</v>
      </c>
      <c r="I441">
        <v>43.83</v>
      </c>
      <c r="J441">
        <f t="shared" si="20"/>
        <v>64.261744966442961</v>
      </c>
      <c r="K441">
        <v>0.7</v>
      </c>
      <c r="L441">
        <v>0.2</v>
      </c>
      <c r="M441">
        <v>0.7</v>
      </c>
      <c r="N441">
        <v>383</v>
      </c>
      <c r="O441">
        <v>212</v>
      </c>
      <c r="P441">
        <v>1</v>
      </c>
      <c r="Q441">
        <v>35.74</v>
      </c>
      <c r="R441" t="s">
        <v>385</v>
      </c>
      <c r="S441">
        <v>0.86</v>
      </c>
      <c r="U441">
        <v>67</v>
      </c>
    </row>
    <row r="442" spans="1:21" x14ac:dyDescent="0.25">
      <c r="A442" s="2">
        <v>46045.777719907404</v>
      </c>
      <c r="B442" t="s">
        <v>309</v>
      </c>
      <c r="C442" t="s">
        <v>372</v>
      </c>
      <c r="D442">
        <v>3</v>
      </c>
      <c r="E442" t="s">
        <v>36</v>
      </c>
      <c r="F442" t="s">
        <v>373</v>
      </c>
      <c r="G442">
        <f t="shared" si="18"/>
        <v>18.696883852691219</v>
      </c>
      <c r="H442">
        <f t="shared" si="19"/>
        <v>0.14164305949008499</v>
      </c>
      <c r="I442">
        <v>43.83</v>
      </c>
      <c r="J442">
        <f t="shared" si="20"/>
        <v>81.161473087818692</v>
      </c>
      <c r="K442">
        <v>0.7</v>
      </c>
      <c r="L442">
        <v>0.2</v>
      </c>
      <c r="M442">
        <v>0.7</v>
      </c>
      <c r="N442">
        <v>573</v>
      </c>
      <c r="O442">
        <v>132</v>
      </c>
      <c r="P442">
        <v>1</v>
      </c>
      <c r="Q442">
        <v>18.84</v>
      </c>
      <c r="R442" t="s">
        <v>392</v>
      </c>
      <c r="S442">
        <v>0.54</v>
      </c>
      <c r="U442">
        <v>26</v>
      </c>
    </row>
    <row r="443" spans="1:21" x14ac:dyDescent="0.25">
      <c r="A443" s="2">
        <v>46045.778136574074</v>
      </c>
      <c r="B443" t="s">
        <v>309</v>
      </c>
      <c r="C443" t="s">
        <v>372</v>
      </c>
      <c r="D443">
        <v>3</v>
      </c>
      <c r="E443" t="s">
        <v>41</v>
      </c>
      <c r="F443" t="s">
        <v>373</v>
      </c>
      <c r="G443">
        <f t="shared" si="18"/>
        <v>1.2820512820512819</v>
      </c>
      <c r="H443">
        <f t="shared" si="19"/>
        <v>0</v>
      </c>
      <c r="I443">
        <v>43.83</v>
      </c>
      <c r="J443">
        <f t="shared" si="20"/>
        <v>98.71794871794873</v>
      </c>
      <c r="K443">
        <v>0.7</v>
      </c>
      <c r="L443">
        <v>0.2</v>
      </c>
      <c r="M443">
        <v>0.7</v>
      </c>
      <c r="N443">
        <v>616</v>
      </c>
      <c r="O443">
        <v>8</v>
      </c>
      <c r="P443">
        <v>0</v>
      </c>
      <c r="Q443">
        <v>1.28</v>
      </c>
      <c r="R443" t="s">
        <v>384</v>
      </c>
      <c r="S443">
        <v>0.03</v>
      </c>
      <c r="U443">
        <v>15</v>
      </c>
    </row>
    <row r="444" spans="1:21" x14ac:dyDescent="0.25">
      <c r="A444" s="2">
        <v>46045.778495370374</v>
      </c>
      <c r="B444" t="s">
        <v>309</v>
      </c>
      <c r="C444" t="s">
        <v>372</v>
      </c>
      <c r="D444">
        <v>3</v>
      </c>
      <c r="E444" t="s">
        <v>42</v>
      </c>
      <c r="F444" t="s">
        <v>373</v>
      </c>
      <c r="G444">
        <f t="shared" si="18"/>
        <v>2.6124818577648767</v>
      </c>
      <c r="H444">
        <f t="shared" si="19"/>
        <v>0</v>
      </c>
      <c r="I444">
        <v>43.83</v>
      </c>
      <c r="J444">
        <f t="shared" si="20"/>
        <v>97.387518142235123</v>
      </c>
      <c r="K444">
        <v>0.7</v>
      </c>
      <c r="L444">
        <v>0.2</v>
      </c>
      <c r="M444">
        <v>0.7</v>
      </c>
      <c r="N444">
        <v>671</v>
      </c>
      <c r="O444">
        <v>18</v>
      </c>
      <c r="P444">
        <v>0</v>
      </c>
      <c r="Q444">
        <v>2.61</v>
      </c>
      <c r="R444" t="s">
        <v>390</v>
      </c>
      <c r="S444">
        <v>7.0000000000000007E-2</v>
      </c>
      <c r="U444">
        <v>13</v>
      </c>
    </row>
    <row r="445" spans="1:21" x14ac:dyDescent="0.25">
      <c r="A445" s="2">
        <v>46045.778877314813</v>
      </c>
      <c r="B445" t="s">
        <v>309</v>
      </c>
      <c r="C445" t="s">
        <v>372</v>
      </c>
      <c r="D445">
        <v>3</v>
      </c>
      <c r="E445" t="s">
        <v>43</v>
      </c>
      <c r="F445" t="s">
        <v>373</v>
      </c>
      <c r="G445">
        <f t="shared" si="18"/>
        <v>16.666666666666664</v>
      </c>
      <c r="H445">
        <f t="shared" si="19"/>
        <v>0</v>
      </c>
      <c r="I445">
        <v>43.83</v>
      </c>
      <c r="J445">
        <f t="shared" si="20"/>
        <v>83.333333333333343</v>
      </c>
      <c r="K445">
        <v>0.7</v>
      </c>
      <c r="L445">
        <v>0.2</v>
      </c>
      <c r="M445">
        <v>0.7</v>
      </c>
      <c r="N445">
        <v>505</v>
      </c>
      <c r="O445">
        <v>101</v>
      </c>
      <c r="P445">
        <v>0</v>
      </c>
      <c r="Q445">
        <v>16.670000000000002</v>
      </c>
      <c r="R445" t="s">
        <v>378</v>
      </c>
      <c r="S445">
        <v>0.42</v>
      </c>
      <c r="U445">
        <v>107</v>
      </c>
    </row>
    <row r="446" spans="1:21" x14ac:dyDescent="0.25">
      <c r="A446" s="2">
        <v>46045.779270833336</v>
      </c>
      <c r="B446" t="s">
        <v>309</v>
      </c>
      <c r="C446" t="s">
        <v>372</v>
      </c>
      <c r="D446">
        <v>3</v>
      </c>
      <c r="E446" t="s">
        <v>54</v>
      </c>
      <c r="F446" t="s">
        <v>373</v>
      </c>
      <c r="G446">
        <f t="shared" si="18"/>
        <v>0.74404761904761896</v>
      </c>
      <c r="H446">
        <f t="shared" si="19"/>
        <v>0</v>
      </c>
      <c r="I446">
        <v>43.83</v>
      </c>
      <c r="J446">
        <f t="shared" si="20"/>
        <v>99.25595238095238</v>
      </c>
      <c r="K446">
        <v>0.7</v>
      </c>
      <c r="L446">
        <v>0.2</v>
      </c>
      <c r="M446">
        <v>0.7</v>
      </c>
      <c r="N446">
        <v>667</v>
      </c>
      <c r="O446">
        <v>5</v>
      </c>
      <c r="P446">
        <v>0</v>
      </c>
      <c r="Q446">
        <v>0.74</v>
      </c>
      <c r="R446" t="s">
        <v>390</v>
      </c>
      <c r="S446">
        <v>0.02</v>
      </c>
      <c r="U446">
        <v>4</v>
      </c>
    </row>
    <row r="447" spans="1:21" x14ac:dyDescent="0.25">
      <c r="A447" s="2">
        <v>46045.779641203706</v>
      </c>
      <c r="B447" t="s">
        <v>309</v>
      </c>
      <c r="C447" t="s">
        <v>372</v>
      </c>
      <c r="D447">
        <v>3</v>
      </c>
      <c r="E447" t="s">
        <v>75</v>
      </c>
      <c r="F447" t="s">
        <v>373</v>
      </c>
      <c r="G447">
        <f t="shared" si="18"/>
        <v>2.2970903522205206</v>
      </c>
      <c r="H447">
        <f t="shared" si="19"/>
        <v>0</v>
      </c>
      <c r="I447">
        <v>43.83</v>
      </c>
      <c r="J447">
        <f t="shared" si="20"/>
        <v>97.702909647779478</v>
      </c>
      <c r="K447">
        <v>0.7</v>
      </c>
      <c r="L447">
        <v>0.2</v>
      </c>
      <c r="M447">
        <v>0.7</v>
      </c>
      <c r="N447">
        <v>638</v>
      </c>
      <c r="O447">
        <v>15</v>
      </c>
      <c r="P447">
        <v>0</v>
      </c>
      <c r="Q447">
        <v>2.2999999999999998</v>
      </c>
      <c r="R447" t="s">
        <v>390</v>
      </c>
      <c r="S447">
        <v>0.06</v>
      </c>
      <c r="U447">
        <v>24</v>
      </c>
    </row>
    <row r="448" spans="1:21" x14ac:dyDescent="0.25">
      <c r="A448" s="2">
        <v>46045.780023148145</v>
      </c>
      <c r="B448" t="s">
        <v>309</v>
      </c>
      <c r="C448" t="s">
        <v>372</v>
      </c>
      <c r="D448">
        <v>3</v>
      </c>
      <c r="E448" t="s">
        <v>324</v>
      </c>
      <c r="F448" t="s">
        <v>373</v>
      </c>
      <c r="G448">
        <f t="shared" si="18"/>
        <v>42.356687898089177</v>
      </c>
      <c r="H448">
        <f t="shared" si="19"/>
        <v>0.79617834394904463</v>
      </c>
      <c r="I448">
        <v>43.83</v>
      </c>
      <c r="J448">
        <f t="shared" si="20"/>
        <v>56.847133757961785</v>
      </c>
      <c r="K448">
        <v>0.7</v>
      </c>
      <c r="L448">
        <v>0.2</v>
      </c>
      <c r="M448">
        <v>0.7</v>
      </c>
      <c r="N448">
        <v>357</v>
      </c>
      <c r="O448">
        <v>266</v>
      </c>
      <c r="P448">
        <v>5</v>
      </c>
      <c r="Q448">
        <v>43.15</v>
      </c>
      <c r="R448" t="s">
        <v>389</v>
      </c>
      <c r="S448">
        <v>1.1200000000000001</v>
      </c>
      <c r="U448">
        <v>95</v>
      </c>
    </row>
    <row r="449" spans="1:21" x14ac:dyDescent="0.25">
      <c r="A449" s="2">
        <v>46045.780486111114</v>
      </c>
      <c r="B449" t="s">
        <v>309</v>
      </c>
      <c r="C449" t="s">
        <v>372</v>
      </c>
      <c r="D449">
        <v>3</v>
      </c>
      <c r="E449" t="s">
        <v>118</v>
      </c>
      <c r="F449" t="s">
        <v>373</v>
      </c>
      <c r="G449">
        <f t="shared" ref="G449:G512" si="21">(O449/(N449+O449+P449))*100</f>
        <v>9.5087163232963547</v>
      </c>
      <c r="H449">
        <f t="shared" ref="H449:H512" si="22">(P449/(O449+P449+N449))*100</f>
        <v>0.15847860538827258</v>
      </c>
      <c r="I449">
        <v>43.83</v>
      </c>
      <c r="J449">
        <f t="shared" ref="J449:J512" si="23">(N449/(P449+O449+N449))*100</f>
        <v>90.332805071315363</v>
      </c>
      <c r="K449">
        <v>0.7</v>
      </c>
      <c r="L449">
        <v>0.2</v>
      </c>
      <c r="M449">
        <v>0.7</v>
      </c>
      <c r="N449">
        <v>570</v>
      </c>
      <c r="O449">
        <v>60</v>
      </c>
      <c r="P449">
        <v>1</v>
      </c>
      <c r="Q449">
        <v>9.67</v>
      </c>
      <c r="R449" t="s">
        <v>295</v>
      </c>
      <c r="S449">
        <v>0.23</v>
      </c>
      <c r="U449">
        <v>84</v>
      </c>
    </row>
    <row r="450" spans="1:21" x14ac:dyDescent="0.25">
      <c r="A450" s="2">
        <v>46045.780868055554</v>
      </c>
      <c r="B450" t="s">
        <v>309</v>
      </c>
      <c r="C450" t="s">
        <v>372</v>
      </c>
      <c r="D450">
        <v>3</v>
      </c>
      <c r="E450" t="s">
        <v>137</v>
      </c>
      <c r="F450" t="s">
        <v>373</v>
      </c>
      <c r="G450">
        <f t="shared" si="21"/>
        <v>83.839779005524861</v>
      </c>
      <c r="H450">
        <f t="shared" si="22"/>
        <v>1.3812154696132597</v>
      </c>
      <c r="I450">
        <v>43.83</v>
      </c>
      <c r="J450">
        <f t="shared" si="23"/>
        <v>14.77900552486188</v>
      </c>
      <c r="K450">
        <v>0.7</v>
      </c>
      <c r="L450">
        <v>0.2</v>
      </c>
      <c r="M450">
        <v>0.7</v>
      </c>
      <c r="N450">
        <v>107</v>
      </c>
      <c r="O450">
        <v>607</v>
      </c>
      <c r="P450">
        <v>10</v>
      </c>
      <c r="Q450">
        <v>85.22</v>
      </c>
      <c r="R450" t="s">
        <v>395</v>
      </c>
      <c r="S450">
        <v>2.56</v>
      </c>
      <c r="U450">
        <v>28</v>
      </c>
    </row>
    <row r="451" spans="1:21" x14ac:dyDescent="0.25">
      <c r="A451" s="2">
        <v>46045.781412037039</v>
      </c>
      <c r="B451" t="s">
        <v>309</v>
      </c>
      <c r="C451" t="s">
        <v>372</v>
      </c>
      <c r="D451">
        <v>3</v>
      </c>
      <c r="E451" t="s">
        <v>162</v>
      </c>
      <c r="F451" t="s">
        <v>373</v>
      </c>
      <c r="G451">
        <f t="shared" si="21"/>
        <v>1.3333333333333335</v>
      </c>
      <c r="H451">
        <f t="shared" si="22"/>
        <v>0</v>
      </c>
      <c r="I451">
        <v>43.83</v>
      </c>
      <c r="J451">
        <f t="shared" si="23"/>
        <v>98.666666666666671</v>
      </c>
      <c r="K451">
        <v>0.7</v>
      </c>
      <c r="L451">
        <v>0.2</v>
      </c>
      <c r="M451">
        <v>0.7</v>
      </c>
      <c r="N451">
        <v>666</v>
      </c>
      <c r="O451">
        <v>9</v>
      </c>
      <c r="P451">
        <v>0</v>
      </c>
      <c r="Q451">
        <v>1.33</v>
      </c>
      <c r="R451" t="s">
        <v>384</v>
      </c>
      <c r="S451">
        <v>0.04</v>
      </c>
      <c r="U451">
        <v>18</v>
      </c>
    </row>
    <row r="452" spans="1:21" x14ac:dyDescent="0.25">
      <c r="A452" s="2">
        <v>46045.781782407408</v>
      </c>
      <c r="B452" t="s">
        <v>309</v>
      </c>
      <c r="C452" t="s">
        <v>372</v>
      </c>
      <c r="D452">
        <v>3</v>
      </c>
      <c r="E452" t="s">
        <v>179</v>
      </c>
      <c r="F452" t="s">
        <v>373</v>
      </c>
      <c r="G452">
        <f t="shared" si="21"/>
        <v>20.601503759398497</v>
      </c>
      <c r="H452">
        <f t="shared" si="22"/>
        <v>0.15037593984962408</v>
      </c>
      <c r="I452">
        <v>43.83</v>
      </c>
      <c r="J452">
        <f t="shared" si="23"/>
        <v>79.248120300751879</v>
      </c>
      <c r="K452">
        <v>0.7</v>
      </c>
      <c r="L452">
        <v>0.2</v>
      </c>
      <c r="M452">
        <v>0.7</v>
      </c>
      <c r="N452">
        <v>527</v>
      </c>
      <c r="O452">
        <v>137</v>
      </c>
      <c r="P452">
        <v>1</v>
      </c>
      <c r="Q452">
        <v>20.75</v>
      </c>
      <c r="R452" t="s">
        <v>378</v>
      </c>
      <c r="S452">
        <v>0.56999999999999995</v>
      </c>
      <c r="U452">
        <v>59</v>
      </c>
    </row>
    <row r="453" spans="1:21" x14ac:dyDescent="0.25">
      <c r="A453" s="2">
        <v>46045.782187500001</v>
      </c>
      <c r="B453" t="s">
        <v>309</v>
      </c>
      <c r="C453" t="s">
        <v>372</v>
      </c>
      <c r="D453">
        <v>3</v>
      </c>
      <c r="E453" t="s">
        <v>204</v>
      </c>
      <c r="F453" t="s">
        <v>373</v>
      </c>
      <c r="G453">
        <f t="shared" si="21"/>
        <v>1.8115942028985508</v>
      </c>
      <c r="H453">
        <f t="shared" si="22"/>
        <v>0</v>
      </c>
      <c r="I453">
        <v>43.83</v>
      </c>
      <c r="J453">
        <f t="shared" si="23"/>
        <v>98.188405797101453</v>
      </c>
      <c r="K453">
        <v>0.7</v>
      </c>
      <c r="L453">
        <v>0.2</v>
      </c>
      <c r="M453">
        <v>0.7</v>
      </c>
      <c r="N453">
        <v>542</v>
      </c>
      <c r="O453">
        <v>10</v>
      </c>
      <c r="P453">
        <v>0</v>
      </c>
      <c r="Q453">
        <v>1.81</v>
      </c>
      <c r="R453" t="s">
        <v>382</v>
      </c>
      <c r="S453">
        <v>0.05</v>
      </c>
      <c r="U453">
        <v>16</v>
      </c>
    </row>
    <row r="454" spans="1:21" x14ac:dyDescent="0.25">
      <c r="A454" s="2">
        <v>46045.782534722224</v>
      </c>
      <c r="B454" t="s">
        <v>309</v>
      </c>
      <c r="C454" t="s">
        <v>372</v>
      </c>
      <c r="D454">
        <v>3</v>
      </c>
      <c r="E454" t="s">
        <v>207</v>
      </c>
      <c r="F454" t="s">
        <v>373</v>
      </c>
      <c r="G454">
        <f t="shared" si="21"/>
        <v>8.0341880341880341</v>
      </c>
      <c r="H454">
        <f t="shared" si="22"/>
        <v>0</v>
      </c>
      <c r="I454">
        <v>43.83</v>
      </c>
      <c r="J454">
        <f t="shared" si="23"/>
        <v>91.965811965811966</v>
      </c>
      <c r="K454">
        <v>0.7</v>
      </c>
      <c r="L454">
        <v>0.2</v>
      </c>
      <c r="M454">
        <v>0.7</v>
      </c>
      <c r="N454">
        <v>538</v>
      </c>
      <c r="O454">
        <v>47</v>
      </c>
      <c r="P454">
        <v>0</v>
      </c>
      <c r="Q454">
        <v>8.0299999999999994</v>
      </c>
      <c r="R454" t="s">
        <v>384</v>
      </c>
      <c r="S454">
        <v>0.22</v>
      </c>
      <c r="U454">
        <v>51</v>
      </c>
    </row>
    <row r="455" spans="1:21" x14ac:dyDescent="0.25">
      <c r="A455" s="2">
        <v>46045.782905092594</v>
      </c>
      <c r="B455" t="s">
        <v>309</v>
      </c>
      <c r="C455" t="s">
        <v>372</v>
      </c>
      <c r="D455">
        <v>3</v>
      </c>
      <c r="E455" t="s">
        <v>212</v>
      </c>
      <c r="F455" t="s">
        <v>373</v>
      </c>
      <c r="G455">
        <f t="shared" si="21"/>
        <v>43.577981651376149</v>
      </c>
      <c r="H455">
        <f t="shared" si="22"/>
        <v>0.91743119266055051</v>
      </c>
      <c r="I455">
        <v>43.83</v>
      </c>
      <c r="J455">
        <f t="shared" si="23"/>
        <v>55.5045871559633</v>
      </c>
      <c r="K455">
        <v>0.7</v>
      </c>
      <c r="L455">
        <v>0.2</v>
      </c>
      <c r="M455">
        <v>0.7</v>
      </c>
      <c r="N455">
        <v>363</v>
      </c>
      <c r="O455">
        <v>285</v>
      </c>
      <c r="P455">
        <v>6</v>
      </c>
      <c r="Q455">
        <v>44.5</v>
      </c>
      <c r="R455" t="s">
        <v>385</v>
      </c>
      <c r="S455">
        <v>1.2</v>
      </c>
      <c r="U455">
        <v>39</v>
      </c>
    </row>
    <row r="456" spans="1:21" x14ac:dyDescent="0.25">
      <c r="A456" s="2">
        <v>46045.783310185187</v>
      </c>
      <c r="B456" t="s">
        <v>309</v>
      </c>
      <c r="C456" t="s">
        <v>372</v>
      </c>
      <c r="D456">
        <v>3</v>
      </c>
      <c r="E456" t="s">
        <v>34</v>
      </c>
      <c r="F456" t="s">
        <v>373</v>
      </c>
      <c r="G456">
        <f t="shared" si="21"/>
        <v>35.570469798657719</v>
      </c>
      <c r="H456">
        <f t="shared" si="22"/>
        <v>0.16778523489932887</v>
      </c>
      <c r="I456">
        <v>43.83</v>
      </c>
      <c r="J456">
        <f t="shared" si="23"/>
        <v>64.261744966442961</v>
      </c>
      <c r="K456">
        <v>0.7</v>
      </c>
      <c r="L456">
        <v>0.2</v>
      </c>
      <c r="M456">
        <v>0.7</v>
      </c>
      <c r="N456">
        <v>383</v>
      </c>
      <c r="O456">
        <v>212</v>
      </c>
      <c r="P456">
        <v>1</v>
      </c>
      <c r="Q456">
        <v>35.74</v>
      </c>
      <c r="R456" t="s">
        <v>378</v>
      </c>
      <c r="S456">
        <v>0.86</v>
      </c>
      <c r="U456">
        <v>67</v>
      </c>
    </row>
    <row r="457" spans="1:21" x14ac:dyDescent="0.25">
      <c r="A457" s="2">
        <v>46045.783703703702</v>
      </c>
      <c r="B457" t="s">
        <v>309</v>
      </c>
      <c r="C457" t="s">
        <v>372</v>
      </c>
      <c r="D457">
        <v>3</v>
      </c>
      <c r="E457" t="s">
        <v>36</v>
      </c>
      <c r="F457" t="s">
        <v>373</v>
      </c>
      <c r="G457">
        <f t="shared" si="21"/>
        <v>18.696883852691219</v>
      </c>
      <c r="H457">
        <f t="shared" si="22"/>
        <v>0.14164305949008499</v>
      </c>
      <c r="I457">
        <v>43.83</v>
      </c>
      <c r="J457">
        <f t="shared" si="23"/>
        <v>81.161473087818692</v>
      </c>
      <c r="K457">
        <v>0.7</v>
      </c>
      <c r="L457">
        <v>0.2</v>
      </c>
      <c r="M457">
        <v>0.7</v>
      </c>
      <c r="N457">
        <v>573</v>
      </c>
      <c r="O457">
        <v>132</v>
      </c>
      <c r="P457">
        <v>1</v>
      </c>
      <c r="Q457">
        <v>18.84</v>
      </c>
      <c r="R457" t="s">
        <v>378</v>
      </c>
      <c r="S457">
        <v>0.54</v>
      </c>
      <c r="U457">
        <v>26</v>
      </c>
    </row>
    <row r="458" spans="1:21" x14ac:dyDescent="0.25">
      <c r="A458" s="2">
        <v>46045.784108796295</v>
      </c>
      <c r="B458" t="s">
        <v>309</v>
      </c>
      <c r="C458" t="s">
        <v>372</v>
      </c>
      <c r="D458">
        <v>3</v>
      </c>
      <c r="E458" t="s">
        <v>41</v>
      </c>
      <c r="F458" t="s">
        <v>373</v>
      </c>
      <c r="G458">
        <f t="shared" si="21"/>
        <v>1.2820512820512819</v>
      </c>
      <c r="H458">
        <f t="shared" si="22"/>
        <v>0</v>
      </c>
      <c r="I458">
        <v>43.83</v>
      </c>
      <c r="J458">
        <f t="shared" si="23"/>
        <v>98.71794871794873</v>
      </c>
      <c r="K458">
        <v>0.7</v>
      </c>
      <c r="L458">
        <v>0.2</v>
      </c>
      <c r="M458">
        <v>0.7</v>
      </c>
      <c r="N458">
        <v>616</v>
      </c>
      <c r="O458">
        <v>8</v>
      </c>
      <c r="P458">
        <v>0</v>
      </c>
      <c r="Q458">
        <v>1.28</v>
      </c>
      <c r="R458" t="s">
        <v>379</v>
      </c>
      <c r="S458">
        <v>0.03</v>
      </c>
      <c r="U458">
        <v>15</v>
      </c>
    </row>
    <row r="459" spans="1:21" x14ac:dyDescent="0.25">
      <c r="A459" s="2">
        <v>46045.784456018519</v>
      </c>
      <c r="B459" t="s">
        <v>309</v>
      </c>
      <c r="C459" t="s">
        <v>372</v>
      </c>
      <c r="D459">
        <v>3</v>
      </c>
      <c r="E459" t="s">
        <v>42</v>
      </c>
      <c r="F459" t="s">
        <v>373</v>
      </c>
      <c r="G459">
        <f t="shared" si="21"/>
        <v>2.6124818577648767</v>
      </c>
      <c r="H459">
        <f t="shared" si="22"/>
        <v>0</v>
      </c>
      <c r="I459">
        <v>43.83</v>
      </c>
      <c r="J459">
        <f t="shared" si="23"/>
        <v>97.387518142235123</v>
      </c>
      <c r="K459">
        <v>0.7</v>
      </c>
      <c r="L459">
        <v>0.2</v>
      </c>
      <c r="M459">
        <v>0.7</v>
      </c>
      <c r="N459">
        <v>671</v>
      </c>
      <c r="O459">
        <v>18</v>
      </c>
      <c r="P459">
        <v>0</v>
      </c>
      <c r="Q459">
        <v>2.61</v>
      </c>
      <c r="R459" t="s">
        <v>384</v>
      </c>
      <c r="S459">
        <v>7.0000000000000007E-2</v>
      </c>
      <c r="U459">
        <v>13</v>
      </c>
    </row>
    <row r="460" spans="1:21" x14ac:dyDescent="0.25">
      <c r="A460" s="2">
        <v>46045.784814814811</v>
      </c>
      <c r="B460" t="s">
        <v>309</v>
      </c>
      <c r="C460" t="s">
        <v>372</v>
      </c>
      <c r="D460">
        <v>3</v>
      </c>
      <c r="E460" t="s">
        <v>43</v>
      </c>
      <c r="F460" t="s">
        <v>373</v>
      </c>
      <c r="G460">
        <f t="shared" si="21"/>
        <v>16.666666666666664</v>
      </c>
      <c r="H460">
        <f t="shared" si="22"/>
        <v>0</v>
      </c>
      <c r="I460">
        <v>43.83</v>
      </c>
      <c r="J460">
        <f t="shared" si="23"/>
        <v>83.333333333333343</v>
      </c>
      <c r="K460">
        <v>0.7</v>
      </c>
      <c r="L460">
        <v>0.2</v>
      </c>
      <c r="M460">
        <v>0.7</v>
      </c>
      <c r="N460">
        <v>505</v>
      </c>
      <c r="O460">
        <v>101</v>
      </c>
      <c r="P460">
        <v>0</v>
      </c>
      <c r="Q460">
        <v>16.670000000000002</v>
      </c>
      <c r="R460" t="s">
        <v>295</v>
      </c>
      <c r="S460">
        <v>0.42</v>
      </c>
      <c r="U460">
        <v>107</v>
      </c>
    </row>
    <row r="461" spans="1:21" x14ac:dyDescent="0.25">
      <c r="A461" s="2">
        <v>46045.785208333335</v>
      </c>
      <c r="B461" t="s">
        <v>309</v>
      </c>
      <c r="C461" t="s">
        <v>372</v>
      </c>
      <c r="D461">
        <v>3</v>
      </c>
      <c r="E461" t="s">
        <v>54</v>
      </c>
      <c r="F461" t="s">
        <v>373</v>
      </c>
      <c r="G461">
        <f t="shared" si="21"/>
        <v>0.74404761904761896</v>
      </c>
      <c r="H461">
        <f t="shared" si="22"/>
        <v>0</v>
      </c>
      <c r="I461">
        <v>43.83</v>
      </c>
      <c r="J461">
        <f t="shared" si="23"/>
        <v>99.25595238095238</v>
      </c>
      <c r="K461">
        <v>0.7</v>
      </c>
      <c r="L461">
        <v>0.2</v>
      </c>
      <c r="M461">
        <v>0.7</v>
      </c>
      <c r="N461">
        <v>667</v>
      </c>
      <c r="O461">
        <v>5</v>
      </c>
      <c r="P461">
        <v>0</v>
      </c>
      <c r="Q461">
        <v>0.74</v>
      </c>
      <c r="R461" t="s">
        <v>384</v>
      </c>
      <c r="S461">
        <v>0.02</v>
      </c>
      <c r="U461">
        <v>4</v>
      </c>
    </row>
    <row r="462" spans="1:21" x14ac:dyDescent="0.25">
      <c r="A462" s="2">
        <v>46045.785578703704</v>
      </c>
      <c r="B462" t="s">
        <v>309</v>
      </c>
      <c r="C462" t="s">
        <v>372</v>
      </c>
      <c r="D462">
        <v>3</v>
      </c>
      <c r="E462" t="s">
        <v>75</v>
      </c>
      <c r="F462" t="s">
        <v>373</v>
      </c>
      <c r="G462">
        <f t="shared" si="21"/>
        <v>2.2970903522205206</v>
      </c>
      <c r="H462">
        <f t="shared" si="22"/>
        <v>0</v>
      </c>
      <c r="I462">
        <v>43.83</v>
      </c>
      <c r="J462">
        <f t="shared" si="23"/>
        <v>97.702909647779478</v>
      </c>
      <c r="K462">
        <v>0.7</v>
      </c>
      <c r="L462">
        <v>0.2</v>
      </c>
      <c r="M462">
        <v>0.7</v>
      </c>
      <c r="N462">
        <v>638</v>
      </c>
      <c r="O462">
        <v>15</v>
      </c>
      <c r="P462">
        <v>0</v>
      </c>
      <c r="Q462">
        <v>2.2999999999999998</v>
      </c>
      <c r="R462" t="s">
        <v>384</v>
      </c>
      <c r="S462">
        <v>0.06</v>
      </c>
      <c r="U462">
        <v>24</v>
      </c>
    </row>
    <row r="463" spans="1:21" x14ac:dyDescent="0.25">
      <c r="A463" s="2">
        <v>46045.785937499997</v>
      </c>
      <c r="B463" t="s">
        <v>309</v>
      </c>
      <c r="C463" t="s">
        <v>372</v>
      </c>
      <c r="D463">
        <v>3</v>
      </c>
      <c r="E463" t="s">
        <v>324</v>
      </c>
      <c r="F463" t="s">
        <v>373</v>
      </c>
      <c r="G463">
        <f t="shared" si="21"/>
        <v>42.58373205741627</v>
      </c>
      <c r="H463">
        <f t="shared" si="22"/>
        <v>0.4784688995215311</v>
      </c>
      <c r="I463">
        <v>43.83</v>
      </c>
      <c r="J463">
        <f t="shared" si="23"/>
        <v>56.937799043062199</v>
      </c>
      <c r="K463">
        <v>0.7</v>
      </c>
      <c r="L463">
        <v>0.2</v>
      </c>
      <c r="M463">
        <v>0.7</v>
      </c>
      <c r="N463">
        <v>357</v>
      </c>
      <c r="O463">
        <v>267</v>
      </c>
      <c r="P463">
        <v>3</v>
      </c>
      <c r="Q463">
        <v>43.06</v>
      </c>
      <c r="R463" t="s">
        <v>386</v>
      </c>
      <c r="S463">
        <v>1.1200000000000001</v>
      </c>
      <c r="U463">
        <v>96</v>
      </c>
    </row>
    <row r="464" spans="1:21" x14ac:dyDescent="0.25">
      <c r="A464" s="2">
        <v>46045.786377314813</v>
      </c>
      <c r="B464" t="s">
        <v>309</v>
      </c>
      <c r="C464" t="s">
        <v>372</v>
      </c>
      <c r="D464">
        <v>3</v>
      </c>
      <c r="E464" t="s">
        <v>118</v>
      </c>
      <c r="F464" t="s">
        <v>373</v>
      </c>
      <c r="G464">
        <f t="shared" si="21"/>
        <v>9.5087163232963547</v>
      </c>
      <c r="H464">
        <f t="shared" si="22"/>
        <v>0.15847860538827258</v>
      </c>
      <c r="I464">
        <v>43.83</v>
      </c>
      <c r="J464">
        <f t="shared" si="23"/>
        <v>90.332805071315363</v>
      </c>
      <c r="K464">
        <v>0.7</v>
      </c>
      <c r="L464">
        <v>0.2</v>
      </c>
      <c r="M464">
        <v>0.7</v>
      </c>
      <c r="N464">
        <v>570</v>
      </c>
      <c r="O464">
        <v>60</v>
      </c>
      <c r="P464">
        <v>1</v>
      </c>
      <c r="Q464">
        <v>9.67</v>
      </c>
      <c r="R464" t="s">
        <v>295</v>
      </c>
      <c r="S464">
        <v>0.23</v>
      </c>
      <c r="U464">
        <v>84</v>
      </c>
    </row>
    <row r="465" spans="1:21" x14ac:dyDescent="0.25">
      <c r="A465" s="2">
        <v>46045.786770833336</v>
      </c>
      <c r="B465" t="s">
        <v>309</v>
      </c>
      <c r="C465" t="s">
        <v>372</v>
      </c>
      <c r="D465">
        <v>3</v>
      </c>
      <c r="E465" t="s">
        <v>137</v>
      </c>
      <c r="F465" t="s">
        <v>373</v>
      </c>
      <c r="G465">
        <f t="shared" si="21"/>
        <v>83.839779005524861</v>
      </c>
      <c r="H465">
        <f t="shared" si="22"/>
        <v>1.3812154696132597</v>
      </c>
      <c r="I465">
        <v>43.83</v>
      </c>
      <c r="J465">
        <f t="shared" si="23"/>
        <v>14.77900552486188</v>
      </c>
      <c r="K465">
        <v>0.7</v>
      </c>
      <c r="L465">
        <v>0.2</v>
      </c>
      <c r="M465">
        <v>0.7</v>
      </c>
      <c r="N465">
        <v>107</v>
      </c>
      <c r="O465">
        <v>607</v>
      </c>
      <c r="P465">
        <v>10</v>
      </c>
      <c r="Q465">
        <v>85.22</v>
      </c>
      <c r="R465" t="s">
        <v>398</v>
      </c>
      <c r="S465">
        <v>2.56</v>
      </c>
      <c r="U465">
        <v>28</v>
      </c>
    </row>
    <row r="466" spans="1:21" x14ac:dyDescent="0.25">
      <c r="A466" s="2">
        <v>46045.78733796296</v>
      </c>
      <c r="B466" t="s">
        <v>309</v>
      </c>
      <c r="C466" t="s">
        <v>372</v>
      </c>
      <c r="D466">
        <v>3</v>
      </c>
      <c r="E466" t="s">
        <v>162</v>
      </c>
      <c r="F466" t="s">
        <v>373</v>
      </c>
      <c r="G466">
        <f t="shared" si="21"/>
        <v>1.3333333333333335</v>
      </c>
      <c r="H466">
        <f t="shared" si="22"/>
        <v>0</v>
      </c>
      <c r="I466">
        <v>43.83</v>
      </c>
      <c r="J466">
        <f t="shared" si="23"/>
        <v>98.666666666666671</v>
      </c>
      <c r="K466">
        <v>0.7</v>
      </c>
      <c r="L466">
        <v>0.2</v>
      </c>
      <c r="M466">
        <v>0.7</v>
      </c>
      <c r="N466">
        <v>666</v>
      </c>
      <c r="O466">
        <v>9</v>
      </c>
      <c r="P466">
        <v>0</v>
      </c>
      <c r="Q466">
        <v>1.33</v>
      </c>
      <c r="R466" t="s">
        <v>390</v>
      </c>
      <c r="S466">
        <v>0.04</v>
      </c>
      <c r="U466">
        <v>18</v>
      </c>
    </row>
    <row r="467" spans="1:21" x14ac:dyDescent="0.25">
      <c r="A467" s="2">
        <v>46045.787708333337</v>
      </c>
      <c r="B467" t="s">
        <v>309</v>
      </c>
      <c r="C467" t="s">
        <v>372</v>
      </c>
      <c r="D467">
        <v>3</v>
      </c>
      <c r="E467" t="s">
        <v>179</v>
      </c>
      <c r="F467" t="s">
        <v>373</v>
      </c>
      <c r="G467">
        <f t="shared" si="21"/>
        <v>20.601503759398497</v>
      </c>
      <c r="H467">
        <f t="shared" si="22"/>
        <v>0.15037593984962408</v>
      </c>
      <c r="I467">
        <v>43.83</v>
      </c>
      <c r="J467">
        <f t="shared" si="23"/>
        <v>79.248120300751879</v>
      </c>
      <c r="K467">
        <v>0.7</v>
      </c>
      <c r="L467">
        <v>0.2</v>
      </c>
      <c r="M467">
        <v>0.7</v>
      </c>
      <c r="N467">
        <v>527</v>
      </c>
      <c r="O467">
        <v>137</v>
      </c>
      <c r="P467">
        <v>1</v>
      </c>
      <c r="Q467">
        <v>20.75</v>
      </c>
      <c r="R467" t="s">
        <v>392</v>
      </c>
      <c r="S467">
        <v>0.56999999999999995</v>
      </c>
      <c r="U467">
        <v>59</v>
      </c>
    </row>
    <row r="468" spans="1:21" x14ac:dyDescent="0.25">
      <c r="A468" s="2">
        <v>46045.788113425922</v>
      </c>
      <c r="B468" t="s">
        <v>309</v>
      </c>
      <c r="C468" t="s">
        <v>372</v>
      </c>
      <c r="D468">
        <v>3</v>
      </c>
      <c r="E468" t="s">
        <v>204</v>
      </c>
      <c r="F468" t="s">
        <v>373</v>
      </c>
      <c r="G468">
        <f t="shared" si="21"/>
        <v>1.8115942028985508</v>
      </c>
      <c r="H468">
        <f t="shared" si="22"/>
        <v>0</v>
      </c>
      <c r="I468">
        <v>43.83</v>
      </c>
      <c r="J468">
        <f t="shared" si="23"/>
        <v>98.188405797101453</v>
      </c>
      <c r="K468">
        <v>0.7</v>
      </c>
      <c r="L468">
        <v>0.2</v>
      </c>
      <c r="M468">
        <v>0.7</v>
      </c>
      <c r="N468">
        <v>542</v>
      </c>
      <c r="O468">
        <v>10</v>
      </c>
      <c r="P468">
        <v>0</v>
      </c>
      <c r="Q468">
        <v>1.81</v>
      </c>
      <c r="R468" t="s">
        <v>379</v>
      </c>
      <c r="S468">
        <v>0.05</v>
      </c>
      <c r="U468">
        <v>16</v>
      </c>
    </row>
    <row r="469" spans="1:21" x14ac:dyDescent="0.25">
      <c r="A469" s="2">
        <v>46045.788472222222</v>
      </c>
      <c r="B469" t="s">
        <v>309</v>
      </c>
      <c r="C469" t="s">
        <v>372</v>
      </c>
      <c r="D469">
        <v>3</v>
      </c>
      <c r="E469" t="s">
        <v>207</v>
      </c>
      <c r="F469" t="s">
        <v>373</v>
      </c>
      <c r="G469">
        <f t="shared" si="21"/>
        <v>8.0341880341880341</v>
      </c>
      <c r="H469">
        <f t="shared" si="22"/>
        <v>0</v>
      </c>
      <c r="I469">
        <v>43.83</v>
      </c>
      <c r="J469">
        <f t="shared" si="23"/>
        <v>91.965811965811966</v>
      </c>
      <c r="K469">
        <v>0.7</v>
      </c>
      <c r="L469">
        <v>0.2</v>
      </c>
      <c r="M469">
        <v>0.7</v>
      </c>
      <c r="N469">
        <v>538</v>
      </c>
      <c r="O469">
        <v>47</v>
      </c>
      <c r="P469">
        <v>0</v>
      </c>
      <c r="Q469">
        <v>8.0299999999999994</v>
      </c>
      <c r="R469" t="s">
        <v>384</v>
      </c>
      <c r="S469">
        <v>0.22</v>
      </c>
      <c r="U469">
        <v>51</v>
      </c>
    </row>
    <row r="470" spans="1:21" x14ac:dyDescent="0.25">
      <c r="A470" s="2">
        <v>46045.788842592592</v>
      </c>
      <c r="B470" t="s">
        <v>309</v>
      </c>
      <c r="C470" t="s">
        <v>372</v>
      </c>
      <c r="D470">
        <v>3</v>
      </c>
      <c r="E470" t="s">
        <v>212</v>
      </c>
      <c r="F470" t="s">
        <v>373</v>
      </c>
      <c r="G470">
        <f t="shared" si="21"/>
        <v>43.577981651376149</v>
      </c>
      <c r="H470">
        <f t="shared" si="22"/>
        <v>0.91743119266055051</v>
      </c>
      <c r="I470">
        <v>43.83</v>
      </c>
      <c r="J470">
        <f t="shared" si="23"/>
        <v>55.5045871559633</v>
      </c>
      <c r="K470">
        <v>0.7</v>
      </c>
      <c r="L470">
        <v>0.2</v>
      </c>
      <c r="M470">
        <v>0.7</v>
      </c>
      <c r="N470">
        <v>363</v>
      </c>
      <c r="O470">
        <v>285</v>
      </c>
      <c r="P470">
        <v>6</v>
      </c>
      <c r="Q470">
        <v>44.5</v>
      </c>
      <c r="R470" t="s">
        <v>386</v>
      </c>
      <c r="S470">
        <v>1.2</v>
      </c>
      <c r="U470">
        <v>39</v>
      </c>
    </row>
    <row r="471" spans="1:21" x14ac:dyDescent="0.25">
      <c r="A471" s="2">
        <v>46045.783425925925</v>
      </c>
      <c r="B471" t="s">
        <v>309</v>
      </c>
      <c r="C471" t="s">
        <v>372</v>
      </c>
      <c r="D471">
        <v>3</v>
      </c>
      <c r="E471" t="s">
        <v>34</v>
      </c>
      <c r="F471" t="s">
        <v>373</v>
      </c>
      <c r="G471">
        <f t="shared" si="21"/>
        <v>35.570469798657719</v>
      </c>
      <c r="H471">
        <f t="shared" si="22"/>
        <v>0.16778523489932887</v>
      </c>
      <c r="I471">
        <v>43.83</v>
      </c>
      <c r="J471">
        <f t="shared" si="23"/>
        <v>64.261744966442961</v>
      </c>
      <c r="K471">
        <v>0.7</v>
      </c>
      <c r="L471">
        <v>0.2</v>
      </c>
      <c r="M471">
        <v>0.7</v>
      </c>
      <c r="N471">
        <v>383</v>
      </c>
      <c r="O471">
        <v>212</v>
      </c>
      <c r="P471">
        <v>1</v>
      </c>
      <c r="Q471">
        <v>35.74</v>
      </c>
      <c r="R471" t="s">
        <v>378</v>
      </c>
      <c r="S471">
        <v>0.86</v>
      </c>
      <c r="U471">
        <v>67</v>
      </c>
    </row>
    <row r="472" spans="1:21" x14ac:dyDescent="0.25">
      <c r="A472" s="2">
        <v>46045.783819444441</v>
      </c>
      <c r="B472" t="s">
        <v>309</v>
      </c>
      <c r="C472" t="s">
        <v>372</v>
      </c>
      <c r="D472">
        <v>3</v>
      </c>
      <c r="E472" t="s">
        <v>36</v>
      </c>
      <c r="F472" t="s">
        <v>373</v>
      </c>
      <c r="G472">
        <f t="shared" si="21"/>
        <v>18.696883852691219</v>
      </c>
      <c r="H472">
        <f t="shared" si="22"/>
        <v>0.14164305949008499</v>
      </c>
      <c r="I472">
        <v>43.83</v>
      </c>
      <c r="J472">
        <f t="shared" si="23"/>
        <v>81.161473087818692</v>
      </c>
      <c r="K472">
        <v>0.7</v>
      </c>
      <c r="L472">
        <v>0.2</v>
      </c>
      <c r="M472">
        <v>0.7</v>
      </c>
      <c r="N472">
        <v>573</v>
      </c>
      <c r="O472">
        <v>132</v>
      </c>
      <c r="P472">
        <v>1</v>
      </c>
      <c r="Q472">
        <v>18.84</v>
      </c>
      <c r="R472" t="s">
        <v>378</v>
      </c>
      <c r="S472">
        <v>0.54</v>
      </c>
      <c r="U472">
        <v>26</v>
      </c>
    </row>
    <row r="473" spans="1:21" x14ac:dyDescent="0.25">
      <c r="A473" s="2">
        <v>46045.784224537034</v>
      </c>
      <c r="B473" t="s">
        <v>309</v>
      </c>
      <c r="C473" t="s">
        <v>372</v>
      </c>
      <c r="D473">
        <v>3</v>
      </c>
      <c r="E473" t="s">
        <v>41</v>
      </c>
      <c r="F473" t="s">
        <v>373</v>
      </c>
      <c r="G473">
        <f t="shared" si="21"/>
        <v>1.2820512820512819</v>
      </c>
      <c r="H473">
        <f t="shared" si="22"/>
        <v>0</v>
      </c>
      <c r="I473">
        <v>43.83</v>
      </c>
      <c r="J473">
        <f t="shared" si="23"/>
        <v>98.71794871794873</v>
      </c>
      <c r="K473">
        <v>0.7</v>
      </c>
      <c r="L473">
        <v>0.2</v>
      </c>
      <c r="M473">
        <v>0.7</v>
      </c>
      <c r="N473">
        <v>616</v>
      </c>
      <c r="O473">
        <v>8</v>
      </c>
      <c r="P473">
        <v>0</v>
      </c>
      <c r="Q473">
        <v>1.28</v>
      </c>
      <c r="R473" t="s">
        <v>379</v>
      </c>
      <c r="S473">
        <v>0.03</v>
      </c>
      <c r="U473">
        <v>15</v>
      </c>
    </row>
    <row r="474" spans="1:21" x14ac:dyDescent="0.25">
      <c r="A474" s="2">
        <v>46045.784571759257</v>
      </c>
      <c r="B474" t="s">
        <v>309</v>
      </c>
      <c r="C474" t="s">
        <v>372</v>
      </c>
      <c r="D474">
        <v>3</v>
      </c>
      <c r="E474" t="s">
        <v>42</v>
      </c>
      <c r="F474" t="s">
        <v>373</v>
      </c>
      <c r="G474">
        <f t="shared" si="21"/>
        <v>2.6124818577648767</v>
      </c>
      <c r="H474">
        <f t="shared" si="22"/>
        <v>0</v>
      </c>
      <c r="I474">
        <v>43.83</v>
      </c>
      <c r="J474">
        <f t="shared" si="23"/>
        <v>97.387518142235123</v>
      </c>
      <c r="K474">
        <v>0.7</v>
      </c>
      <c r="L474">
        <v>0.2</v>
      </c>
      <c r="M474">
        <v>0.7</v>
      </c>
      <c r="N474">
        <v>671</v>
      </c>
      <c r="O474">
        <v>18</v>
      </c>
      <c r="P474">
        <v>0</v>
      </c>
      <c r="Q474">
        <v>2.61</v>
      </c>
      <c r="R474" t="s">
        <v>384</v>
      </c>
      <c r="S474">
        <v>7.0000000000000007E-2</v>
      </c>
      <c r="U474">
        <v>13</v>
      </c>
    </row>
    <row r="475" spans="1:21" x14ac:dyDescent="0.25">
      <c r="A475" s="2">
        <v>46045.784930555557</v>
      </c>
      <c r="B475" t="s">
        <v>309</v>
      </c>
      <c r="C475" t="s">
        <v>372</v>
      </c>
      <c r="D475">
        <v>3</v>
      </c>
      <c r="E475" t="s">
        <v>43</v>
      </c>
      <c r="F475" t="s">
        <v>373</v>
      </c>
      <c r="G475">
        <f t="shared" si="21"/>
        <v>16.666666666666664</v>
      </c>
      <c r="H475">
        <f t="shared" si="22"/>
        <v>0</v>
      </c>
      <c r="I475">
        <v>43.83</v>
      </c>
      <c r="J475">
        <f t="shared" si="23"/>
        <v>83.333333333333343</v>
      </c>
      <c r="K475">
        <v>0.7</v>
      </c>
      <c r="L475">
        <v>0.2</v>
      </c>
      <c r="M475">
        <v>0.7</v>
      </c>
      <c r="N475">
        <v>505</v>
      </c>
      <c r="O475">
        <v>101</v>
      </c>
      <c r="P475">
        <v>0</v>
      </c>
      <c r="Q475">
        <v>16.670000000000002</v>
      </c>
      <c r="R475" t="s">
        <v>295</v>
      </c>
      <c r="S475">
        <v>0.42</v>
      </c>
      <c r="U475">
        <v>107</v>
      </c>
    </row>
    <row r="476" spans="1:21" x14ac:dyDescent="0.25">
      <c r="A476" s="2">
        <v>46045.785324074073</v>
      </c>
      <c r="B476" t="s">
        <v>309</v>
      </c>
      <c r="C476" t="s">
        <v>372</v>
      </c>
      <c r="D476">
        <v>3</v>
      </c>
      <c r="E476" t="s">
        <v>54</v>
      </c>
      <c r="F476" t="s">
        <v>373</v>
      </c>
      <c r="G476">
        <f t="shared" si="21"/>
        <v>0.74404761904761896</v>
      </c>
      <c r="H476">
        <f t="shared" si="22"/>
        <v>0</v>
      </c>
      <c r="I476">
        <v>43.83</v>
      </c>
      <c r="J476">
        <f t="shared" si="23"/>
        <v>99.25595238095238</v>
      </c>
      <c r="K476">
        <v>0.7</v>
      </c>
      <c r="L476">
        <v>0.2</v>
      </c>
      <c r="M476">
        <v>0.7</v>
      </c>
      <c r="N476">
        <v>667</v>
      </c>
      <c r="O476">
        <v>5</v>
      </c>
      <c r="P476">
        <v>0</v>
      </c>
      <c r="Q476">
        <v>0.74</v>
      </c>
      <c r="R476" t="s">
        <v>384</v>
      </c>
      <c r="S476">
        <v>0.02</v>
      </c>
      <c r="U476">
        <v>4</v>
      </c>
    </row>
    <row r="477" spans="1:21" x14ac:dyDescent="0.25">
      <c r="A477" s="2">
        <v>46045.785682870373</v>
      </c>
      <c r="B477" t="s">
        <v>309</v>
      </c>
      <c r="C477" t="s">
        <v>372</v>
      </c>
      <c r="D477">
        <v>3</v>
      </c>
      <c r="E477" t="s">
        <v>75</v>
      </c>
      <c r="F477" t="s">
        <v>373</v>
      </c>
      <c r="G477">
        <f t="shared" si="21"/>
        <v>2.2970903522205206</v>
      </c>
      <c r="H477">
        <f t="shared" si="22"/>
        <v>0</v>
      </c>
      <c r="I477">
        <v>43.83</v>
      </c>
      <c r="J477">
        <f t="shared" si="23"/>
        <v>97.702909647779478</v>
      </c>
      <c r="K477">
        <v>0.7</v>
      </c>
      <c r="L477">
        <v>0.2</v>
      </c>
      <c r="M477">
        <v>0.7</v>
      </c>
      <c r="N477">
        <v>638</v>
      </c>
      <c r="O477">
        <v>15</v>
      </c>
      <c r="P477">
        <v>0</v>
      </c>
      <c r="Q477">
        <v>2.2999999999999998</v>
      </c>
      <c r="R477" t="s">
        <v>384</v>
      </c>
      <c r="S477">
        <v>0.06</v>
      </c>
      <c r="U477">
        <v>24</v>
      </c>
    </row>
    <row r="478" spans="1:21" x14ac:dyDescent="0.25">
      <c r="A478" s="2">
        <v>46045.786053240743</v>
      </c>
      <c r="B478" t="s">
        <v>309</v>
      </c>
      <c r="C478" t="s">
        <v>372</v>
      </c>
      <c r="D478">
        <v>3</v>
      </c>
      <c r="E478" t="s">
        <v>324</v>
      </c>
      <c r="F478" t="s">
        <v>373</v>
      </c>
      <c r="G478">
        <f t="shared" si="21"/>
        <v>42.58373205741627</v>
      </c>
      <c r="H478">
        <f t="shared" si="22"/>
        <v>0.4784688995215311</v>
      </c>
      <c r="I478">
        <v>43.83</v>
      </c>
      <c r="J478">
        <f t="shared" si="23"/>
        <v>56.937799043062199</v>
      </c>
      <c r="K478">
        <v>0.7</v>
      </c>
      <c r="L478">
        <v>0.2</v>
      </c>
      <c r="M478">
        <v>0.7</v>
      </c>
      <c r="N478">
        <v>357</v>
      </c>
      <c r="O478">
        <v>267</v>
      </c>
      <c r="P478">
        <v>3</v>
      </c>
      <c r="Q478">
        <v>43.06</v>
      </c>
      <c r="R478" t="s">
        <v>386</v>
      </c>
      <c r="S478">
        <v>1.1200000000000001</v>
      </c>
      <c r="U478">
        <v>96</v>
      </c>
    </row>
    <row r="479" spans="1:21" x14ac:dyDescent="0.25">
      <c r="A479" s="2">
        <v>46045.786493055559</v>
      </c>
      <c r="B479" t="s">
        <v>309</v>
      </c>
      <c r="C479" t="s">
        <v>372</v>
      </c>
      <c r="D479">
        <v>3</v>
      </c>
      <c r="E479" t="s">
        <v>118</v>
      </c>
      <c r="F479" t="s">
        <v>373</v>
      </c>
      <c r="G479">
        <f t="shared" si="21"/>
        <v>9.5087163232963547</v>
      </c>
      <c r="H479">
        <f t="shared" si="22"/>
        <v>0.15847860538827258</v>
      </c>
      <c r="I479">
        <v>43.83</v>
      </c>
      <c r="J479">
        <f t="shared" si="23"/>
        <v>90.332805071315363</v>
      </c>
      <c r="K479">
        <v>0.7</v>
      </c>
      <c r="L479">
        <v>0.2</v>
      </c>
      <c r="M479">
        <v>0.7</v>
      </c>
      <c r="N479">
        <v>570</v>
      </c>
      <c r="O479">
        <v>60</v>
      </c>
      <c r="P479">
        <v>1</v>
      </c>
      <c r="Q479">
        <v>9.67</v>
      </c>
      <c r="R479" t="s">
        <v>295</v>
      </c>
      <c r="S479">
        <v>0.23</v>
      </c>
      <c r="U479">
        <v>84</v>
      </c>
    </row>
    <row r="480" spans="1:21" x14ac:dyDescent="0.25">
      <c r="A480" s="2">
        <v>46045.786886574075</v>
      </c>
      <c r="B480" t="s">
        <v>309</v>
      </c>
      <c r="C480" t="s">
        <v>372</v>
      </c>
      <c r="D480">
        <v>3</v>
      </c>
      <c r="E480" t="s">
        <v>137</v>
      </c>
      <c r="F480" t="s">
        <v>373</v>
      </c>
      <c r="G480">
        <f t="shared" si="21"/>
        <v>83.839779005524861</v>
      </c>
      <c r="H480">
        <f t="shared" si="22"/>
        <v>1.3812154696132597</v>
      </c>
      <c r="I480">
        <v>43.83</v>
      </c>
      <c r="J480">
        <f t="shared" si="23"/>
        <v>14.77900552486188</v>
      </c>
      <c r="K480">
        <v>0.7</v>
      </c>
      <c r="L480">
        <v>0.2</v>
      </c>
      <c r="M480">
        <v>0.7</v>
      </c>
      <c r="N480">
        <v>107</v>
      </c>
      <c r="O480">
        <v>607</v>
      </c>
      <c r="P480">
        <v>10</v>
      </c>
      <c r="Q480">
        <v>85.22</v>
      </c>
      <c r="R480" t="s">
        <v>397</v>
      </c>
      <c r="S480">
        <v>2.56</v>
      </c>
      <c r="U480">
        <v>28</v>
      </c>
    </row>
    <row r="481" spans="1:21" x14ac:dyDescent="0.25">
      <c r="A481" s="2">
        <v>46045.787418981483</v>
      </c>
      <c r="B481" t="s">
        <v>309</v>
      </c>
      <c r="C481" t="s">
        <v>372</v>
      </c>
      <c r="D481">
        <v>3</v>
      </c>
      <c r="E481" t="s">
        <v>162</v>
      </c>
      <c r="F481" t="s">
        <v>373</v>
      </c>
      <c r="G481">
        <f t="shared" si="21"/>
        <v>1.3333333333333335</v>
      </c>
      <c r="H481">
        <f t="shared" si="22"/>
        <v>0</v>
      </c>
      <c r="I481">
        <v>43.83</v>
      </c>
      <c r="J481">
        <f t="shared" si="23"/>
        <v>98.666666666666671</v>
      </c>
      <c r="K481">
        <v>0.7</v>
      </c>
      <c r="L481">
        <v>0.2</v>
      </c>
      <c r="M481">
        <v>0.7</v>
      </c>
      <c r="N481">
        <v>666</v>
      </c>
      <c r="O481">
        <v>9</v>
      </c>
      <c r="P481">
        <v>0</v>
      </c>
      <c r="Q481">
        <v>1.33</v>
      </c>
      <c r="R481" t="s">
        <v>384</v>
      </c>
      <c r="S481">
        <v>0.04</v>
      </c>
      <c r="U481">
        <v>18</v>
      </c>
    </row>
    <row r="482" spans="1:21" x14ac:dyDescent="0.25">
      <c r="A482" s="2">
        <v>46045.787789351853</v>
      </c>
      <c r="B482" t="s">
        <v>309</v>
      </c>
      <c r="C482" t="s">
        <v>372</v>
      </c>
      <c r="D482">
        <v>3</v>
      </c>
      <c r="E482" t="s">
        <v>179</v>
      </c>
      <c r="F482" t="s">
        <v>373</v>
      </c>
      <c r="G482">
        <f t="shared" si="21"/>
        <v>20.632530120481928</v>
      </c>
      <c r="H482">
        <f t="shared" si="22"/>
        <v>0</v>
      </c>
      <c r="I482">
        <v>43.83</v>
      </c>
      <c r="J482">
        <f t="shared" si="23"/>
        <v>79.367469879518069</v>
      </c>
      <c r="K482">
        <v>0.7</v>
      </c>
      <c r="L482">
        <v>0.2</v>
      </c>
      <c r="M482">
        <v>0.7</v>
      </c>
      <c r="N482">
        <v>527</v>
      </c>
      <c r="O482">
        <v>137</v>
      </c>
      <c r="P482">
        <v>0</v>
      </c>
      <c r="Q482">
        <v>20.63</v>
      </c>
      <c r="R482" t="s">
        <v>378</v>
      </c>
      <c r="S482">
        <v>0.56000000000000005</v>
      </c>
      <c r="U482">
        <v>60</v>
      </c>
    </row>
    <row r="483" spans="1:21" x14ac:dyDescent="0.25">
      <c r="A483" s="2">
        <v>46045.788194444445</v>
      </c>
      <c r="B483" t="s">
        <v>309</v>
      </c>
      <c r="C483" t="s">
        <v>372</v>
      </c>
      <c r="D483">
        <v>3</v>
      </c>
      <c r="E483" t="s">
        <v>204</v>
      </c>
      <c r="F483" t="s">
        <v>373</v>
      </c>
      <c r="G483">
        <f t="shared" si="21"/>
        <v>1.8115942028985508</v>
      </c>
      <c r="H483">
        <f t="shared" si="22"/>
        <v>0</v>
      </c>
      <c r="I483">
        <v>43.83</v>
      </c>
      <c r="J483">
        <f t="shared" si="23"/>
        <v>98.188405797101453</v>
      </c>
      <c r="K483">
        <v>0.7</v>
      </c>
      <c r="L483">
        <v>0.2</v>
      </c>
      <c r="M483">
        <v>0.7</v>
      </c>
      <c r="N483">
        <v>542</v>
      </c>
      <c r="O483">
        <v>10</v>
      </c>
      <c r="P483">
        <v>0</v>
      </c>
      <c r="Q483">
        <v>1.81</v>
      </c>
      <c r="R483" t="s">
        <v>379</v>
      </c>
      <c r="S483">
        <v>0.05</v>
      </c>
      <c r="U483">
        <v>16</v>
      </c>
    </row>
    <row r="484" spans="1:21" x14ac:dyDescent="0.25">
      <c r="A484" s="2">
        <v>46045.788553240738</v>
      </c>
      <c r="B484" t="s">
        <v>309</v>
      </c>
      <c r="C484" t="s">
        <v>372</v>
      </c>
      <c r="D484">
        <v>3</v>
      </c>
      <c r="E484" t="s">
        <v>207</v>
      </c>
      <c r="F484" t="s">
        <v>373</v>
      </c>
      <c r="G484">
        <f t="shared" si="21"/>
        <v>8.0341880341880341</v>
      </c>
      <c r="H484">
        <f t="shared" si="22"/>
        <v>0</v>
      </c>
      <c r="I484">
        <v>43.83</v>
      </c>
      <c r="J484">
        <f t="shared" si="23"/>
        <v>91.965811965811966</v>
      </c>
      <c r="K484">
        <v>0.7</v>
      </c>
      <c r="L484">
        <v>0.2</v>
      </c>
      <c r="M484">
        <v>0.7</v>
      </c>
      <c r="N484">
        <v>538</v>
      </c>
      <c r="O484">
        <v>47</v>
      </c>
      <c r="P484">
        <v>0</v>
      </c>
      <c r="Q484">
        <v>8.0299999999999994</v>
      </c>
      <c r="R484" t="s">
        <v>384</v>
      </c>
      <c r="S484">
        <v>0.22</v>
      </c>
      <c r="U484">
        <v>51</v>
      </c>
    </row>
    <row r="485" spans="1:21" x14ac:dyDescent="0.25">
      <c r="A485" s="2">
        <v>46045.788912037038</v>
      </c>
      <c r="B485" t="s">
        <v>309</v>
      </c>
      <c r="C485" t="s">
        <v>372</v>
      </c>
      <c r="D485">
        <v>3</v>
      </c>
      <c r="E485" t="s">
        <v>212</v>
      </c>
      <c r="F485" t="s">
        <v>373</v>
      </c>
      <c r="G485">
        <f t="shared" si="21"/>
        <v>43.577981651376149</v>
      </c>
      <c r="H485">
        <f t="shared" si="22"/>
        <v>0.91743119266055051</v>
      </c>
      <c r="I485">
        <v>43.83</v>
      </c>
      <c r="J485">
        <f t="shared" si="23"/>
        <v>55.5045871559633</v>
      </c>
      <c r="K485">
        <v>0.7</v>
      </c>
      <c r="L485">
        <v>0.2</v>
      </c>
      <c r="M485">
        <v>0.7</v>
      </c>
      <c r="N485">
        <v>363</v>
      </c>
      <c r="O485">
        <v>285</v>
      </c>
      <c r="P485">
        <v>6</v>
      </c>
      <c r="Q485">
        <v>44.5</v>
      </c>
      <c r="R485" t="s">
        <v>387</v>
      </c>
      <c r="S485">
        <v>1.2</v>
      </c>
      <c r="U485">
        <v>39</v>
      </c>
    </row>
    <row r="486" spans="1:21" x14ac:dyDescent="0.25">
      <c r="A486" s="2">
        <v>46045.807881944442</v>
      </c>
      <c r="B486" t="s">
        <v>309</v>
      </c>
      <c r="C486" t="s">
        <v>372</v>
      </c>
      <c r="D486">
        <v>3</v>
      </c>
      <c r="E486" t="s">
        <v>34</v>
      </c>
      <c r="F486" t="s">
        <v>373</v>
      </c>
      <c r="G486">
        <f t="shared" si="21"/>
        <v>34.3042071197411</v>
      </c>
      <c r="H486">
        <f t="shared" si="22"/>
        <v>0.16181229773462785</v>
      </c>
      <c r="I486">
        <v>43.83</v>
      </c>
      <c r="J486">
        <f t="shared" si="23"/>
        <v>65.533980582524279</v>
      </c>
      <c r="K486">
        <v>0.7</v>
      </c>
      <c r="L486">
        <v>0.3</v>
      </c>
      <c r="M486">
        <v>0.7</v>
      </c>
      <c r="N486">
        <v>405</v>
      </c>
      <c r="O486">
        <v>212</v>
      </c>
      <c r="P486">
        <v>1</v>
      </c>
      <c r="Q486">
        <v>34.47</v>
      </c>
      <c r="R486" t="s">
        <v>385</v>
      </c>
      <c r="S486">
        <v>0.86</v>
      </c>
      <c r="U486">
        <v>45</v>
      </c>
    </row>
    <row r="487" spans="1:21" x14ac:dyDescent="0.25">
      <c r="A487" s="2">
        <v>46045.808321759258</v>
      </c>
      <c r="B487" t="s">
        <v>309</v>
      </c>
      <c r="C487" t="s">
        <v>372</v>
      </c>
      <c r="D487">
        <v>3</v>
      </c>
      <c r="E487" t="s">
        <v>36</v>
      </c>
      <c r="F487" t="s">
        <v>373</v>
      </c>
      <c r="G487">
        <f t="shared" si="21"/>
        <v>18.591549295774648</v>
      </c>
      <c r="H487">
        <f t="shared" si="22"/>
        <v>0.14084507042253522</v>
      </c>
      <c r="I487">
        <v>43.83</v>
      </c>
      <c r="J487">
        <f t="shared" si="23"/>
        <v>81.267605633802816</v>
      </c>
      <c r="K487">
        <v>0.7</v>
      </c>
      <c r="L487">
        <v>0.3</v>
      </c>
      <c r="M487">
        <v>0.7</v>
      </c>
      <c r="N487">
        <v>577</v>
      </c>
      <c r="O487">
        <v>132</v>
      </c>
      <c r="P487">
        <v>1</v>
      </c>
      <c r="Q487">
        <v>18.73</v>
      </c>
      <c r="R487" t="s">
        <v>392</v>
      </c>
      <c r="S487">
        <v>0.54</v>
      </c>
      <c r="U487">
        <v>22</v>
      </c>
    </row>
    <row r="488" spans="1:21" x14ac:dyDescent="0.25">
      <c r="A488" s="2">
        <v>46045.80872685185</v>
      </c>
      <c r="B488" t="s">
        <v>309</v>
      </c>
      <c r="C488" t="s">
        <v>372</v>
      </c>
      <c r="D488">
        <v>3</v>
      </c>
      <c r="E488" t="s">
        <v>41</v>
      </c>
      <c r="F488" t="s">
        <v>373</v>
      </c>
      <c r="G488">
        <f t="shared" si="21"/>
        <v>1.2759170653907497</v>
      </c>
      <c r="H488">
        <f t="shared" si="22"/>
        <v>0</v>
      </c>
      <c r="I488">
        <v>43.83</v>
      </c>
      <c r="J488">
        <f t="shared" si="23"/>
        <v>98.724082934609243</v>
      </c>
      <c r="K488">
        <v>0.7</v>
      </c>
      <c r="L488">
        <v>0.3</v>
      </c>
      <c r="M488">
        <v>0.7</v>
      </c>
      <c r="N488">
        <v>619</v>
      </c>
      <c r="O488">
        <v>8</v>
      </c>
      <c r="P488">
        <v>0</v>
      </c>
      <c r="Q488">
        <v>1.28</v>
      </c>
      <c r="R488" t="s">
        <v>384</v>
      </c>
      <c r="S488">
        <v>0.03</v>
      </c>
      <c r="U488">
        <v>12</v>
      </c>
    </row>
    <row r="489" spans="1:21" x14ac:dyDescent="0.25">
      <c r="A489" s="2">
        <v>46045.80909722222</v>
      </c>
      <c r="B489" t="s">
        <v>309</v>
      </c>
      <c r="C489" t="s">
        <v>372</v>
      </c>
      <c r="D489">
        <v>3</v>
      </c>
      <c r="E489" t="s">
        <v>42</v>
      </c>
      <c r="F489" t="s">
        <v>373</v>
      </c>
      <c r="G489">
        <f t="shared" si="21"/>
        <v>2.5974025974025974</v>
      </c>
      <c r="H489">
        <f t="shared" si="22"/>
        <v>0</v>
      </c>
      <c r="I489">
        <v>43.83</v>
      </c>
      <c r="J489">
        <f t="shared" si="23"/>
        <v>97.402597402597408</v>
      </c>
      <c r="K489">
        <v>0.7</v>
      </c>
      <c r="L489">
        <v>0.3</v>
      </c>
      <c r="M489">
        <v>0.7</v>
      </c>
      <c r="N489">
        <v>675</v>
      </c>
      <c r="O489">
        <v>18</v>
      </c>
      <c r="P489">
        <v>0</v>
      </c>
      <c r="Q489">
        <v>2.6</v>
      </c>
      <c r="R489" t="s">
        <v>390</v>
      </c>
      <c r="S489">
        <v>7.0000000000000007E-2</v>
      </c>
      <c r="U489">
        <v>9</v>
      </c>
    </row>
    <row r="490" spans="1:21" x14ac:dyDescent="0.25">
      <c r="A490" s="2">
        <v>46045.809479166666</v>
      </c>
      <c r="B490" t="s">
        <v>309</v>
      </c>
      <c r="C490" t="s">
        <v>372</v>
      </c>
      <c r="D490">
        <v>3</v>
      </c>
      <c r="E490" t="s">
        <v>43</v>
      </c>
      <c r="F490" t="s">
        <v>373</v>
      </c>
      <c r="G490">
        <f t="shared" si="21"/>
        <v>15.955766192733018</v>
      </c>
      <c r="H490">
        <f t="shared" si="22"/>
        <v>0</v>
      </c>
      <c r="I490">
        <v>43.83</v>
      </c>
      <c r="J490">
        <f t="shared" si="23"/>
        <v>84.044233807266991</v>
      </c>
      <c r="K490">
        <v>0.7</v>
      </c>
      <c r="L490">
        <v>0.3</v>
      </c>
      <c r="M490">
        <v>0.7</v>
      </c>
      <c r="N490">
        <v>532</v>
      </c>
      <c r="O490">
        <v>101</v>
      </c>
      <c r="P490">
        <v>0</v>
      </c>
      <c r="Q490">
        <v>15.96</v>
      </c>
      <c r="R490" t="s">
        <v>392</v>
      </c>
      <c r="S490">
        <v>0.42</v>
      </c>
      <c r="U490">
        <v>80</v>
      </c>
    </row>
    <row r="491" spans="1:21" x14ac:dyDescent="0.25">
      <c r="A491" s="2">
        <v>46045.809895833336</v>
      </c>
      <c r="B491" t="s">
        <v>309</v>
      </c>
      <c r="C491" t="s">
        <v>372</v>
      </c>
      <c r="D491">
        <v>3</v>
      </c>
      <c r="E491" t="s">
        <v>54</v>
      </c>
      <c r="F491" t="s">
        <v>373</v>
      </c>
      <c r="G491">
        <f t="shared" si="21"/>
        <v>0.74294205052005935</v>
      </c>
      <c r="H491">
        <f t="shared" si="22"/>
        <v>0</v>
      </c>
      <c r="I491">
        <v>43.83</v>
      </c>
      <c r="J491">
        <f t="shared" si="23"/>
        <v>99.257057949479943</v>
      </c>
      <c r="K491">
        <v>0.7</v>
      </c>
      <c r="L491">
        <v>0.3</v>
      </c>
      <c r="M491">
        <v>0.7</v>
      </c>
      <c r="N491">
        <v>668</v>
      </c>
      <c r="O491">
        <v>5</v>
      </c>
      <c r="P491">
        <v>0</v>
      </c>
      <c r="Q491">
        <v>0.74</v>
      </c>
      <c r="R491" t="s">
        <v>390</v>
      </c>
      <c r="S491">
        <v>0.02</v>
      </c>
      <c r="U491">
        <v>3</v>
      </c>
    </row>
    <row r="492" spans="1:21" x14ac:dyDescent="0.25">
      <c r="A492" s="2">
        <v>46045.810266203705</v>
      </c>
      <c r="B492" t="s">
        <v>309</v>
      </c>
      <c r="C492" t="s">
        <v>372</v>
      </c>
      <c r="D492">
        <v>3</v>
      </c>
      <c r="E492" t="s">
        <v>75</v>
      </c>
      <c r="F492" t="s">
        <v>373</v>
      </c>
      <c r="G492">
        <f t="shared" si="21"/>
        <v>2.2624434389140271</v>
      </c>
      <c r="H492">
        <f t="shared" si="22"/>
        <v>0</v>
      </c>
      <c r="I492">
        <v>43.83</v>
      </c>
      <c r="J492">
        <f t="shared" si="23"/>
        <v>97.737556561085967</v>
      </c>
      <c r="K492">
        <v>0.7</v>
      </c>
      <c r="L492">
        <v>0.3</v>
      </c>
      <c r="M492">
        <v>0.7</v>
      </c>
      <c r="N492">
        <v>648</v>
      </c>
      <c r="O492">
        <v>15</v>
      </c>
      <c r="P492">
        <v>0</v>
      </c>
      <c r="Q492">
        <v>2.2599999999999998</v>
      </c>
      <c r="R492" t="s">
        <v>295</v>
      </c>
      <c r="S492">
        <v>0.06</v>
      </c>
      <c r="U492">
        <v>14</v>
      </c>
    </row>
    <row r="493" spans="1:21" x14ac:dyDescent="0.25">
      <c r="A493" s="2">
        <v>46045.810659722221</v>
      </c>
      <c r="B493" t="s">
        <v>309</v>
      </c>
      <c r="C493" t="s">
        <v>372</v>
      </c>
      <c r="D493">
        <v>3</v>
      </c>
      <c r="E493" t="s">
        <v>324</v>
      </c>
      <c r="F493" t="s">
        <v>373</v>
      </c>
      <c r="G493">
        <f t="shared" si="21"/>
        <v>40.425531914893611</v>
      </c>
      <c r="H493">
        <f t="shared" si="22"/>
        <v>0.75987841945288759</v>
      </c>
      <c r="I493">
        <v>43.83</v>
      </c>
      <c r="J493">
        <f t="shared" si="23"/>
        <v>58.814589665653493</v>
      </c>
      <c r="K493">
        <v>0.7</v>
      </c>
      <c r="L493">
        <v>0.3</v>
      </c>
      <c r="M493">
        <v>0.7</v>
      </c>
      <c r="N493">
        <v>387</v>
      </c>
      <c r="O493">
        <v>266</v>
      </c>
      <c r="P493">
        <v>5</v>
      </c>
      <c r="Q493">
        <v>41.19</v>
      </c>
      <c r="R493" t="s">
        <v>393</v>
      </c>
      <c r="S493">
        <v>1.1200000000000001</v>
      </c>
      <c r="U493">
        <v>65</v>
      </c>
    </row>
    <row r="494" spans="1:21" x14ac:dyDescent="0.25">
      <c r="A494" s="2">
        <v>46045.81113425926</v>
      </c>
      <c r="B494" t="s">
        <v>309</v>
      </c>
      <c r="C494" t="s">
        <v>372</v>
      </c>
      <c r="D494">
        <v>3</v>
      </c>
      <c r="E494" t="s">
        <v>118</v>
      </c>
      <c r="F494" t="s">
        <v>373</v>
      </c>
      <c r="G494">
        <f t="shared" si="21"/>
        <v>9.1743119266055047</v>
      </c>
      <c r="H494">
        <f t="shared" si="22"/>
        <v>0.1529051987767584</v>
      </c>
      <c r="I494">
        <v>43.83</v>
      </c>
      <c r="J494">
        <f t="shared" si="23"/>
        <v>90.672782874617738</v>
      </c>
      <c r="K494">
        <v>0.7</v>
      </c>
      <c r="L494">
        <v>0.3</v>
      </c>
      <c r="M494">
        <v>0.7</v>
      </c>
      <c r="N494">
        <v>593</v>
      </c>
      <c r="O494">
        <v>60</v>
      </c>
      <c r="P494">
        <v>1</v>
      </c>
      <c r="Q494">
        <v>9.33</v>
      </c>
      <c r="R494" t="s">
        <v>378</v>
      </c>
      <c r="S494">
        <v>0.23</v>
      </c>
      <c r="U494">
        <v>61</v>
      </c>
    </row>
    <row r="495" spans="1:21" x14ac:dyDescent="0.25">
      <c r="A495" s="2">
        <v>46045.811539351853</v>
      </c>
      <c r="B495" t="s">
        <v>309</v>
      </c>
      <c r="C495" t="s">
        <v>372</v>
      </c>
      <c r="D495">
        <v>3</v>
      </c>
      <c r="E495" t="s">
        <v>137</v>
      </c>
      <c r="F495" t="s">
        <v>373</v>
      </c>
      <c r="G495">
        <f t="shared" si="21"/>
        <v>83.036935704514363</v>
      </c>
      <c r="H495">
        <f t="shared" si="22"/>
        <v>1.3679890560875512</v>
      </c>
      <c r="I495">
        <v>43.83</v>
      </c>
      <c r="J495">
        <f t="shared" si="23"/>
        <v>15.595075239398085</v>
      </c>
      <c r="K495">
        <v>0.7</v>
      </c>
      <c r="L495">
        <v>0.3</v>
      </c>
      <c r="M495">
        <v>0.7</v>
      </c>
      <c r="N495">
        <v>114</v>
      </c>
      <c r="O495">
        <v>607</v>
      </c>
      <c r="P495">
        <v>10</v>
      </c>
      <c r="Q495">
        <v>84.4</v>
      </c>
      <c r="R495" t="s">
        <v>396</v>
      </c>
      <c r="S495">
        <v>2.56</v>
      </c>
      <c r="U495">
        <v>21</v>
      </c>
    </row>
    <row r="496" spans="1:21" x14ac:dyDescent="0.25">
      <c r="A496" s="2">
        <v>46045.812106481484</v>
      </c>
      <c r="B496" t="s">
        <v>309</v>
      </c>
      <c r="C496" t="s">
        <v>372</v>
      </c>
      <c r="D496">
        <v>3</v>
      </c>
      <c r="E496" t="s">
        <v>162</v>
      </c>
      <c r="F496" t="s">
        <v>373</v>
      </c>
      <c r="G496">
        <f t="shared" si="21"/>
        <v>1.3274336283185841</v>
      </c>
      <c r="H496">
        <f t="shared" si="22"/>
        <v>0</v>
      </c>
      <c r="I496">
        <v>43.83</v>
      </c>
      <c r="J496">
        <f t="shared" si="23"/>
        <v>98.672566371681413</v>
      </c>
      <c r="K496">
        <v>0.7</v>
      </c>
      <c r="L496">
        <v>0.3</v>
      </c>
      <c r="M496">
        <v>0.7</v>
      </c>
      <c r="N496">
        <v>669</v>
      </c>
      <c r="O496">
        <v>9</v>
      </c>
      <c r="P496">
        <v>0</v>
      </c>
      <c r="Q496">
        <v>1.33</v>
      </c>
      <c r="R496" t="s">
        <v>295</v>
      </c>
      <c r="S496">
        <v>0.04</v>
      </c>
      <c r="U496">
        <v>15</v>
      </c>
    </row>
    <row r="497" spans="1:21" x14ac:dyDescent="0.25">
      <c r="A497" s="2">
        <v>46045.812488425923</v>
      </c>
      <c r="B497" t="s">
        <v>309</v>
      </c>
      <c r="C497" t="s">
        <v>372</v>
      </c>
      <c r="D497">
        <v>3</v>
      </c>
      <c r="E497" t="s">
        <v>179</v>
      </c>
      <c r="F497" t="s">
        <v>373</v>
      </c>
      <c r="G497">
        <f t="shared" si="21"/>
        <v>20.087976539589441</v>
      </c>
      <c r="H497">
        <f t="shared" si="22"/>
        <v>0.1466275659824047</v>
      </c>
      <c r="I497">
        <v>43.83</v>
      </c>
      <c r="J497">
        <f t="shared" si="23"/>
        <v>79.765395894428153</v>
      </c>
      <c r="K497">
        <v>0.7</v>
      </c>
      <c r="L497">
        <v>0.3</v>
      </c>
      <c r="M497">
        <v>0.7</v>
      </c>
      <c r="N497">
        <v>544</v>
      </c>
      <c r="O497">
        <v>137</v>
      </c>
      <c r="P497">
        <v>1</v>
      </c>
      <c r="Q497">
        <v>20.23</v>
      </c>
      <c r="R497" t="s">
        <v>385</v>
      </c>
      <c r="S497">
        <v>0.56999999999999995</v>
      </c>
      <c r="U497">
        <v>42</v>
      </c>
    </row>
    <row r="498" spans="1:21" x14ac:dyDescent="0.25">
      <c r="A498" s="2">
        <v>46045.812928240739</v>
      </c>
      <c r="B498" t="s">
        <v>309</v>
      </c>
      <c r="C498" t="s">
        <v>372</v>
      </c>
      <c r="D498">
        <v>3</v>
      </c>
      <c r="E498" t="s">
        <v>204</v>
      </c>
      <c r="F498" t="s">
        <v>373</v>
      </c>
      <c r="G498">
        <f t="shared" si="21"/>
        <v>1.7985611510791366</v>
      </c>
      <c r="H498">
        <f t="shared" si="22"/>
        <v>0</v>
      </c>
      <c r="I498">
        <v>43.83</v>
      </c>
      <c r="J498">
        <f t="shared" si="23"/>
        <v>98.201438848920859</v>
      </c>
      <c r="K498">
        <v>0.7</v>
      </c>
      <c r="L498">
        <v>0.3</v>
      </c>
      <c r="M498">
        <v>0.7</v>
      </c>
      <c r="N498">
        <v>546</v>
      </c>
      <c r="O498">
        <v>10</v>
      </c>
      <c r="P498">
        <v>0</v>
      </c>
      <c r="Q498">
        <v>1.8</v>
      </c>
      <c r="R498" t="s">
        <v>379</v>
      </c>
      <c r="S498">
        <v>0.05</v>
      </c>
      <c r="U498">
        <v>12</v>
      </c>
    </row>
    <row r="499" spans="1:21" x14ac:dyDescent="0.25">
      <c r="A499" s="2">
        <v>46045.813287037039</v>
      </c>
      <c r="B499" t="s">
        <v>309</v>
      </c>
      <c r="C499" t="s">
        <v>372</v>
      </c>
      <c r="D499">
        <v>3</v>
      </c>
      <c r="E499" t="s">
        <v>207</v>
      </c>
      <c r="F499" t="s">
        <v>373</v>
      </c>
      <c r="G499">
        <f t="shared" si="21"/>
        <v>7.8073089700996672</v>
      </c>
      <c r="H499">
        <f t="shared" si="22"/>
        <v>0</v>
      </c>
      <c r="I499">
        <v>43.83</v>
      </c>
      <c r="J499">
        <f t="shared" si="23"/>
        <v>92.192691029900331</v>
      </c>
      <c r="K499">
        <v>0.7</v>
      </c>
      <c r="L499">
        <v>0.3</v>
      </c>
      <c r="M499">
        <v>0.7</v>
      </c>
      <c r="N499">
        <v>555</v>
      </c>
      <c r="O499">
        <v>47</v>
      </c>
      <c r="P499">
        <v>0</v>
      </c>
      <c r="Q499">
        <v>7.81</v>
      </c>
      <c r="R499" t="s">
        <v>295</v>
      </c>
      <c r="S499">
        <v>0.22</v>
      </c>
      <c r="U499">
        <v>34</v>
      </c>
    </row>
    <row r="500" spans="1:21" x14ac:dyDescent="0.25">
      <c r="A500" s="2">
        <v>46045.813668981478</v>
      </c>
      <c r="B500" t="s">
        <v>309</v>
      </c>
      <c r="C500" t="s">
        <v>372</v>
      </c>
      <c r="D500">
        <v>3</v>
      </c>
      <c r="E500" t="s">
        <v>212</v>
      </c>
      <c r="F500" t="s">
        <v>373</v>
      </c>
      <c r="G500">
        <f t="shared" si="21"/>
        <v>42.664670658682638</v>
      </c>
      <c r="H500">
        <f t="shared" si="22"/>
        <v>0.89820359281437123</v>
      </c>
      <c r="I500">
        <v>43.83</v>
      </c>
      <c r="J500">
        <f t="shared" si="23"/>
        <v>56.437125748502993</v>
      </c>
      <c r="K500">
        <v>0.7</v>
      </c>
      <c r="L500">
        <v>0.3</v>
      </c>
      <c r="M500">
        <v>0.7</v>
      </c>
      <c r="N500">
        <v>377</v>
      </c>
      <c r="O500">
        <v>285</v>
      </c>
      <c r="P500">
        <v>6</v>
      </c>
      <c r="Q500">
        <v>43.56</v>
      </c>
      <c r="R500" t="s">
        <v>389</v>
      </c>
      <c r="S500">
        <v>1.2</v>
      </c>
      <c r="U500">
        <v>25</v>
      </c>
    </row>
    <row r="501" spans="1:21" x14ac:dyDescent="0.25">
      <c r="A501" s="2">
        <v>46045.807893518519</v>
      </c>
      <c r="B501" t="s">
        <v>309</v>
      </c>
      <c r="C501" t="s">
        <v>372</v>
      </c>
      <c r="D501">
        <v>3</v>
      </c>
      <c r="E501" t="s">
        <v>34</v>
      </c>
      <c r="F501" t="s">
        <v>373</v>
      </c>
      <c r="G501">
        <f t="shared" si="21"/>
        <v>34.3042071197411</v>
      </c>
      <c r="H501">
        <f t="shared" si="22"/>
        <v>0.16181229773462785</v>
      </c>
      <c r="I501">
        <v>43.83</v>
      </c>
      <c r="J501">
        <f t="shared" si="23"/>
        <v>65.533980582524279</v>
      </c>
      <c r="K501">
        <v>0.7</v>
      </c>
      <c r="L501">
        <v>0.3</v>
      </c>
      <c r="M501">
        <v>0.7</v>
      </c>
      <c r="N501">
        <v>405</v>
      </c>
      <c r="O501">
        <v>212</v>
      </c>
      <c r="P501">
        <v>1</v>
      </c>
      <c r="Q501">
        <v>34.47</v>
      </c>
      <c r="R501" t="s">
        <v>385</v>
      </c>
      <c r="S501">
        <v>0.86</v>
      </c>
      <c r="U501">
        <v>45</v>
      </c>
    </row>
    <row r="502" spans="1:21" x14ac:dyDescent="0.25">
      <c r="A502" s="2">
        <v>46045.808333333334</v>
      </c>
      <c r="B502" t="s">
        <v>309</v>
      </c>
      <c r="C502" t="s">
        <v>372</v>
      </c>
      <c r="D502">
        <v>3</v>
      </c>
      <c r="E502" t="s">
        <v>36</v>
      </c>
      <c r="F502" t="s">
        <v>373</v>
      </c>
      <c r="G502">
        <f t="shared" si="21"/>
        <v>18.591549295774648</v>
      </c>
      <c r="H502">
        <f t="shared" si="22"/>
        <v>0.14084507042253522</v>
      </c>
      <c r="I502">
        <v>43.83</v>
      </c>
      <c r="J502">
        <f t="shared" si="23"/>
        <v>81.267605633802816</v>
      </c>
      <c r="K502">
        <v>0.7</v>
      </c>
      <c r="L502">
        <v>0.3</v>
      </c>
      <c r="M502">
        <v>0.7</v>
      </c>
      <c r="N502">
        <v>577</v>
      </c>
      <c r="O502">
        <v>132</v>
      </c>
      <c r="P502">
        <v>1</v>
      </c>
      <c r="Q502">
        <v>18.73</v>
      </c>
      <c r="R502" t="s">
        <v>392</v>
      </c>
      <c r="S502">
        <v>0.54</v>
      </c>
      <c r="U502">
        <v>22</v>
      </c>
    </row>
    <row r="503" spans="1:21" x14ac:dyDescent="0.25">
      <c r="A503" s="2">
        <v>46045.808749999997</v>
      </c>
      <c r="B503" t="s">
        <v>309</v>
      </c>
      <c r="C503" t="s">
        <v>372</v>
      </c>
      <c r="D503">
        <v>3</v>
      </c>
      <c r="E503" t="s">
        <v>41</v>
      </c>
      <c r="F503" t="s">
        <v>373</v>
      </c>
      <c r="G503">
        <f t="shared" si="21"/>
        <v>1.2759170653907497</v>
      </c>
      <c r="H503">
        <f t="shared" si="22"/>
        <v>0</v>
      </c>
      <c r="I503">
        <v>43.83</v>
      </c>
      <c r="J503">
        <f t="shared" si="23"/>
        <v>98.724082934609243</v>
      </c>
      <c r="K503">
        <v>0.7</v>
      </c>
      <c r="L503">
        <v>0.3</v>
      </c>
      <c r="M503">
        <v>0.7</v>
      </c>
      <c r="N503">
        <v>619</v>
      </c>
      <c r="O503">
        <v>8</v>
      </c>
      <c r="P503">
        <v>0</v>
      </c>
      <c r="Q503">
        <v>1.28</v>
      </c>
      <c r="R503" t="s">
        <v>384</v>
      </c>
      <c r="S503">
        <v>0.03</v>
      </c>
      <c r="U503">
        <v>12</v>
      </c>
    </row>
    <row r="504" spans="1:21" x14ac:dyDescent="0.25">
      <c r="A504" s="2">
        <v>46045.809108796297</v>
      </c>
      <c r="B504" t="s">
        <v>309</v>
      </c>
      <c r="C504" t="s">
        <v>372</v>
      </c>
      <c r="D504">
        <v>3</v>
      </c>
      <c r="E504" t="s">
        <v>42</v>
      </c>
      <c r="F504" t="s">
        <v>373</v>
      </c>
      <c r="G504">
        <f t="shared" si="21"/>
        <v>2.5974025974025974</v>
      </c>
      <c r="H504">
        <f t="shared" si="22"/>
        <v>0</v>
      </c>
      <c r="I504">
        <v>43.83</v>
      </c>
      <c r="J504">
        <f t="shared" si="23"/>
        <v>97.402597402597408</v>
      </c>
      <c r="K504">
        <v>0.7</v>
      </c>
      <c r="L504">
        <v>0.3</v>
      </c>
      <c r="M504">
        <v>0.7</v>
      </c>
      <c r="N504">
        <v>675</v>
      </c>
      <c r="O504">
        <v>18</v>
      </c>
      <c r="P504">
        <v>0</v>
      </c>
      <c r="Q504">
        <v>2.6</v>
      </c>
      <c r="R504" t="s">
        <v>390</v>
      </c>
      <c r="S504">
        <v>7.0000000000000007E-2</v>
      </c>
      <c r="U504">
        <v>9</v>
      </c>
    </row>
    <row r="505" spans="1:21" x14ac:dyDescent="0.25">
      <c r="A505" s="2">
        <v>46045.809490740743</v>
      </c>
      <c r="B505" t="s">
        <v>309</v>
      </c>
      <c r="C505" t="s">
        <v>372</v>
      </c>
      <c r="D505">
        <v>3</v>
      </c>
      <c r="E505" t="s">
        <v>43</v>
      </c>
      <c r="F505" t="s">
        <v>373</v>
      </c>
      <c r="G505">
        <f t="shared" si="21"/>
        <v>15.955766192733018</v>
      </c>
      <c r="H505">
        <f t="shared" si="22"/>
        <v>0</v>
      </c>
      <c r="I505">
        <v>43.83</v>
      </c>
      <c r="J505">
        <f t="shared" si="23"/>
        <v>84.044233807266991</v>
      </c>
      <c r="K505">
        <v>0.7</v>
      </c>
      <c r="L505">
        <v>0.3</v>
      </c>
      <c r="M505">
        <v>0.7</v>
      </c>
      <c r="N505">
        <v>532</v>
      </c>
      <c r="O505">
        <v>101</v>
      </c>
      <c r="P505">
        <v>0</v>
      </c>
      <c r="Q505">
        <v>15.96</v>
      </c>
      <c r="R505" t="s">
        <v>378</v>
      </c>
      <c r="S505">
        <v>0.42</v>
      </c>
      <c r="U505">
        <v>80</v>
      </c>
    </row>
    <row r="506" spans="1:21" x14ac:dyDescent="0.25">
      <c r="A506" s="2">
        <v>46045.810277777775</v>
      </c>
      <c r="B506" t="s">
        <v>309</v>
      </c>
      <c r="C506" t="s">
        <v>372</v>
      </c>
      <c r="D506">
        <v>3</v>
      </c>
      <c r="E506" t="s">
        <v>75</v>
      </c>
      <c r="F506" t="s">
        <v>373</v>
      </c>
      <c r="G506">
        <f t="shared" si="21"/>
        <v>2.2624434389140271</v>
      </c>
      <c r="H506">
        <f t="shared" si="22"/>
        <v>0</v>
      </c>
      <c r="I506">
        <v>43.83</v>
      </c>
      <c r="J506">
        <f t="shared" si="23"/>
        <v>97.737556561085967</v>
      </c>
      <c r="K506">
        <v>0.7</v>
      </c>
      <c r="L506">
        <v>0.3</v>
      </c>
      <c r="M506">
        <v>0.7</v>
      </c>
      <c r="N506">
        <v>648</v>
      </c>
      <c r="O506">
        <v>15</v>
      </c>
      <c r="P506">
        <v>0</v>
      </c>
      <c r="Q506">
        <v>2.2599999999999998</v>
      </c>
      <c r="R506" t="s">
        <v>295</v>
      </c>
      <c r="S506">
        <v>0.06</v>
      </c>
      <c r="U506">
        <v>14</v>
      </c>
    </row>
    <row r="507" spans="1:21" x14ac:dyDescent="0.25">
      <c r="A507" s="2">
        <v>46045.810659722221</v>
      </c>
      <c r="B507" t="s">
        <v>309</v>
      </c>
      <c r="C507" t="s">
        <v>372</v>
      </c>
      <c r="D507">
        <v>3</v>
      </c>
      <c r="E507" t="s">
        <v>324</v>
      </c>
      <c r="F507" t="s">
        <v>373</v>
      </c>
      <c r="G507">
        <f t="shared" si="21"/>
        <v>40.639269406392692</v>
      </c>
      <c r="H507">
        <f t="shared" si="22"/>
        <v>0.45662100456621002</v>
      </c>
      <c r="I507">
        <v>43.83</v>
      </c>
      <c r="J507">
        <f t="shared" si="23"/>
        <v>58.904109589041099</v>
      </c>
      <c r="K507">
        <v>0.7</v>
      </c>
      <c r="L507">
        <v>0.3</v>
      </c>
      <c r="M507">
        <v>0.7</v>
      </c>
      <c r="N507">
        <v>387</v>
      </c>
      <c r="O507">
        <v>267</v>
      </c>
      <c r="P507">
        <v>3</v>
      </c>
      <c r="Q507">
        <v>41.1</v>
      </c>
      <c r="R507" t="s">
        <v>394</v>
      </c>
      <c r="S507">
        <v>1.1200000000000001</v>
      </c>
      <c r="U507">
        <v>66</v>
      </c>
    </row>
    <row r="508" spans="1:21" x14ac:dyDescent="0.25">
      <c r="A508" s="2">
        <v>46045.81113425926</v>
      </c>
      <c r="B508" t="s">
        <v>309</v>
      </c>
      <c r="C508" t="s">
        <v>372</v>
      </c>
      <c r="D508">
        <v>3</v>
      </c>
      <c r="E508" t="s">
        <v>118</v>
      </c>
      <c r="F508" t="s">
        <v>373</v>
      </c>
      <c r="G508">
        <f t="shared" si="21"/>
        <v>9.1743119266055047</v>
      </c>
      <c r="H508">
        <f t="shared" si="22"/>
        <v>0.1529051987767584</v>
      </c>
      <c r="I508">
        <v>43.83</v>
      </c>
      <c r="J508">
        <f t="shared" si="23"/>
        <v>90.672782874617738</v>
      </c>
      <c r="K508">
        <v>0.7</v>
      </c>
      <c r="L508">
        <v>0.3</v>
      </c>
      <c r="M508">
        <v>0.7</v>
      </c>
      <c r="N508">
        <v>593</v>
      </c>
      <c r="O508">
        <v>60</v>
      </c>
      <c r="P508">
        <v>1</v>
      </c>
      <c r="Q508">
        <v>9.33</v>
      </c>
      <c r="R508" t="s">
        <v>392</v>
      </c>
      <c r="S508">
        <v>0.23</v>
      </c>
      <c r="U508">
        <v>61</v>
      </c>
    </row>
    <row r="509" spans="1:21" x14ac:dyDescent="0.25">
      <c r="A509" s="2">
        <v>46045.812106481484</v>
      </c>
      <c r="B509" t="s">
        <v>309</v>
      </c>
      <c r="C509" t="s">
        <v>372</v>
      </c>
      <c r="D509">
        <v>3</v>
      </c>
      <c r="E509" t="s">
        <v>162</v>
      </c>
      <c r="F509" t="s">
        <v>373</v>
      </c>
      <c r="G509">
        <f t="shared" si="21"/>
        <v>1.3274336283185841</v>
      </c>
      <c r="H509">
        <f t="shared" si="22"/>
        <v>0</v>
      </c>
      <c r="I509">
        <v>43.83</v>
      </c>
      <c r="J509">
        <f t="shared" si="23"/>
        <v>98.672566371681413</v>
      </c>
      <c r="K509">
        <v>0.7</v>
      </c>
      <c r="L509">
        <v>0.3</v>
      </c>
      <c r="M509">
        <v>0.7</v>
      </c>
      <c r="N509">
        <v>669</v>
      </c>
      <c r="O509">
        <v>9</v>
      </c>
      <c r="P509">
        <v>0</v>
      </c>
      <c r="Q509">
        <v>1.33</v>
      </c>
      <c r="R509" t="s">
        <v>390</v>
      </c>
      <c r="S509">
        <v>0.04</v>
      </c>
      <c r="U509">
        <v>15</v>
      </c>
    </row>
    <row r="510" spans="1:21" x14ac:dyDescent="0.25">
      <c r="A510" s="2">
        <v>46045.812928240739</v>
      </c>
      <c r="B510" t="s">
        <v>309</v>
      </c>
      <c r="C510" t="s">
        <v>372</v>
      </c>
      <c r="D510">
        <v>3</v>
      </c>
      <c r="E510" t="s">
        <v>204</v>
      </c>
      <c r="F510" t="s">
        <v>373</v>
      </c>
      <c r="G510">
        <f t="shared" si="21"/>
        <v>1.7985611510791366</v>
      </c>
      <c r="H510">
        <f t="shared" si="22"/>
        <v>0</v>
      </c>
      <c r="I510">
        <v>43.83</v>
      </c>
      <c r="J510">
        <f t="shared" si="23"/>
        <v>98.201438848920859</v>
      </c>
      <c r="K510">
        <v>0.7</v>
      </c>
      <c r="L510">
        <v>0.3</v>
      </c>
      <c r="M510">
        <v>0.7</v>
      </c>
      <c r="N510">
        <v>546</v>
      </c>
      <c r="O510">
        <v>10</v>
      </c>
      <c r="P510">
        <v>0</v>
      </c>
      <c r="Q510">
        <v>1.8</v>
      </c>
      <c r="R510" t="s">
        <v>384</v>
      </c>
      <c r="S510">
        <v>0.05</v>
      </c>
      <c r="U510">
        <v>12</v>
      </c>
    </row>
    <row r="511" spans="1:21" x14ac:dyDescent="0.25">
      <c r="A511" s="2">
        <v>46045.81422453704</v>
      </c>
      <c r="B511" t="s">
        <v>309</v>
      </c>
      <c r="C511" t="s">
        <v>372</v>
      </c>
      <c r="D511">
        <v>3</v>
      </c>
      <c r="E511" t="s">
        <v>34</v>
      </c>
      <c r="F511" t="s">
        <v>373</v>
      </c>
      <c r="G511">
        <f t="shared" si="21"/>
        <v>34.3042071197411</v>
      </c>
      <c r="H511">
        <f t="shared" si="22"/>
        <v>0.16181229773462785</v>
      </c>
      <c r="I511">
        <v>43.83</v>
      </c>
      <c r="J511">
        <f t="shared" si="23"/>
        <v>65.533980582524279</v>
      </c>
      <c r="K511">
        <v>0.7</v>
      </c>
      <c r="L511">
        <v>0.3</v>
      </c>
      <c r="M511">
        <v>0.7</v>
      </c>
      <c r="N511">
        <v>405</v>
      </c>
      <c r="O511">
        <v>212</v>
      </c>
      <c r="P511">
        <v>1</v>
      </c>
      <c r="Q511">
        <v>34.47</v>
      </c>
      <c r="R511" t="s">
        <v>387</v>
      </c>
      <c r="S511">
        <v>0.86</v>
      </c>
      <c r="U511">
        <v>45</v>
      </c>
    </row>
    <row r="512" spans="1:21" x14ac:dyDescent="0.25">
      <c r="A512" s="2">
        <v>46045.814652777779</v>
      </c>
      <c r="B512" t="s">
        <v>309</v>
      </c>
      <c r="C512" t="s">
        <v>372</v>
      </c>
      <c r="D512">
        <v>3</v>
      </c>
      <c r="E512" t="s">
        <v>36</v>
      </c>
      <c r="F512" t="s">
        <v>373</v>
      </c>
      <c r="G512">
        <f t="shared" si="21"/>
        <v>18.591549295774648</v>
      </c>
      <c r="H512">
        <f t="shared" si="22"/>
        <v>0.14084507042253522</v>
      </c>
      <c r="I512">
        <v>43.83</v>
      </c>
      <c r="J512">
        <f t="shared" si="23"/>
        <v>81.267605633802816</v>
      </c>
      <c r="K512">
        <v>0.7</v>
      </c>
      <c r="L512">
        <v>0.3</v>
      </c>
      <c r="M512">
        <v>0.7</v>
      </c>
      <c r="N512">
        <v>577</v>
      </c>
      <c r="O512">
        <v>132</v>
      </c>
      <c r="P512">
        <v>1</v>
      </c>
      <c r="Q512">
        <v>18.73</v>
      </c>
      <c r="R512" t="s">
        <v>392</v>
      </c>
      <c r="S512">
        <v>0.54</v>
      </c>
      <c r="U512">
        <v>22</v>
      </c>
    </row>
    <row r="513" spans="1:21" x14ac:dyDescent="0.25">
      <c r="A513" s="2">
        <v>46045.815069444441</v>
      </c>
      <c r="B513" t="s">
        <v>309</v>
      </c>
      <c r="C513" t="s">
        <v>372</v>
      </c>
      <c r="D513">
        <v>3</v>
      </c>
      <c r="E513" t="s">
        <v>41</v>
      </c>
      <c r="F513" t="s">
        <v>373</v>
      </c>
      <c r="G513">
        <f t="shared" ref="G513:G576" si="24">(O513/(N513+O513+P513))*100</f>
        <v>1.2759170653907497</v>
      </c>
      <c r="H513">
        <f t="shared" ref="H513:H576" si="25">(P513/(O513+P513+N513))*100</f>
        <v>0</v>
      </c>
      <c r="I513">
        <v>43.83</v>
      </c>
      <c r="J513">
        <f t="shared" ref="J513:J576" si="26">(N513/(P513+O513+N513))*100</f>
        <v>98.724082934609243</v>
      </c>
      <c r="K513">
        <v>0.7</v>
      </c>
      <c r="L513">
        <v>0.3</v>
      </c>
      <c r="M513">
        <v>0.7</v>
      </c>
      <c r="N513">
        <v>619</v>
      </c>
      <c r="O513">
        <v>8</v>
      </c>
      <c r="P513">
        <v>0</v>
      </c>
      <c r="Q513">
        <v>1.28</v>
      </c>
      <c r="R513" t="s">
        <v>390</v>
      </c>
      <c r="S513">
        <v>0.03</v>
      </c>
      <c r="U513">
        <v>12</v>
      </c>
    </row>
    <row r="514" spans="1:21" x14ac:dyDescent="0.25">
      <c r="A514" s="2">
        <v>46045.815439814818</v>
      </c>
      <c r="B514" t="s">
        <v>309</v>
      </c>
      <c r="C514" t="s">
        <v>372</v>
      </c>
      <c r="D514">
        <v>3</v>
      </c>
      <c r="E514" t="s">
        <v>42</v>
      </c>
      <c r="F514" t="s">
        <v>373</v>
      </c>
      <c r="G514">
        <f t="shared" si="24"/>
        <v>2.5974025974025974</v>
      </c>
      <c r="H514">
        <f t="shared" si="25"/>
        <v>0</v>
      </c>
      <c r="I514">
        <v>43.83</v>
      </c>
      <c r="J514">
        <f t="shared" si="26"/>
        <v>97.402597402597408</v>
      </c>
      <c r="K514">
        <v>0.7</v>
      </c>
      <c r="L514">
        <v>0.3</v>
      </c>
      <c r="M514">
        <v>0.7</v>
      </c>
      <c r="N514">
        <v>675</v>
      </c>
      <c r="O514">
        <v>18</v>
      </c>
      <c r="P514">
        <v>0</v>
      </c>
      <c r="Q514">
        <v>2.6</v>
      </c>
      <c r="R514" t="s">
        <v>390</v>
      </c>
      <c r="S514">
        <v>7.0000000000000007E-2</v>
      </c>
      <c r="U514">
        <v>9</v>
      </c>
    </row>
    <row r="515" spans="1:21" x14ac:dyDescent="0.25">
      <c r="A515" s="2">
        <v>46045.815821759257</v>
      </c>
      <c r="B515" t="s">
        <v>309</v>
      </c>
      <c r="C515" t="s">
        <v>372</v>
      </c>
      <c r="D515">
        <v>3</v>
      </c>
      <c r="E515" t="s">
        <v>43</v>
      </c>
      <c r="F515" t="s">
        <v>373</v>
      </c>
      <c r="G515">
        <f t="shared" si="24"/>
        <v>15.955766192733018</v>
      </c>
      <c r="H515">
        <f t="shared" si="25"/>
        <v>0</v>
      </c>
      <c r="I515">
        <v>43.83</v>
      </c>
      <c r="J515">
        <f t="shared" si="26"/>
        <v>84.044233807266991</v>
      </c>
      <c r="K515">
        <v>0.7</v>
      </c>
      <c r="L515">
        <v>0.3</v>
      </c>
      <c r="M515">
        <v>0.7</v>
      </c>
      <c r="N515">
        <v>532</v>
      </c>
      <c r="O515">
        <v>101</v>
      </c>
      <c r="P515">
        <v>0</v>
      </c>
      <c r="Q515">
        <v>15.96</v>
      </c>
      <c r="R515" t="s">
        <v>392</v>
      </c>
      <c r="S515">
        <v>0.42</v>
      </c>
      <c r="U515">
        <v>80</v>
      </c>
    </row>
    <row r="516" spans="1:21" x14ac:dyDescent="0.25">
      <c r="A516" s="2">
        <v>46045.81622685185</v>
      </c>
      <c r="B516" t="s">
        <v>309</v>
      </c>
      <c r="C516" t="s">
        <v>372</v>
      </c>
      <c r="D516">
        <v>3</v>
      </c>
      <c r="E516" t="s">
        <v>54</v>
      </c>
      <c r="F516" t="s">
        <v>373</v>
      </c>
      <c r="G516">
        <f t="shared" si="24"/>
        <v>0.74294205052005935</v>
      </c>
      <c r="H516">
        <f t="shared" si="25"/>
        <v>0</v>
      </c>
      <c r="I516">
        <v>43.83</v>
      </c>
      <c r="J516">
        <f t="shared" si="26"/>
        <v>99.257057949479943</v>
      </c>
      <c r="K516">
        <v>0.7</v>
      </c>
      <c r="L516">
        <v>0.3</v>
      </c>
      <c r="M516">
        <v>0.7</v>
      </c>
      <c r="N516">
        <v>668</v>
      </c>
      <c r="O516">
        <v>5</v>
      </c>
      <c r="P516">
        <v>0</v>
      </c>
      <c r="Q516">
        <v>0.74</v>
      </c>
      <c r="R516" t="s">
        <v>390</v>
      </c>
      <c r="S516">
        <v>0.02</v>
      </c>
      <c r="U516">
        <v>3</v>
      </c>
    </row>
    <row r="517" spans="1:21" x14ac:dyDescent="0.25">
      <c r="A517" s="2">
        <v>46045.816608796296</v>
      </c>
      <c r="B517" t="s">
        <v>309</v>
      </c>
      <c r="C517" t="s">
        <v>372</v>
      </c>
      <c r="D517">
        <v>3</v>
      </c>
      <c r="E517" t="s">
        <v>75</v>
      </c>
      <c r="F517" t="s">
        <v>373</v>
      </c>
      <c r="G517">
        <f t="shared" si="24"/>
        <v>2.2624434389140271</v>
      </c>
      <c r="H517">
        <f t="shared" si="25"/>
        <v>0</v>
      </c>
      <c r="I517">
        <v>43.83</v>
      </c>
      <c r="J517">
        <f t="shared" si="26"/>
        <v>97.737556561085967</v>
      </c>
      <c r="K517">
        <v>0.7</v>
      </c>
      <c r="L517">
        <v>0.3</v>
      </c>
      <c r="M517">
        <v>0.7</v>
      </c>
      <c r="N517">
        <v>648</v>
      </c>
      <c r="O517">
        <v>15</v>
      </c>
      <c r="P517">
        <v>0</v>
      </c>
      <c r="Q517">
        <v>2.2599999999999998</v>
      </c>
      <c r="R517" t="s">
        <v>390</v>
      </c>
      <c r="S517">
        <v>0.06</v>
      </c>
      <c r="U517">
        <v>14</v>
      </c>
    </row>
    <row r="518" spans="1:21" x14ac:dyDescent="0.25">
      <c r="A518" s="2">
        <v>46045.816990740743</v>
      </c>
      <c r="B518" t="s">
        <v>309</v>
      </c>
      <c r="C518" t="s">
        <v>372</v>
      </c>
      <c r="D518">
        <v>3</v>
      </c>
      <c r="E518" t="s">
        <v>324</v>
      </c>
      <c r="F518" t="s">
        <v>373</v>
      </c>
      <c r="G518">
        <f t="shared" si="24"/>
        <v>40.639269406392692</v>
      </c>
      <c r="H518">
        <f t="shared" si="25"/>
        <v>0.45662100456621002</v>
      </c>
      <c r="I518">
        <v>43.83</v>
      </c>
      <c r="J518">
        <f t="shared" si="26"/>
        <v>58.904109589041099</v>
      </c>
      <c r="K518">
        <v>0.7</v>
      </c>
      <c r="L518">
        <v>0.3</v>
      </c>
      <c r="M518">
        <v>0.7</v>
      </c>
      <c r="N518">
        <v>387</v>
      </c>
      <c r="O518">
        <v>267</v>
      </c>
      <c r="P518">
        <v>3</v>
      </c>
      <c r="Q518">
        <v>41.1</v>
      </c>
      <c r="R518" t="s">
        <v>386</v>
      </c>
      <c r="S518">
        <v>1.1200000000000001</v>
      </c>
      <c r="U518">
        <v>66</v>
      </c>
    </row>
    <row r="519" spans="1:21" x14ac:dyDescent="0.25">
      <c r="A519" s="2">
        <v>46045.817442129628</v>
      </c>
      <c r="B519" t="s">
        <v>309</v>
      </c>
      <c r="C519" t="s">
        <v>372</v>
      </c>
      <c r="D519">
        <v>3</v>
      </c>
      <c r="E519" t="s">
        <v>118</v>
      </c>
      <c r="F519" t="s">
        <v>373</v>
      </c>
      <c r="G519">
        <f t="shared" si="24"/>
        <v>9.1743119266055047</v>
      </c>
      <c r="H519">
        <f t="shared" si="25"/>
        <v>0.1529051987767584</v>
      </c>
      <c r="I519">
        <v>43.83</v>
      </c>
      <c r="J519">
        <f t="shared" si="26"/>
        <v>90.672782874617738</v>
      </c>
      <c r="K519">
        <v>0.7</v>
      </c>
      <c r="L519">
        <v>0.3</v>
      </c>
      <c r="M519">
        <v>0.7</v>
      </c>
      <c r="N519">
        <v>593</v>
      </c>
      <c r="O519">
        <v>60</v>
      </c>
      <c r="P519">
        <v>1</v>
      </c>
      <c r="Q519">
        <v>9.33</v>
      </c>
      <c r="R519" t="s">
        <v>390</v>
      </c>
      <c r="S519">
        <v>0.23</v>
      </c>
      <c r="U519">
        <v>61</v>
      </c>
    </row>
    <row r="520" spans="1:21" x14ac:dyDescent="0.25">
      <c r="A520" s="2">
        <v>46045.817824074074</v>
      </c>
      <c r="B520" t="s">
        <v>309</v>
      </c>
      <c r="C520" t="s">
        <v>372</v>
      </c>
      <c r="D520">
        <v>3</v>
      </c>
      <c r="E520" t="s">
        <v>137</v>
      </c>
      <c r="F520" t="s">
        <v>373</v>
      </c>
      <c r="G520">
        <f t="shared" si="24"/>
        <v>83.036935704514363</v>
      </c>
      <c r="H520">
        <f t="shared" si="25"/>
        <v>1.3679890560875512</v>
      </c>
      <c r="I520">
        <v>43.83</v>
      </c>
      <c r="J520">
        <f t="shared" si="26"/>
        <v>15.595075239398085</v>
      </c>
      <c r="K520">
        <v>0.7</v>
      </c>
      <c r="L520">
        <v>0.3</v>
      </c>
      <c r="M520">
        <v>0.7</v>
      </c>
      <c r="N520">
        <v>114</v>
      </c>
      <c r="O520">
        <v>607</v>
      </c>
      <c r="P520">
        <v>10</v>
      </c>
      <c r="Q520">
        <v>84.4</v>
      </c>
      <c r="R520" t="s">
        <v>399</v>
      </c>
      <c r="S520">
        <v>2.56</v>
      </c>
      <c r="U520">
        <v>21</v>
      </c>
    </row>
    <row r="521" spans="1:21" x14ac:dyDescent="0.25">
      <c r="A521" s="2">
        <v>46045.818344907406</v>
      </c>
      <c r="B521" t="s">
        <v>309</v>
      </c>
      <c r="C521" t="s">
        <v>372</v>
      </c>
      <c r="D521">
        <v>3</v>
      </c>
      <c r="E521" t="s">
        <v>162</v>
      </c>
      <c r="F521" t="s">
        <v>373</v>
      </c>
      <c r="G521">
        <f t="shared" si="24"/>
        <v>1.3274336283185841</v>
      </c>
      <c r="H521">
        <f t="shared" si="25"/>
        <v>0</v>
      </c>
      <c r="I521">
        <v>43.83</v>
      </c>
      <c r="J521">
        <f t="shared" si="26"/>
        <v>98.672566371681413</v>
      </c>
      <c r="K521">
        <v>0.7</v>
      </c>
      <c r="L521">
        <v>0.3</v>
      </c>
      <c r="M521">
        <v>0.7</v>
      </c>
      <c r="N521">
        <v>669</v>
      </c>
      <c r="O521">
        <v>9</v>
      </c>
      <c r="P521">
        <v>0</v>
      </c>
      <c r="Q521">
        <v>1.33</v>
      </c>
      <c r="R521" t="s">
        <v>390</v>
      </c>
      <c r="S521">
        <v>0.04</v>
      </c>
      <c r="U521">
        <v>15</v>
      </c>
    </row>
    <row r="522" spans="1:21" x14ac:dyDescent="0.25">
      <c r="A522" s="2">
        <v>46045.818715277775</v>
      </c>
      <c r="B522" t="s">
        <v>309</v>
      </c>
      <c r="C522" t="s">
        <v>372</v>
      </c>
      <c r="D522">
        <v>3</v>
      </c>
      <c r="E522" t="s">
        <v>179</v>
      </c>
      <c r="F522" t="s">
        <v>373</v>
      </c>
      <c r="G522">
        <f t="shared" si="24"/>
        <v>20.11747430249633</v>
      </c>
      <c r="H522">
        <f t="shared" si="25"/>
        <v>0</v>
      </c>
      <c r="I522">
        <v>43.83</v>
      </c>
      <c r="J522">
        <f t="shared" si="26"/>
        <v>79.882525697503667</v>
      </c>
      <c r="K522">
        <v>0.7</v>
      </c>
      <c r="L522">
        <v>0.3</v>
      </c>
      <c r="M522">
        <v>0.7</v>
      </c>
      <c r="N522">
        <v>544</v>
      </c>
      <c r="O522">
        <v>137</v>
      </c>
      <c r="P522">
        <v>0</v>
      </c>
      <c r="Q522">
        <v>20.12</v>
      </c>
      <c r="R522" t="s">
        <v>392</v>
      </c>
      <c r="S522">
        <v>0.56000000000000005</v>
      </c>
      <c r="U522">
        <v>43</v>
      </c>
    </row>
    <row r="523" spans="1:21" x14ac:dyDescent="0.25">
      <c r="A523" s="2">
        <v>46045.819131944445</v>
      </c>
      <c r="B523" t="s">
        <v>309</v>
      </c>
      <c r="C523" t="s">
        <v>372</v>
      </c>
      <c r="D523">
        <v>3</v>
      </c>
      <c r="E523" t="s">
        <v>204</v>
      </c>
      <c r="F523" t="s">
        <v>373</v>
      </c>
      <c r="G523">
        <f t="shared" si="24"/>
        <v>1.7985611510791366</v>
      </c>
      <c r="H523">
        <f t="shared" si="25"/>
        <v>0</v>
      </c>
      <c r="I523">
        <v>43.83</v>
      </c>
      <c r="J523">
        <f t="shared" si="26"/>
        <v>98.201438848920859</v>
      </c>
      <c r="K523">
        <v>0.7</v>
      </c>
      <c r="L523">
        <v>0.3</v>
      </c>
      <c r="M523">
        <v>0.7</v>
      </c>
      <c r="N523">
        <v>546</v>
      </c>
      <c r="O523">
        <v>10</v>
      </c>
      <c r="P523">
        <v>0</v>
      </c>
      <c r="Q523">
        <v>1.8</v>
      </c>
      <c r="R523" t="s">
        <v>379</v>
      </c>
      <c r="S523">
        <v>0.05</v>
      </c>
      <c r="U523">
        <v>12</v>
      </c>
    </row>
    <row r="524" spans="1:21" x14ac:dyDescent="0.25">
      <c r="A524" s="2">
        <v>46045.819490740738</v>
      </c>
      <c r="B524" t="s">
        <v>309</v>
      </c>
      <c r="C524" t="s">
        <v>372</v>
      </c>
      <c r="D524">
        <v>3</v>
      </c>
      <c r="E524" t="s">
        <v>207</v>
      </c>
      <c r="F524" t="s">
        <v>373</v>
      </c>
      <c r="G524">
        <f t="shared" si="24"/>
        <v>7.8073089700996672</v>
      </c>
      <c r="H524">
        <f t="shared" si="25"/>
        <v>0</v>
      </c>
      <c r="I524">
        <v>43.83</v>
      </c>
      <c r="J524">
        <f t="shared" si="26"/>
        <v>92.192691029900331</v>
      </c>
      <c r="K524">
        <v>0.7</v>
      </c>
      <c r="L524">
        <v>0.3</v>
      </c>
      <c r="M524">
        <v>0.7</v>
      </c>
      <c r="N524">
        <v>555</v>
      </c>
      <c r="O524">
        <v>47</v>
      </c>
      <c r="P524">
        <v>0</v>
      </c>
      <c r="Q524">
        <v>7.81</v>
      </c>
      <c r="R524" t="s">
        <v>390</v>
      </c>
      <c r="S524">
        <v>0.22</v>
      </c>
      <c r="U524">
        <v>34</v>
      </c>
    </row>
    <row r="525" spans="1:21" x14ac:dyDescent="0.25">
      <c r="A525" s="2">
        <v>46045.819861111115</v>
      </c>
      <c r="B525" t="s">
        <v>309</v>
      </c>
      <c r="C525" t="s">
        <v>372</v>
      </c>
      <c r="D525">
        <v>3</v>
      </c>
      <c r="E525" t="s">
        <v>212</v>
      </c>
      <c r="F525" t="s">
        <v>373</v>
      </c>
      <c r="G525">
        <f t="shared" si="24"/>
        <v>42.664670658682638</v>
      </c>
      <c r="H525">
        <f t="shared" si="25"/>
        <v>0.89820359281437123</v>
      </c>
      <c r="I525">
        <v>43.83</v>
      </c>
      <c r="J525">
        <f t="shared" si="26"/>
        <v>56.437125748502993</v>
      </c>
      <c r="K525">
        <v>0.7</v>
      </c>
      <c r="L525">
        <v>0.3</v>
      </c>
      <c r="M525">
        <v>0.7</v>
      </c>
      <c r="N525">
        <v>377</v>
      </c>
      <c r="O525">
        <v>285</v>
      </c>
      <c r="P525">
        <v>6</v>
      </c>
      <c r="Q525">
        <v>43.56</v>
      </c>
      <c r="R525" t="s">
        <v>386</v>
      </c>
      <c r="S525">
        <v>1.2</v>
      </c>
      <c r="U525">
        <v>25</v>
      </c>
    </row>
    <row r="526" spans="1:21" x14ac:dyDescent="0.25">
      <c r="A526" s="2">
        <v>46044.902395833335</v>
      </c>
      <c r="B526" t="s">
        <v>309</v>
      </c>
      <c r="C526" t="s">
        <v>372</v>
      </c>
      <c r="D526">
        <v>3</v>
      </c>
      <c r="E526" t="s">
        <v>21</v>
      </c>
      <c r="F526" t="s">
        <v>388</v>
      </c>
      <c r="G526">
        <f t="shared" si="24"/>
        <v>3.6334913112164293</v>
      </c>
      <c r="H526">
        <f t="shared" si="25"/>
        <v>0</v>
      </c>
      <c r="I526">
        <v>43.83</v>
      </c>
      <c r="J526">
        <f t="shared" si="26"/>
        <v>96.366508688783568</v>
      </c>
      <c r="K526">
        <v>0.85</v>
      </c>
      <c r="L526">
        <v>0.2</v>
      </c>
      <c r="M526">
        <v>0.7</v>
      </c>
      <c r="N526">
        <v>610</v>
      </c>
      <c r="O526">
        <v>23</v>
      </c>
      <c r="P526">
        <v>0</v>
      </c>
      <c r="Q526">
        <v>3.63</v>
      </c>
      <c r="R526" t="s">
        <v>380</v>
      </c>
      <c r="S526">
        <v>0.09</v>
      </c>
      <c r="U526">
        <v>23</v>
      </c>
    </row>
    <row r="527" spans="1:21" x14ac:dyDescent="0.25">
      <c r="A527" s="2">
        <v>46044.902708333335</v>
      </c>
      <c r="B527" t="s">
        <v>309</v>
      </c>
      <c r="C527" t="s">
        <v>372</v>
      </c>
      <c r="D527">
        <v>3</v>
      </c>
      <c r="E527" t="s">
        <v>25</v>
      </c>
      <c r="F527" t="s">
        <v>388</v>
      </c>
      <c r="G527">
        <f t="shared" si="24"/>
        <v>1.9607843137254901</v>
      </c>
      <c r="H527">
        <f t="shared" si="25"/>
        <v>0</v>
      </c>
      <c r="I527">
        <v>43.83</v>
      </c>
      <c r="J527">
        <f t="shared" si="26"/>
        <v>98.039215686274503</v>
      </c>
      <c r="K527">
        <v>0.85</v>
      </c>
      <c r="L527">
        <v>0.2</v>
      </c>
      <c r="M527">
        <v>0.7</v>
      </c>
      <c r="N527">
        <v>600</v>
      </c>
      <c r="O527">
        <v>12</v>
      </c>
      <c r="P527">
        <v>0</v>
      </c>
      <c r="Q527">
        <v>1.96</v>
      </c>
      <c r="R527" t="s">
        <v>376</v>
      </c>
      <c r="S527">
        <v>0.05</v>
      </c>
      <c r="U527">
        <v>18</v>
      </c>
    </row>
    <row r="528" spans="1:21" x14ac:dyDescent="0.25">
      <c r="A528" s="2">
        <v>46044.903009259258</v>
      </c>
      <c r="B528" t="s">
        <v>309</v>
      </c>
      <c r="C528" t="s">
        <v>372</v>
      </c>
      <c r="D528">
        <v>3</v>
      </c>
      <c r="E528" t="s">
        <v>26</v>
      </c>
      <c r="F528" t="s">
        <v>388</v>
      </c>
      <c r="G528">
        <f t="shared" si="24"/>
        <v>13.333333333333334</v>
      </c>
      <c r="H528">
        <f t="shared" si="25"/>
        <v>27.575757575757574</v>
      </c>
      <c r="I528">
        <v>43.83</v>
      </c>
      <c r="J528">
        <f t="shared" si="26"/>
        <v>59.090909090909093</v>
      </c>
      <c r="K528">
        <v>0.85</v>
      </c>
      <c r="L528">
        <v>0.2</v>
      </c>
      <c r="M528">
        <v>0.7</v>
      </c>
      <c r="N528">
        <v>390</v>
      </c>
      <c r="O528">
        <v>88</v>
      </c>
      <c r="P528">
        <v>182</v>
      </c>
      <c r="Q528">
        <v>40.909999999999997</v>
      </c>
      <c r="R528" t="s">
        <v>379</v>
      </c>
      <c r="S528">
        <v>1.1299999999999999</v>
      </c>
      <c r="U528">
        <v>39</v>
      </c>
    </row>
    <row r="529" spans="1:21" x14ac:dyDescent="0.25">
      <c r="A529" s="2">
        <v>46044.903368055559</v>
      </c>
      <c r="B529" t="s">
        <v>309</v>
      </c>
      <c r="C529" t="s">
        <v>372</v>
      </c>
      <c r="D529">
        <v>3</v>
      </c>
      <c r="E529" t="s">
        <v>30</v>
      </c>
      <c r="F529" t="s">
        <v>388</v>
      </c>
      <c r="G529">
        <f t="shared" si="24"/>
        <v>0.1492537313432836</v>
      </c>
      <c r="H529">
        <f t="shared" si="25"/>
        <v>0</v>
      </c>
      <c r="I529">
        <v>43.83</v>
      </c>
      <c r="J529">
        <f t="shared" si="26"/>
        <v>99.850746268656721</v>
      </c>
      <c r="K529">
        <v>0.85</v>
      </c>
      <c r="L529">
        <v>0.2</v>
      </c>
      <c r="M529">
        <v>0.7</v>
      </c>
      <c r="N529">
        <v>669</v>
      </c>
      <c r="O529">
        <v>1</v>
      </c>
      <c r="P529">
        <v>0</v>
      </c>
      <c r="Q529">
        <v>0.15</v>
      </c>
      <c r="R529" t="s">
        <v>376</v>
      </c>
      <c r="S529">
        <v>0</v>
      </c>
      <c r="U529">
        <v>7</v>
      </c>
    </row>
    <row r="530" spans="1:21" x14ac:dyDescent="0.25">
      <c r="A530" s="2">
        <v>46044.903668981482</v>
      </c>
      <c r="B530" t="s">
        <v>309</v>
      </c>
      <c r="C530" t="s">
        <v>372</v>
      </c>
      <c r="D530">
        <v>3</v>
      </c>
      <c r="E530" t="s">
        <v>31</v>
      </c>
      <c r="F530" t="s">
        <v>388</v>
      </c>
      <c r="G530">
        <f t="shared" si="24"/>
        <v>3.554868624420402</v>
      </c>
      <c r="H530">
        <f t="shared" si="25"/>
        <v>0.46367851622874806</v>
      </c>
      <c r="I530">
        <v>43.83</v>
      </c>
      <c r="J530">
        <f t="shared" si="26"/>
        <v>95.981452859350853</v>
      </c>
      <c r="K530">
        <v>0.85</v>
      </c>
      <c r="L530">
        <v>0.2</v>
      </c>
      <c r="M530">
        <v>0.7</v>
      </c>
      <c r="N530">
        <v>621</v>
      </c>
      <c r="O530">
        <v>23</v>
      </c>
      <c r="P530">
        <v>3</v>
      </c>
      <c r="Q530">
        <v>4.0199999999999996</v>
      </c>
      <c r="R530" t="s">
        <v>375</v>
      </c>
      <c r="S530">
        <v>0.1</v>
      </c>
      <c r="U530">
        <v>29</v>
      </c>
    </row>
    <row r="531" spans="1:21" x14ac:dyDescent="0.25">
      <c r="A531" s="2">
        <v>46044.903969907406</v>
      </c>
      <c r="B531" t="s">
        <v>309</v>
      </c>
      <c r="C531" t="s">
        <v>372</v>
      </c>
      <c r="D531">
        <v>3</v>
      </c>
      <c r="E531" t="s">
        <v>33</v>
      </c>
      <c r="F531" t="s">
        <v>388</v>
      </c>
      <c r="G531">
        <f t="shared" si="24"/>
        <v>17.744360902255639</v>
      </c>
      <c r="H531">
        <f t="shared" si="25"/>
        <v>12.93233082706767</v>
      </c>
      <c r="I531">
        <v>43.83</v>
      </c>
      <c r="J531">
        <f t="shared" si="26"/>
        <v>69.323308270676691</v>
      </c>
      <c r="K531">
        <v>0.85</v>
      </c>
      <c r="L531">
        <v>0.2</v>
      </c>
      <c r="M531">
        <v>0.7</v>
      </c>
      <c r="N531">
        <v>461</v>
      </c>
      <c r="O531">
        <v>118</v>
      </c>
      <c r="P531">
        <v>86</v>
      </c>
      <c r="Q531">
        <v>30.68</v>
      </c>
      <c r="R531" t="s">
        <v>379</v>
      </c>
      <c r="S531">
        <v>0.85</v>
      </c>
      <c r="U531">
        <v>59</v>
      </c>
    </row>
    <row r="532" spans="1:21" x14ac:dyDescent="0.25">
      <c r="A532" s="2">
        <v>46044.904317129629</v>
      </c>
      <c r="B532" t="s">
        <v>309</v>
      </c>
      <c r="C532" t="s">
        <v>372</v>
      </c>
      <c r="D532">
        <v>3</v>
      </c>
      <c r="E532" t="s">
        <v>35</v>
      </c>
      <c r="F532" t="s">
        <v>388</v>
      </c>
      <c r="G532">
        <f t="shared" si="24"/>
        <v>3.1879194630872485</v>
      </c>
      <c r="H532">
        <f t="shared" si="25"/>
        <v>0</v>
      </c>
      <c r="I532">
        <v>43.83</v>
      </c>
      <c r="J532">
        <f t="shared" si="26"/>
        <v>96.812080536912745</v>
      </c>
      <c r="K532">
        <v>0.85</v>
      </c>
      <c r="L532">
        <v>0.2</v>
      </c>
      <c r="M532">
        <v>0.7</v>
      </c>
      <c r="N532">
        <v>577</v>
      </c>
      <c r="O532">
        <v>19</v>
      </c>
      <c r="P532">
        <v>0</v>
      </c>
      <c r="Q532">
        <v>3.19</v>
      </c>
      <c r="R532" t="s">
        <v>377</v>
      </c>
      <c r="S532">
        <v>0.08</v>
      </c>
      <c r="U532">
        <v>18</v>
      </c>
    </row>
    <row r="533" spans="1:21" x14ac:dyDescent="0.25">
      <c r="A533" s="2">
        <v>46044.904606481483</v>
      </c>
      <c r="B533" t="s">
        <v>309</v>
      </c>
      <c r="C533" t="s">
        <v>372</v>
      </c>
      <c r="D533">
        <v>3</v>
      </c>
      <c r="E533" t="s">
        <v>38</v>
      </c>
      <c r="F533" t="s">
        <v>388</v>
      </c>
      <c r="G533">
        <f t="shared" si="24"/>
        <v>0.88105726872246704</v>
      </c>
      <c r="H533">
        <f t="shared" si="25"/>
        <v>0.14684287812041116</v>
      </c>
      <c r="I533">
        <v>43.83</v>
      </c>
      <c r="J533">
        <f t="shared" si="26"/>
        <v>98.972099853157118</v>
      </c>
      <c r="K533">
        <v>0.85</v>
      </c>
      <c r="L533">
        <v>0.2</v>
      </c>
      <c r="M533">
        <v>0.7</v>
      </c>
      <c r="N533">
        <v>674</v>
      </c>
      <c r="O533">
        <v>6</v>
      </c>
      <c r="P533">
        <v>1</v>
      </c>
      <c r="Q533">
        <v>1.03</v>
      </c>
      <c r="R533" t="s">
        <v>376</v>
      </c>
      <c r="S533">
        <v>0.03</v>
      </c>
      <c r="U533">
        <v>15</v>
      </c>
    </row>
    <row r="534" spans="1:21" x14ac:dyDescent="0.25">
      <c r="A534" s="2">
        <v>46044.904895833337</v>
      </c>
      <c r="B534" t="s">
        <v>309</v>
      </c>
      <c r="C534" t="s">
        <v>372</v>
      </c>
      <c r="D534">
        <v>3</v>
      </c>
      <c r="E534" t="s">
        <v>39</v>
      </c>
      <c r="F534" t="s">
        <v>388</v>
      </c>
      <c r="G534">
        <f t="shared" si="24"/>
        <v>13.677811550151976</v>
      </c>
      <c r="H534">
        <f t="shared" si="25"/>
        <v>0</v>
      </c>
      <c r="I534">
        <v>43.83</v>
      </c>
      <c r="J534">
        <f t="shared" si="26"/>
        <v>86.322188449848028</v>
      </c>
      <c r="K534">
        <v>0.85</v>
      </c>
      <c r="L534">
        <v>0.2</v>
      </c>
      <c r="M534">
        <v>0.7</v>
      </c>
      <c r="N534">
        <v>568</v>
      </c>
      <c r="O534">
        <v>90</v>
      </c>
      <c r="P534">
        <v>0</v>
      </c>
      <c r="Q534">
        <v>13.68</v>
      </c>
      <c r="R534" t="s">
        <v>383</v>
      </c>
      <c r="S534">
        <v>0.33</v>
      </c>
      <c r="U534">
        <v>81</v>
      </c>
    </row>
    <row r="535" spans="1:21" x14ac:dyDescent="0.25">
      <c r="A535" s="2">
        <v>46044.905219907407</v>
      </c>
      <c r="B535" t="s">
        <v>309</v>
      </c>
      <c r="C535" t="s">
        <v>372</v>
      </c>
      <c r="D535">
        <v>3</v>
      </c>
      <c r="E535" t="s">
        <v>40</v>
      </c>
      <c r="F535" t="s">
        <v>388</v>
      </c>
      <c r="G535">
        <f t="shared" si="24"/>
        <v>0.29985007496251875</v>
      </c>
      <c r="H535">
        <f t="shared" si="25"/>
        <v>0</v>
      </c>
      <c r="I535">
        <v>43.83</v>
      </c>
      <c r="J535">
        <f t="shared" si="26"/>
        <v>99.700149925037479</v>
      </c>
      <c r="K535">
        <v>0.85</v>
      </c>
      <c r="L535">
        <v>0.2</v>
      </c>
      <c r="M535">
        <v>0.7</v>
      </c>
      <c r="N535">
        <v>665</v>
      </c>
      <c r="O535">
        <v>2</v>
      </c>
      <c r="P535">
        <v>0</v>
      </c>
      <c r="Q535">
        <v>0.3</v>
      </c>
      <c r="R535" t="s">
        <v>376</v>
      </c>
      <c r="S535">
        <v>0.01</v>
      </c>
      <c r="U535">
        <v>3</v>
      </c>
    </row>
    <row r="536" spans="1:21" x14ac:dyDescent="0.25">
      <c r="A536" s="2">
        <v>46044.90552083333</v>
      </c>
      <c r="B536" t="s">
        <v>309</v>
      </c>
      <c r="C536" t="s">
        <v>372</v>
      </c>
      <c r="D536">
        <v>3</v>
      </c>
      <c r="E536" t="s">
        <v>46</v>
      </c>
      <c r="F536" t="s">
        <v>388</v>
      </c>
      <c r="G536">
        <f t="shared" si="24"/>
        <v>22.089552238805972</v>
      </c>
      <c r="H536">
        <f t="shared" si="25"/>
        <v>66.417910447761201</v>
      </c>
      <c r="I536">
        <v>43.83</v>
      </c>
      <c r="J536">
        <f t="shared" si="26"/>
        <v>11.492537313432836</v>
      </c>
      <c r="K536">
        <v>0.85</v>
      </c>
      <c r="L536">
        <v>0.2</v>
      </c>
      <c r="M536">
        <v>0.7</v>
      </c>
      <c r="N536">
        <v>77</v>
      </c>
      <c r="O536">
        <v>148</v>
      </c>
      <c r="P536">
        <v>445</v>
      </c>
      <c r="Q536">
        <v>88.51</v>
      </c>
      <c r="R536" t="s">
        <v>385</v>
      </c>
      <c r="S536">
        <v>2.5099999999999998</v>
      </c>
      <c r="U536">
        <v>26</v>
      </c>
    </row>
    <row r="537" spans="1:21" x14ac:dyDescent="0.25">
      <c r="A537" s="2">
        <v>46044.905949074076</v>
      </c>
      <c r="B537" t="s">
        <v>309</v>
      </c>
      <c r="C537" t="s">
        <v>372</v>
      </c>
      <c r="D537">
        <v>3</v>
      </c>
      <c r="E537" t="s">
        <v>48</v>
      </c>
      <c r="F537" t="s">
        <v>388</v>
      </c>
      <c r="G537">
        <f t="shared" si="24"/>
        <v>0</v>
      </c>
      <c r="H537">
        <f t="shared" si="25"/>
        <v>0.27739251040221913</v>
      </c>
      <c r="I537">
        <v>43.83</v>
      </c>
      <c r="J537">
        <f t="shared" si="26"/>
        <v>99.722607489597777</v>
      </c>
      <c r="K537">
        <v>0.85</v>
      </c>
      <c r="L537">
        <v>0.2</v>
      </c>
      <c r="M537">
        <v>0.7</v>
      </c>
      <c r="N537">
        <v>719</v>
      </c>
      <c r="O537">
        <v>0</v>
      </c>
      <c r="P537">
        <v>2</v>
      </c>
      <c r="Q537">
        <v>0.28000000000000003</v>
      </c>
      <c r="R537" t="s">
        <v>376</v>
      </c>
      <c r="S537">
        <v>0.01</v>
      </c>
      <c r="U537">
        <v>15</v>
      </c>
    </row>
    <row r="538" spans="1:21" x14ac:dyDescent="0.25">
      <c r="A538" s="2">
        <v>46044.90625</v>
      </c>
      <c r="B538" t="s">
        <v>309</v>
      </c>
      <c r="C538" t="s">
        <v>372</v>
      </c>
      <c r="D538">
        <v>3</v>
      </c>
      <c r="E538" t="s">
        <v>49</v>
      </c>
      <c r="F538" t="s">
        <v>388</v>
      </c>
      <c r="G538">
        <f t="shared" si="24"/>
        <v>34.573643410852711</v>
      </c>
      <c r="H538">
        <f t="shared" si="25"/>
        <v>31.627906976744185</v>
      </c>
      <c r="I538">
        <v>43.83</v>
      </c>
      <c r="J538">
        <f t="shared" si="26"/>
        <v>33.798449612403104</v>
      </c>
      <c r="K538">
        <v>0.85</v>
      </c>
      <c r="L538">
        <v>0.2</v>
      </c>
      <c r="M538">
        <v>0.7</v>
      </c>
      <c r="N538">
        <v>218</v>
      </c>
      <c r="O538">
        <v>223</v>
      </c>
      <c r="P538">
        <v>204</v>
      </c>
      <c r="Q538">
        <v>66.2</v>
      </c>
      <c r="R538" t="s">
        <v>295</v>
      </c>
      <c r="S538">
        <v>1.79</v>
      </c>
      <c r="U538">
        <v>65</v>
      </c>
    </row>
    <row r="539" spans="1:21" x14ac:dyDescent="0.25">
      <c r="A539" s="2">
        <v>46044.906643518516</v>
      </c>
      <c r="B539" t="s">
        <v>309</v>
      </c>
      <c r="C539" t="s">
        <v>372</v>
      </c>
      <c r="D539">
        <v>3</v>
      </c>
      <c r="E539" t="s">
        <v>50</v>
      </c>
      <c r="F539" t="s">
        <v>388</v>
      </c>
      <c r="G539">
        <f t="shared" si="24"/>
        <v>11.773700305810397</v>
      </c>
      <c r="H539">
        <f t="shared" si="25"/>
        <v>13.149847094801222</v>
      </c>
      <c r="I539">
        <v>43.83</v>
      </c>
      <c r="J539">
        <f t="shared" si="26"/>
        <v>75.076452599388375</v>
      </c>
      <c r="K539">
        <v>0.85</v>
      </c>
      <c r="L539">
        <v>0.2</v>
      </c>
      <c r="M539">
        <v>0.7</v>
      </c>
      <c r="N539">
        <v>491</v>
      </c>
      <c r="O539">
        <v>77</v>
      </c>
      <c r="P539">
        <v>86</v>
      </c>
      <c r="Q539">
        <v>24.92</v>
      </c>
      <c r="R539" t="s">
        <v>382</v>
      </c>
      <c r="S539">
        <v>0.68</v>
      </c>
      <c r="U539">
        <v>36</v>
      </c>
    </row>
    <row r="540" spans="1:21" x14ac:dyDescent="0.25">
      <c r="A540" s="2">
        <v>46044.90697916667</v>
      </c>
      <c r="B540" t="s">
        <v>309</v>
      </c>
      <c r="C540" t="s">
        <v>372</v>
      </c>
      <c r="D540">
        <v>3</v>
      </c>
      <c r="E540" t="s">
        <v>51</v>
      </c>
      <c r="F540" t="s">
        <v>388</v>
      </c>
      <c r="G540">
        <f t="shared" si="24"/>
        <v>54.914196567862717</v>
      </c>
      <c r="H540">
        <f t="shared" si="25"/>
        <v>14.35257410296412</v>
      </c>
      <c r="I540">
        <v>43.83</v>
      </c>
      <c r="J540">
        <f t="shared" si="26"/>
        <v>30.733229329173167</v>
      </c>
      <c r="K540">
        <v>0.85</v>
      </c>
      <c r="L540">
        <v>0.2</v>
      </c>
      <c r="M540">
        <v>0.7</v>
      </c>
      <c r="N540">
        <v>197</v>
      </c>
      <c r="O540">
        <v>352</v>
      </c>
      <c r="P540">
        <v>92</v>
      </c>
      <c r="Q540">
        <v>69.27</v>
      </c>
      <c r="R540" t="s">
        <v>385</v>
      </c>
      <c r="S540">
        <v>1.93</v>
      </c>
      <c r="U540">
        <v>46</v>
      </c>
    </row>
    <row r="541" spans="1:21" x14ac:dyDescent="0.25">
      <c r="A541" s="2">
        <v>46044.907418981478</v>
      </c>
      <c r="B541" t="s">
        <v>309</v>
      </c>
      <c r="C541" t="s">
        <v>372</v>
      </c>
      <c r="D541">
        <v>3</v>
      </c>
      <c r="E541" t="s">
        <v>55</v>
      </c>
      <c r="F541" t="s">
        <v>388</v>
      </c>
      <c r="G541">
        <f t="shared" si="24"/>
        <v>0.64412238325281801</v>
      </c>
      <c r="H541">
        <f t="shared" si="25"/>
        <v>0</v>
      </c>
      <c r="I541">
        <v>43.83</v>
      </c>
      <c r="J541">
        <f t="shared" si="26"/>
        <v>99.355877616747179</v>
      </c>
      <c r="K541">
        <v>0.85</v>
      </c>
      <c r="L541">
        <v>0.2</v>
      </c>
      <c r="M541">
        <v>0.7</v>
      </c>
      <c r="N541">
        <v>617</v>
      </c>
      <c r="O541">
        <v>4</v>
      </c>
      <c r="P541">
        <v>0</v>
      </c>
      <c r="Q541">
        <v>0.64</v>
      </c>
      <c r="R541" t="s">
        <v>375</v>
      </c>
      <c r="S541">
        <v>0.02</v>
      </c>
      <c r="U541">
        <v>33</v>
      </c>
    </row>
    <row r="542" spans="1:21" x14ac:dyDescent="0.25">
      <c r="A542" s="2">
        <v>46044.907719907409</v>
      </c>
      <c r="B542" t="s">
        <v>309</v>
      </c>
      <c r="C542" t="s">
        <v>372</v>
      </c>
      <c r="D542">
        <v>3</v>
      </c>
      <c r="E542" t="s">
        <v>56</v>
      </c>
      <c r="F542" t="s">
        <v>388</v>
      </c>
      <c r="G542">
        <f t="shared" si="24"/>
        <v>15.032679738562091</v>
      </c>
      <c r="H542">
        <f t="shared" si="25"/>
        <v>76.143790849673195</v>
      </c>
      <c r="I542">
        <v>43.83</v>
      </c>
      <c r="J542">
        <f t="shared" si="26"/>
        <v>8.8235294117647065</v>
      </c>
      <c r="K542">
        <v>0.85</v>
      </c>
      <c r="L542">
        <v>0.2</v>
      </c>
      <c r="M542">
        <v>0.7</v>
      </c>
      <c r="N542">
        <v>54</v>
      </c>
      <c r="O542">
        <v>92</v>
      </c>
      <c r="P542">
        <v>466</v>
      </c>
      <c r="Q542">
        <v>91.18</v>
      </c>
      <c r="R542" t="s">
        <v>385</v>
      </c>
      <c r="S542">
        <v>2.5499999999999998</v>
      </c>
      <c r="U542">
        <v>25</v>
      </c>
    </row>
    <row r="543" spans="1:21" x14ac:dyDescent="0.25">
      <c r="A543" s="2">
        <v>46044.908159722225</v>
      </c>
      <c r="B543" t="s">
        <v>309</v>
      </c>
      <c r="C543" t="s">
        <v>372</v>
      </c>
      <c r="D543">
        <v>3</v>
      </c>
      <c r="E543" t="s">
        <v>58</v>
      </c>
      <c r="F543" t="s">
        <v>388</v>
      </c>
      <c r="G543">
        <f t="shared" si="24"/>
        <v>23.113964686998393</v>
      </c>
      <c r="H543">
        <f t="shared" si="25"/>
        <v>0.32102728731942215</v>
      </c>
      <c r="I543">
        <v>43.83</v>
      </c>
      <c r="J543">
        <f t="shared" si="26"/>
        <v>76.565008025682175</v>
      </c>
      <c r="K543">
        <v>0.85</v>
      </c>
      <c r="L543">
        <v>0.2</v>
      </c>
      <c r="M543">
        <v>0.7</v>
      </c>
      <c r="N543">
        <v>477</v>
      </c>
      <c r="O543">
        <v>144</v>
      </c>
      <c r="P543">
        <v>2</v>
      </c>
      <c r="Q543">
        <v>23.43</v>
      </c>
      <c r="R543" t="s">
        <v>379</v>
      </c>
      <c r="S543">
        <v>0.6</v>
      </c>
      <c r="U543">
        <v>54</v>
      </c>
    </row>
    <row r="544" spans="1:21" x14ac:dyDescent="0.25">
      <c r="A544" s="2">
        <v>46044.908506944441</v>
      </c>
      <c r="B544" t="s">
        <v>309</v>
      </c>
      <c r="C544" t="s">
        <v>372</v>
      </c>
      <c r="D544">
        <v>3</v>
      </c>
      <c r="E544" t="s">
        <v>62</v>
      </c>
      <c r="F544" t="s">
        <v>388</v>
      </c>
      <c r="G544">
        <f t="shared" si="24"/>
        <v>3.3690658499234303</v>
      </c>
      <c r="H544">
        <f t="shared" si="25"/>
        <v>1.0719754977029097</v>
      </c>
      <c r="I544">
        <v>43.83</v>
      </c>
      <c r="J544">
        <f t="shared" si="26"/>
        <v>95.558958652373661</v>
      </c>
      <c r="K544">
        <v>0.85</v>
      </c>
      <c r="L544">
        <v>0.2</v>
      </c>
      <c r="M544">
        <v>0.7</v>
      </c>
      <c r="N544">
        <v>624</v>
      </c>
      <c r="O544">
        <v>22</v>
      </c>
      <c r="P544">
        <v>7</v>
      </c>
      <c r="Q544">
        <v>4.4400000000000004</v>
      </c>
      <c r="R544" t="s">
        <v>376</v>
      </c>
      <c r="S544">
        <v>0.12</v>
      </c>
      <c r="U544">
        <v>21</v>
      </c>
    </row>
    <row r="545" spans="1:21" x14ac:dyDescent="0.25">
      <c r="A545" s="2">
        <v>46044.908807870372</v>
      </c>
      <c r="B545" t="s">
        <v>309</v>
      </c>
      <c r="C545" t="s">
        <v>372</v>
      </c>
      <c r="D545">
        <v>3</v>
      </c>
      <c r="E545" t="s">
        <v>65</v>
      </c>
      <c r="F545" t="s">
        <v>388</v>
      </c>
      <c r="G545">
        <f t="shared" si="24"/>
        <v>16.220238095238095</v>
      </c>
      <c r="H545">
        <f t="shared" si="25"/>
        <v>14.285714285714285</v>
      </c>
      <c r="I545">
        <v>43.83</v>
      </c>
      <c r="J545">
        <f t="shared" si="26"/>
        <v>69.49404761904762</v>
      </c>
      <c r="K545">
        <v>0.85</v>
      </c>
      <c r="L545">
        <v>0.2</v>
      </c>
      <c r="M545">
        <v>0.7</v>
      </c>
      <c r="N545">
        <v>467</v>
      </c>
      <c r="O545">
        <v>109</v>
      </c>
      <c r="P545">
        <v>96</v>
      </c>
      <c r="Q545">
        <v>30.51</v>
      </c>
      <c r="R545" t="s">
        <v>382</v>
      </c>
      <c r="S545">
        <v>0.82</v>
      </c>
      <c r="U545">
        <v>40</v>
      </c>
    </row>
    <row r="546" spans="1:21" x14ac:dyDescent="0.25">
      <c r="A546" s="2">
        <v>46044.909143518518</v>
      </c>
      <c r="B546" t="s">
        <v>309</v>
      </c>
      <c r="C546" t="s">
        <v>372</v>
      </c>
      <c r="D546">
        <v>3</v>
      </c>
      <c r="E546" t="s">
        <v>66</v>
      </c>
      <c r="F546" t="s">
        <v>388</v>
      </c>
      <c r="G546">
        <f t="shared" si="24"/>
        <v>0.5714285714285714</v>
      </c>
      <c r="H546">
        <f t="shared" si="25"/>
        <v>0</v>
      </c>
      <c r="I546">
        <v>43.83</v>
      </c>
      <c r="J546">
        <f t="shared" si="26"/>
        <v>99.428571428571431</v>
      </c>
      <c r="K546">
        <v>0.85</v>
      </c>
      <c r="L546">
        <v>0.2</v>
      </c>
      <c r="M546">
        <v>0.7</v>
      </c>
      <c r="N546">
        <v>696</v>
      </c>
      <c r="O546">
        <v>4</v>
      </c>
      <c r="P546">
        <v>0</v>
      </c>
      <c r="Q546">
        <v>0.56999999999999995</v>
      </c>
      <c r="R546" t="s">
        <v>375</v>
      </c>
      <c r="S546">
        <v>0.02</v>
      </c>
      <c r="U546">
        <v>17</v>
      </c>
    </row>
    <row r="547" spans="1:21" x14ac:dyDescent="0.25">
      <c r="A547" s="2">
        <v>46044.909456018519</v>
      </c>
      <c r="B547" t="s">
        <v>309</v>
      </c>
      <c r="C547" t="s">
        <v>372</v>
      </c>
      <c r="D547">
        <v>3</v>
      </c>
      <c r="E547" t="s">
        <v>67</v>
      </c>
      <c r="F547" t="s">
        <v>388</v>
      </c>
      <c r="G547">
        <f t="shared" si="24"/>
        <v>25.240054869684496</v>
      </c>
      <c r="H547">
        <f t="shared" si="25"/>
        <v>62.277091906721537</v>
      </c>
      <c r="I547">
        <v>43.83</v>
      </c>
      <c r="J547">
        <f t="shared" si="26"/>
        <v>12.482853223593965</v>
      </c>
      <c r="K547">
        <v>0.85</v>
      </c>
      <c r="L547">
        <v>0.2</v>
      </c>
      <c r="M547">
        <v>0.7</v>
      </c>
      <c r="N547">
        <v>91</v>
      </c>
      <c r="O547">
        <v>184</v>
      </c>
      <c r="P547">
        <v>454</v>
      </c>
      <c r="Q547">
        <v>87.52</v>
      </c>
      <c r="R547" t="s">
        <v>389</v>
      </c>
      <c r="S547">
        <v>2.56</v>
      </c>
      <c r="U547">
        <v>17</v>
      </c>
    </row>
    <row r="548" spans="1:21" x14ac:dyDescent="0.25">
      <c r="A548" s="2">
        <v>46044.909907407404</v>
      </c>
      <c r="B548" t="s">
        <v>309</v>
      </c>
      <c r="C548" t="s">
        <v>372</v>
      </c>
      <c r="D548">
        <v>3</v>
      </c>
      <c r="E548" t="s">
        <v>68</v>
      </c>
      <c r="F548" t="s">
        <v>388</v>
      </c>
      <c r="G548">
        <f t="shared" si="24"/>
        <v>25.694444444444443</v>
      </c>
      <c r="H548">
        <f t="shared" si="25"/>
        <v>10.138888888888889</v>
      </c>
      <c r="I548">
        <v>43.83</v>
      </c>
      <c r="J548">
        <f t="shared" si="26"/>
        <v>64.166666666666671</v>
      </c>
      <c r="K548">
        <v>0.85</v>
      </c>
      <c r="L548">
        <v>0.2</v>
      </c>
      <c r="M548">
        <v>0.7</v>
      </c>
      <c r="N548">
        <v>462</v>
      </c>
      <c r="O548">
        <v>185</v>
      </c>
      <c r="P548">
        <v>73</v>
      </c>
      <c r="Q548">
        <v>35.83</v>
      </c>
      <c r="R548" t="s">
        <v>390</v>
      </c>
      <c r="S548">
        <v>1.01</v>
      </c>
      <c r="U548">
        <v>38</v>
      </c>
    </row>
    <row r="549" spans="1:21" x14ac:dyDescent="0.25">
      <c r="A549" s="2">
        <v>46044.910277777781</v>
      </c>
      <c r="B549" t="s">
        <v>309</v>
      </c>
      <c r="C549" t="s">
        <v>372</v>
      </c>
      <c r="D549">
        <v>3</v>
      </c>
      <c r="E549" t="s">
        <v>73</v>
      </c>
      <c r="F549" t="s">
        <v>388</v>
      </c>
      <c r="G549">
        <f t="shared" si="24"/>
        <v>1.28</v>
      </c>
      <c r="H549">
        <f t="shared" si="25"/>
        <v>0.48</v>
      </c>
      <c r="I549">
        <v>43.83</v>
      </c>
      <c r="J549">
        <f t="shared" si="26"/>
        <v>98.240000000000009</v>
      </c>
      <c r="K549">
        <v>0.85</v>
      </c>
      <c r="L549">
        <v>0.2</v>
      </c>
      <c r="M549">
        <v>0.7</v>
      </c>
      <c r="N549">
        <v>614</v>
      </c>
      <c r="O549">
        <v>8</v>
      </c>
      <c r="P549">
        <v>3</v>
      </c>
      <c r="Q549">
        <v>1.76</v>
      </c>
      <c r="R549" t="s">
        <v>376</v>
      </c>
      <c r="S549">
        <v>0.05</v>
      </c>
      <c r="U549">
        <v>42</v>
      </c>
    </row>
    <row r="550" spans="1:21" x14ac:dyDescent="0.25">
      <c r="A550" s="2">
        <v>46044.910578703704</v>
      </c>
      <c r="B550" t="s">
        <v>309</v>
      </c>
      <c r="C550" t="s">
        <v>372</v>
      </c>
      <c r="D550">
        <v>3</v>
      </c>
      <c r="E550" t="s">
        <v>323</v>
      </c>
      <c r="F550" t="s">
        <v>388</v>
      </c>
      <c r="G550">
        <f t="shared" si="24"/>
        <v>19.410745233968804</v>
      </c>
      <c r="H550">
        <f t="shared" si="25"/>
        <v>0.17331022530329288</v>
      </c>
      <c r="I550">
        <v>43.83</v>
      </c>
      <c r="J550">
        <f t="shared" si="26"/>
        <v>80.415944540727907</v>
      </c>
      <c r="K550">
        <v>0.85</v>
      </c>
      <c r="L550">
        <v>0.2</v>
      </c>
      <c r="M550">
        <v>0.7</v>
      </c>
      <c r="N550">
        <v>464</v>
      </c>
      <c r="O550">
        <v>112</v>
      </c>
      <c r="P550">
        <v>1</v>
      </c>
      <c r="Q550">
        <v>19.579999999999998</v>
      </c>
      <c r="R550" t="s">
        <v>382</v>
      </c>
      <c r="S550">
        <v>0.45</v>
      </c>
      <c r="U550">
        <v>117</v>
      </c>
    </row>
    <row r="551" spans="1:21" x14ac:dyDescent="0.25">
      <c r="A551" s="2">
        <v>46044.910914351851</v>
      </c>
      <c r="B551" t="s">
        <v>309</v>
      </c>
      <c r="C551" t="s">
        <v>372</v>
      </c>
      <c r="D551">
        <v>3</v>
      </c>
      <c r="E551" t="s">
        <v>76</v>
      </c>
      <c r="F551" t="s">
        <v>388</v>
      </c>
      <c r="G551">
        <f t="shared" si="24"/>
        <v>45.754716981132077</v>
      </c>
      <c r="H551">
        <f t="shared" si="25"/>
        <v>18.867924528301888</v>
      </c>
      <c r="I551">
        <v>43.83</v>
      </c>
      <c r="J551">
        <f t="shared" si="26"/>
        <v>35.377358490566039</v>
      </c>
      <c r="K551">
        <v>0.85</v>
      </c>
      <c r="L551">
        <v>0.2</v>
      </c>
      <c r="M551">
        <v>0.7</v>
      </c>
      <c r="N551">
        <v>225</v>
      </c>
      <c r="O551">
        <v>291</v>
      </c>
      <c r="P551">
        <v>120</v>
      </c>
      <c r="Q551">
        <v>64.62</v>
      </c>
      <c r="R551" t="s">
        <v>387</v>
      </c>
      <c r="S551">
        <v>1.71</v>
      </c>
      <c r="U551">
        <v>80</v>
      </c>
    </row>
    <row r="552" spans="1:21" x14ac:dyDescent="0.25">
      <c r="A552" s="2">
        <v>46044.91133101852</v>
      </c>
      <c r="B552" t="s">
        <v>309</v>
      </c>
      <c r="C552" t="s">
        <v>372</v>
      </c>
      <c r="D552">
        <v>3</v>
      </c>
      <c r="E552" t="s">
        <v>77</v>
      </c>
      <c r="F552" t="s">
        <v>388</v>
      </c>
      <c r="G552">
        <f t="shared" si="24"/>
        <v>33.846153846153847</v>
      </c>
      <c r="H552">
        <f t="shared" si="25"/>
        <v>28.615384615384613</v>
      </c>
      <c r="I552">
        <v>43.83</v>
      </c>
      <c r="J552">
        <f t="shared" si="26"/>
        <v>37.53846153846154</v>
      </c>
      <c r="K552">
        <v>0.85</v>
      </c>
      <c r="L552">
        <v>0.2</v>
      </c>
      <c r="M552">
        <v>0.7</v>
      </c>
      <c r="N552">
        <v>244</v>
      </c>
      <c r="O552">
        <v>220</v>
      </c>
      <c r="P552">
        <v>186</v>
      </c>
      <c r="Q552">
        <v>62.46</v>
      </c>
      <c r="R552" t="s">
        <v>295</v>
      </c>
      <c r="S552">
        <v>1.72</v>
      </c>
      <c r="U552">
        <v>44</v>
      </c>
    </row>
    <row r="553" spans="1:21" x14ac:dyDescent="0.25">
      <c r="A553" s="2">
        <v>46044.911724537036</v>
      </c>
      <c r="B553" t="s">
        <v>309</v>
      </c>
      <c r="C553" t="s">
        <v>372</v>
      </c>
      <c r="D553">
        <v>3</v>
      </c>
      <c r="E553" t="s">
        <v>78</v>
      </c>
      <c r="F553" t="s">
        <v>388</v>
      </c>
      <c r="G553">
        <f t="shared" si="24"/>
        <v>30.476190476190478</v>
      </c>
      <c r="H553">
        <f t="shared" si="25"/>
        <v>26.666666666666668</v>
      </c>
      <c r="I553">
        <v>43.83</v>
      </c>
      <c r="J553">
        <f t="shared" si="26"/>
        <v>42.857142857142854</v>
      </c>
      <c r="K553">
        <v>0.85</v>
      </c>
      <c r="L553">
        <v>0.2</v>
      </c>
      <c r="M553">
        <v>0.7</v>
      </c>
      <c r="N553">
        <v>225</v>
      </c>
      <c r="O553">
        <v>160</v>
      </c>
      <c r="P553">
        <v>140</v>
      </c>
      <c r="Q553">
        <v>57.14</v>
      </c>
      <c r="R553" t="s">
        <v>379</v>
      </c>
      <c r="S553">
        <v>1.57</v>
      </c>
      <c r="U553">
        <v>25</v>
      </c>
    </row>
    <row r="554" spans="1:21" x14ac:dyDescent="0.25">
      <c r="A554" s="2">
        <v>46044.91207175926</v>
      </c>
      <c r="B554" t="s">
        <v>309</v>
      </c>
      <c r="C554" t="s">
        <v>372</v>
      </c>
      <c r="D554">
        <v>3</v>
      </c>
      <c r="E554" t="s">
        <v>79</v>
      </c>
      <c r="F554" t="s">
        <v>388</v>
      </c>
      <c r="G554">
        <f t="shared" si="24"/>
        <v>33.385335413416541</v>
      </c>
      <c r="H554">
        <f t="shared" si="25"/>
        <v>10.764430577223088</v>
      </c>
      <c r="I554">
        <v>43.83</v>
      </c>
      <c r="J554">
        <f t="shared" si="26"/>
        <v>55.850234009360378</v>
      </c>
      <c r="K554">
        <v>0.85</v>
      </c>
      <c r="L554">
        <v>0.2</v>
      </c>
      <c r="M554">
        <v>0.7</v>
      </c>
      <c r="N554">
        <v>358</v>
      </c>
      <c r="O554">
        <v>214</v>
      </c>
      <c r="P554">
        <v>69</v>
      </c>
      <c r="Q554">
        <v>44.15</v>
      </c>
      <c r="R554" t="s">
        <v>384</v>
      </c>
      <c r="S554">
        <v>1.1599999999999999</v>
      </c>
      <c r="U554">
        <v>50</v>
      </c>
    </row>
    <row r="555" spans="1:21" x14ac:dyDescent="0.25">
      <c r="A555" s="2">
        <v>46044.912442129629</v>
      </c>
      <c r="B555" t="s">
        <v>309</v>
      </c>
      <c r="C555" t="s">
        <v>372</v>
      </c>
      <c r="D555">
        <v>3</v>
      </c>
      <c r="E555" t="s">
        <v>80</v>
      </c>
      <c r="F555" t="s">
        <v>388</v>
      </c>
      <c r="G555">
        <f t="shared" si="24"/>
        <v>8.9153046062407135</v>
      </c>
      <c r="H555">
        <f t="shared" si="25"/>
        <v>5.052005943536404</v>
      </c>
      <c r="I555">
        <v>43.83</v>
      </c>
      <c r="J555">
        <f t="shared" si="26"/>
        <v>86.03268945022289</v>
      </c>
      <c r="K555">
        <v>0.85</v>
      </c>
      <c r="L555">
        <v>0.2</v>
      </c>
      <c r="M555">
        <v>0.7</v>
      </c>
      <c r="N555">
        <v>579</v>
      </c>
      <c r="O555">
        <v>60</v>
      </c>
      <c r="P555">
        <v>34</v>
      </c>
      <c r="Q555">
        <v>13.97</v>
      </c>
      <c r="R555" t="s">
        <v>383</v>
      </c>
      <c r="S555">
        <v>0.4</v>
      </c>
      <c r="U555">
        <v>15</v>
      </c>
    </row>
    <row r="556" spans="1:21" x14ac:dyDescent="0.25">
      <c r="A556" s="2">
        <v>46044.912777777776</v>
      </c>
      <c r="B556" t="s">
        <v>309</v>
      </c>
      <c r="C556" t="s">
        <v>372</v>
      </c>
      <c r="D556">
        <v>3</v>
      </c>
      <c r="E556" t="s">
        <v>82</v>
      </c>
      <c r="F556" t="s">
        <v>388</v>
      </c>
      <c r="G556">
        <f t="shared" si="24"/>
        <v>55.303030303030297</v>
      </c>
      <c r="H556">
        <f t="shared" si="25"/>
        <v>6.0606060606060606</v>
      </c>
      <c r="I556">
        <v>43.83</v>
      </c>
      <c r="J556">
        <f t="shared" si="26"/>
        <v>38.636363636363633</v>
      </c>
      <c r="K556">
        <v>0.85</v>
      </c>
      <c r="L556">
        <v>0.2</v>
      </c>
      <c r="M556">
        <v>0.7</v>
      </c>
      <c r="N556">
        <v>255</v>
      </c>
      <c r="O556">
        <v>365</v>
      </c>
      <c r="P556">
        <v>40</v>
      </c>
      <c r="Q556">
        <v>61.36</v>
      </c>
      <c r="R556" t="s">
        <v>385</v>
      </c>
      <c r="S556">
        <v>1.63</v>
      </c>
      <c r="U556">
        <v>71</v>
      </c>
    </row>
    <row r="557" spans="1:21" x14ac:dyDescent="0.25">
      <c r="A557" s="2">
        <v>46044.913206018522</v>
      </c>
      <c r="B557" t="s">
        <v>309</v>
      </c>
      <c r="C557" t="s">
        <v>372</v>
      </c>
      <c r="D557">
        <v>3</v>
      </c>
      <c r="E557" t="s">
        <v>85</v>
      </c>
      <c r="F557" t="s">
        <v>388</v>
      </c>
      <c r="G557">
        <f t="shared" si="24"/>
        <v>15.691489361702127</v>
      </c>
      <c r="H557">
        <f t="shared" si="25"/>
        <v>78.856382978723403</v>
      </c>
      <c r="I557">
        <v>43.83</v>
      </c>
      <c r="J557">
        <f t="shared" si="26"/>
        <v>5.4521276595744688</v>
      </c>
      <c r="K557">
        <v>0.85</v>
      </c>
      <c r="L557">
        <v>0.2</v>
      </c>
      <c r="M557">
        <v>0.7</v>
      </c>
      <c r="N557">
        <v>41</v>
      </c>
      <c r="O557">
        <v>118</v>
      </c>
      <c r="P557">
        <v>593</v>
      </c>
      <c r="Q557">
        <v>94.55</v>
      </c>
      <c r="R557" t="s">
        <v>391</v>
      </c>
      <c r="S557">
        <v>2.73</v>
      </c>
      <c r="U557">
        <v>11</v>
      </c>
    </row>
    <row r="558" spans="1:21" x14ac:dyDescent="0.25">
      <c r="A558" s="2">
        <v>46044.913703703707</v>
      </c>
      <c r="B558" t="s">
        <v>309</v>
      </c>
      <c r="C558" t="s">
        <v>372</v>
      </c>
      <c r="D558">
        <v>3</v>
      </c>
      <c r="E558" t="s">
        <v>88</v>
      </c>
      <c r="F558" t="s">
        <v>388</v>
      </c>
      <c r="G558">
        <f t="shared" si="24"/>
        <v>11.095700416088766</v>
      </c>
      <c r="H558">
        <f t="shared" si="25"/>
        <v>77.947295423023576</v>
      </c>
      <c r="I558">
        <v>43.83</v>
      </c>
      <c r="J558">
        <f t="shared" si="26"/>
        <v>10.957004160887656</v>
      </c>
      <c r="K558">
        <v>0.85</v>
      </c>
      <c r="L558">
        <v>0.2</v>
      </c>
      <c r="M558">
        <v>0.7</v>
      </c>
      <c r="N558">
        <v>79</v>
      </c>
      <c r="O558">
        <v>80</v>
      </c>
      <c r="P558">
        <v>562</v>
      </c>
      <c r="Q558">
        <v>89.04</v>
      </c>
      <c r="R558" t="s">
        <v>386</v>
      </c>
      <c r="S558">
        <v>2.57</v>
      </c>
      <c r="U558">
        <v>15</v>
      </c>
    </row>
    <row r="559" spans="1:21" x14ac:dyDescent="0.25">
      <c r="A559" s="2">
        <v>46044.914155092592</v>
      </c>
      <c r="B559" t="s">
        <v>309</v>
      </c>
      <c r="C559" t="s">
        <v>372</v>
      </c>
      <c r="D559">
        <v>3</v>
      </c>
      <c r="E559" t="s">
        <v>90</v>
      </c>
      <c r="F559" t="s">
        <v>388</v>
      </c>
      <c r="G559">
        <f t="shared" si="24"/>
        <v>1.3966480446927374</v>
      </c>
      <c r="H559">
        <f t="shared" si="25"/>
        <v>0.13966480446927373</v>
      </c>
      <c r="I559">
        <v>43.83</v>
      </c>
      <c r="J559">
        <f t="shared" si="26"/>
        <v>98.463687150837984</v>
      </c>
      <c r="K559">
        <v>0.85</v>
      </c>
      <c r="L559">
        <v>0.2</v>
      </c>
      <c r="M559">
        <v>0.7</v>
      </c>
      <c r="N559">
        <v>705</v>
      </c>
      <c r="O559">
        <v>10</v>
      </c>
      <c r="P559">
        <v>1</v>
      </c>
      <c r="Q559">
        <v>1.54</v>
      </c>
      <c r="R559" t="s">
        <v>380</v>
      </c>
      <c r="S559">
        <v>0.04</v>
      </c>
      <c r="U559">
        <v>26</v>
      </c>
    </row>
    <row r="560" spans="1:21" x14ac:dyDescent="0.25">
      <c r="A560" s="2">
        <v>46044.914467592593</v>
      </c>
      <c r="B560" t="s">
        <v>309</v>
      </c>
      <c r="C560" t="s">
        <v>372</v>
      </c>
      <c r="D560">
        <v>3</v>
      </c>
      <c r="E560" t="s">
        <v>91</v>
      </c>
      <c r="F560" t="s">
        <v>388</v>
      </c>
      <c r="G560">
        <f t="shared" si="24"/>
        <v>18.243243243243242</v>
      </c>
      <c r="H560">
        <f t="shared" si="25"/>
        <v>0.16891891891891891</v>
      </c>
      <c r="I560">
        <v>43.83</v>
      </c>
      <c r="J560">
        <f t="shared" si="26"/>
        <v>81.587837837837839</v>
      </c>
      <c r="K560">
        <v>0.85</v>
      </c>
      <c r="L560">
        <v>0.2</v>
      </c>
      <c r="M560">
        <v>0.7</v>
      </c>
      <c r="N560">
        <v>483</v>
      </c>
      <c r="O560">
        <v>108</v>
      </c>
      <c r="P560">
        <v>1</v>
      </c>
      <c r="Q560">
        <v>18.41</v>
      </c>
      <c r="R560" t="s">
        <v>380</v>
      </c>
      <c r="S560">
        <v>0.46</v>
      </c>
      <c r="U560">
        <v>57</v>
      </c>
    </row>
    <row r="561" spans="1:21" x14ac:dyDescent="0.25">
      <c r="A561" s="2">
        <v>46044.91479166667</v>
      </c>
      <c r="B561" t="s">
        <v>309</v>
      </c>
      <c r="C561" t="s">
        <v>372</v>
      </c>
      <c r="D561">
        <v>3</v>
      </c>
      <c r="E561" t="s">
        <v>93</v>
      </c>
      <c r="F561" t="s">
        <v>388</v>
      </c>
      <c r="G561">
        <f t="shared" si="24"/>
        <v>5.9027777777777777</v>
      </c>
      <c r="H561">
        <f t="shared" si="25"/>
        <v>0.34722222222222221</v>
      </c>
      <c r="I561">
        <v>43.83</v>
      </c>
      <c r="J561">
        <f t="shared" si="26"/>
        <v>93.75</v>
      </c>
      <c r="K561">
        <v>0.85</v>
      </c>
      <c r="L561">
        <v>0.2</v>
      </c>
      <c r="M561">
        <v>0.7</v>
      </c>
      <c r="N561">
        <v>540</v>
      </c>
      <c r="O561">
        <v>34</v>
      </c>
      <c r="P561">
        <v>2</v>
      </c>
      <c r="Q561">
        <v>6.25</v>
      </c>
      <c r="R561" t="s">
        <v>376</v>
      </c>
      <c r="S561">
        <v>0.14000000000000001</v>
      </c>
      <c r="U561">
        <v>39</v>
      </c>
    </row>
    <row r="562" spans="1:21" x14ac:dyDescent="0.25">
      <c r="A562" s="2">
        <v>46044.915081018517</v>
      </c>
      <c r="B562" t="s">
        <v>309</v>
      </c>
      <c r="C562" t="s">
        <v>372</v>
      </c>
      <c r="D562">
        <v>3</v>
      </c>
      <c r="E562" t="s">
        <v>95</v>
      </c>
      <c r="F562" t="s">
        <v>388</v>
      </c>
      <c r="G562">
        <f t="shared" si="24"/>
        <v>16.546762589928058</v>
      </c>
      <c r="H562">
        <f t="shared" si="25"/>
        <v>70.791366906474821</v>
      </c>
      <c r="I562">
        <v>43.83</v>
      </c>
      <c r="J562">
        <f t="shared" si="26"/>
        <v>12.661870503597122</v>
      </c>
      <c r="K562">
        <v>0.85</v>
      </c>
      <c r="L562">
        <v>0.2</v>
      </c>
      <c r="M562">
        <v>0.7</v>
      </c>
      <c r="N562">
        <v>88</v>
      </c>
      <c r="O562">
        <v>115</v>
      </c>
      <c r="P562">
        <v>492</v>
      </c>
      <c r="Q562">
        <v>87.34</v>
      </c>
      <c r="R562" t="s">
        <v>385</v>
      </c>
      <c r="S562">
        <v>2.54</v>
      </c>
      <c r="U562">
        <v>5</v>
      </c>
    </row>
    <row r="563" spans="1:21" x14ac:dyDescent="0.25">
      <c r="A563" s="2">
        <v>46044.915520833332</v>
      </c>
      <c r="B563" t="s">
        <v>309</v>
      </c>
      <c r="C563" t="s">
        <v>372</v>
      </c>
      <c r="D563">
        <v>3</v>
      </c>
      <c r="E563" t="s">
        <v>96</v>
      </c>
      <c r="F563" t="s">
        <v>388</v>
      </c>
      <c r="G563">
        <f t="shared" si="24"/>
        <v>14.90125673249551</v>
      </c>
      <c r="H563">
        <f t="shared" si="25"/>
        <v>84.919210053859956</v>
      </c>
      <c r="I563">
        <v>43.83</v>
      </c>
      <c r="J563">
        <f t="shared" si="26"/>
        <v>0.17953321364452424</v>
      </c>
      <c r="K563">
        <v>0.85</v>
      </c>
      <c r="L563">
        <v>0.2</v>
      </c>
      <c r="M563">
        <v>0.7</v>
      </c>
      <c r="N563">
        <v>1</v>
      </c>
      <c r="O563">
        <v>83</v>
      </c>
      <c r="P563">
        <v>473</v>
      </c>
      <c r="Q563">
        <v>99.82</v>
      </c>
      <c r="R563" t="s">
        <v>392</v>
      </c>
      <c r="S563">
        <v>2.94</v>
      </c>
      <c r="U563">
        <v>1</v>
      </c>
    </row>
    <row r="564" spans="1:21" x14ac:dyDescent="0.25">
      <c r="A564" s="2">
        <v>46044.915925925925</v>
      </c>
      <c r="B564" t="s">
        <v>309</v>
      </c>
      <c r="C564" t="s">
        <v>372</v>
      </c>
      <c r="D564">
        <v>3</v>
      </c>
      <c r="E564" t="s">
        <v>99</v>
      </c>
      <c r="F564" t="s">
        <v>388</v>
      </c>
      <c r="G564">
        <f t="shared" si="24"/>
        <v>28.111273792093705</v>
      </c>
      <c r="H564">
        <f t="shared" si="25"/>
        <v>55.344070278184475</v>
      </c>
      <c r="I564">
        <v>43.83</v>
      </c>
      <c r="J564">
        <f t="shared" si="26"/>
        <v>16.544655929721817</v>
      </c>
      <c r="K564">
        <v>0.85</v>
      </c>
      <c r="L564">
        <v>0.2</v>
      </c>
      <c r="M564">
        <v>0.7</v>
      </c>
      <c r="N564">
        <v>113</v>
      </c>
      <c r="O564">
        <v>192</v>
      </c>
      <c r="P564">
        <v>378</v>
      </c>
      <c r="Q564">
        <v>83.46</v>
      </c>
      <c r="R564" t="s">
        <v>385</v>
      </c>
      <c r="S564">
        <v>2.34</v>
      </c>
      <c r="U564">
        <v>21</v>
      </c>
    </row>
    <row r="565" spans="1:21" x14ac:dyDescent="0.25">
      <c r="A565" s="2">
        <v>46044.916365740741</v>
      </c>
      <c r="B565" t="s">
        <v>309</v>
      </c>
      <c r="C565" t="s">
        <v>372</v>
      </c>
      <c r="D565">
        <v>3</v>
      </c>
      <c r="E565" t="s">
        <v>324</v>
      </c>
      <c r="F565" t="s">
        <v>388</v>
      </c>
      <c r="G565">
        <f t="shared" si="24"/>
        <v>26.106870229007633</v>
      </c>
      <c r="H565">
        <f t="shared" si="25"/>
        <v>11.908396946564885</v>
      </c>
      <c r="I565">
        <v>43.83</v>
      </c>
      <c r="J565">
        <f t="shared" si="26"/>
        <v>61.984732824427482</v>
      </c>
      <c r="K565">
        <v>0.85</v>
      </c>
      <c r="L565">
        <v>0.2</v>
      </c>
      <c r="M565">
        <v>0.7</v>
      </c>
      <c r="N565">
        <v>406</v>
      </c>
      <c r="O565">
        <v>171</v>
      </c>
      <c r="P565">
        <v>78</v>
      </c>
      <c r="Q565">
        <v>38.020000000000003</v>
      </c>
      <c r="R565" t="s">
        <v>384</v>
      </c>
      <c r="S565">
        <v>0.99</v>
      </c>
      <c r="U565">
        <v>80</v>
      </c>
    </row>
    <row r="566" spans="1:21" x14ac:dyDescent="0.25">
      <c r="A566" s="2">
        <v>46044.916724537034</v>
      </c>
      <c r="B566" t="s">
        <v>309</v>
      </c>
      <c r="C566" t="s">
        <v>372</v>
      </c>
      <c r="D566">
        <v>3</v>
      </c>
      <c r="E566" t="s">
        <v>101</v>
      </c>
      <c r="F566" t="s">
        <v>388</v>
      </c>
      <c r="G566">
        <f t="shared" si="24"/>
        <v>25.431711145996861</v>
      </c>
      <c r="H566">
        <f t="shared" si="25"/>
        <v>67.66091051805337</v>
      </c>
      <c r="I566">
        <v>43.83</v>
      </c>
      <c r="J566">
        <f t="shared" si="26"/>
        <v>6.9073783359497636</v>
      </c>
      <c r="K566">
        <v>0.85</v>
      </c>
      <c r="L566">
        <v>0.2</v>
      </c>
      <c r="M566">
        <v>0.7</v>
      </c>
      <c r="N566">
        <v>44</v>
      </c>
      <c r="O566">
        <v>162</v>
      </c>
      <c r="P566">
        <v>431</v>
      </c>
      <c r="Q566">
        <v>93.09</v>
      </c>
      <c r="R566" t="s">
        <v>385</v>
      </c>
      <c r="S566">
        <v>2.64</v>
      </c>
      <c r="U566">
        <v>18</v>
      </c>
    </row>
    <row r="567" spans="1:21" x14ac:dyDescent="0.25">
      <c r="A567" s="2">
        <v>46044.91715277778</v>
      </c>
      <c r="B567" t="s">
        <v>309</v>
      </c>
      <c r="C567" t="s">
        <v>372</v>
      </c>
      <c r="D567">
        <v>3</v>
      </c>
      <c r="E567" t="s">
        <v>102</v>
      </c>
      <c r="F567" t="s">
        <v>388</v>
      </c>
      <c r="G567">
        <f t="shared" si="24"/>
        <v>29.067930489731435</v>
      </c>
      <c r="H567">
        <f t="shared" si="25"/>
        <v>21.169036334913113</v>
      </c>
      <c r="I567">
        <v>43.83</v>
      </c>
      <c r="J567">
        <f t="shared" si="26"/>
        <v>49.763033175355446</v>
      </c>
      <c r="K567">
        <v>0.85</v>
      </c>
      <c r="L567">
        <v>0.2</v>
      </c>
      <c r="M567">
        <v>0.7</v>
      </c>
      <c r="N567">
        <v>315</v>
      </c>
      <c r="O567">
        <v>184</v>
      </c>
      <c r="P567">
        <v>134</v>
      </c>
      <c r="Q567">
        <v>50.24</v>
      </c>
      <c r="R567" t="s">
        <v>384</v>
      </c>
      <c r="S567">
        <v>1.44</v>
      </c>
      <c r="U567">
        <v>32</v>
      </c>
    </row>
    <row r="568" spans="1:21" x14ac:dyDescent="0.25">
      <c r="A568" s="2">
        <v>46044.917523148149</v>
      </c>
      <c r="B568" t="s">
        <v>309</v>
      </c>
      <c r="C568" t="s">
        <v>372</v>
      </c>
      <c r="D568">
        <v>3</v>
      </c>
      <c r="E568" t="s">
        <v>103</v>
      </c>
      <c r="F568" t="s">
        <v>388</v>
      </c>
      <c r="G568">
        <f t="shared" si="24"/>
        <v>70.3588143525741</v>
      </c>
      <c r="H568">
        <f t="shared" si="25"/>
        <v>8.7363494539781588</v>
      </c>
      <c r="I568">
        <v>43.83</v>
      </c>
      <c r="J568">
        <f t="shared" si="26"/>
        <v>20.904836193447736</v>
      </c>
      <c r="K568">
        <v>0.85</v>
      </c>
      <c r="L568">
        <v>0.2</v>
      </c>
      <c r="M568">
        <v>0.7</v>
      </c>
      <c r="N568">
        <v>134</v>
      </c>
      <c r="O568">
        <v>451</v>
      </c>
      <c r="P568">
        <v>56</v>
      </c>
      <c r="Q568">
        <v>79.099999999999994</v>
      </c>
      <c r="R568" t="s">
        <v>386</v>
      </c>
      <c r="S568">
        <v>2.1800000000000002</v>
      </c>
      <c r="U568">
        <v>51</v>
      </c>
    </row>
    <row r="569" spans="1:21" x14ac:dyDescent="0.25">
      <c r="A569" s="2">
        <v>46044.917962962965</v>
      </c>
      <c r="B569" t="s">
        <v>309</v>
      </c>
      <c r="C569" t="s">
        <v>372</v>
      </c>
      <c r="D569">
        <v>3</v>
      </c>
      <c r="E569" t="s">
        <v>105</v>
      </c>
      <c r="F569" t="s">
        <v>388</v>
      </c>
      <c r="G569">
        <f t="shared" si="24"/>
        <v>9.8009188361408892</v>
      </c>
      <c r="H569">
        <f t="shared" si="25"/>
        <v>6.7381316998468606</v>
      </c>
      <c r="I569">
        <v>43.83</v>
      </c>
      <c r="J569">
        <f t="shared" si="26"/>
        <v>83.460949464012245</v>
      </c>
      <c r="K569">
        <v>0.85</v>
      </c>
      <c r="L569">
        <v>0.2</v>
      </c>
      <c r="M569">
        <v>0.7</v>
      </c>
      <c r="N569">
        <v>545</v>
      </c>
      <c r="O569">
        <v>64</v>
      </c>
      <c r="P569">
        <v>44</v>
      </c>
      <c r="Q569">
        <v>16.54</v>
      </c>
      <c r="R569" t="s">
        <v>382</v>
      </c>
      <c r="S569">
        <v>0.45</v>
      </c>
      <c r="U569">
        <v>44</v>
      </c>
    </row>
    <row r="570" spans="1:21" x14ac:dyDescent="0.25">
      <c r="A570" s="2">
        <v>46044.918310185189</v>
      </c>
      <c r="B570" t="s">
        <v>309</v>
      </c>
      <c r="C570" t="s">
        <v>372</v>
      </c>
      <c r="D570">
        <v>3</v>
      </c>
      <c r="E570" t="s">
        <v>106</v>
      </c>
      <c r="F570" t="s">
        <v>388</v>
      </c>
      <c r="G570">
        <f t="shared" si="24"/>
        <v>5.9147180192572213</v>
      </c>
      <c r="H570">
        <f t="shared" si="25"/>
        <v>88.858321870701516</v>
      </c>
      <c r="I570">
        <v>43.83</v>
      </c>
      <c r="J570">
        <f t="shared" si="26"/>
        <v>5.2269601100412659</v>
      </c>
      <c r="K570">
        <v>0.85</v>
      </c>
      <c r="L570">
        <v>0.2</v>
      </c>
      <c r="M570">
        <v>0.7</v>
      </c>
      <c r="N570">
        <v>38</v>
      </c>
      <c r="O570">
        <v>43</v>
      </c>
      <c r="P570">
        <v>646</v>
      </c>
      <c r="Q570">
        <v>94.77</v>
      </c>
      <c r="R570" t="s">
        <v>393</v>
      </c>
      <c r="S570">
        <v>2.79</v>
      </c>
      <c r="U570">
        <v>3</v>
      </c>
    </row>
    <row r="571" spans="1:21" x14ac:dyDescent="0.25">
      <c r="A571" s="2">
        <v>46044.918796296297</v>
      </c>
      <c r="B571" t="s">
        <v>309</v>
      </c>
      <c r="C571" t="s">
        <v>372</v>
      </c>
      <c r="D571">
        <v>3</v>
      </c>
      <c r="E571" t="s">
        <v>109</v>
      </c>
      <c r="F571" t="s">
        <v>388</v>
      </c>
      <c r="G571">
        <f t="shared" si="24"/>
        <v>7.1428571428571423</v>
      </c>
      <c r="H571">
        <f t="shared" si="25"/>
        <v>0.16611295681063123</v>
      </c>
      <c r="I571">
        <v>43.83</v>
      </c>
      <c r="J571">
        <f t="shared" si="26"/>
        <v>92.691029900332225</v>
      </c>
      <c r="K571">
        <v>0.85</v>
      </c>
      <c r="L571">
        <v>0.2</v>
      </c>
      <c r="M571">
        <v>0.7</v>
      </c>
      <c r="N571">
        <v>558</v>
      </c>
      <c r="O571">
        <v>43</v>
      </c>
      <c r="P571">
        <v>1</v>
      </c>
      <c r="Q571">
        <v>7.31</v>
      </c>
      <c r="R571" t="s">
        <v>383</v>
      </c>
      <c r="S571">
        <v>0.2</v>
      </c>
      <c r="U571">
        <v>80</v>
      </c>
    </row>
    <row r="572" spans="1:21" x14ac:dyDescent="0.25">
      <c r="A572" s="2">
        <v>46044.919131944444</v>
      </c>
      <c r="B572" t="s">
        <v>309</v>
      </c>
      <c r="C572" t="s">
        <v>372</v>
      </c>
      <c r="D572">
        <v>3</v>
      </c>
      <c r="E572" t="s">
        <v>110</v>
      </c>
      <c r="F572" t="s">
        <v>388</v>
      </c>
      <c r="G572">
        <f t="shared" si="24"/>
        <v>10.835913312693499</v>
      </c>
      <c r="H572">
        <f t="shared" si="25"/>
        <v>4.0247678018575854</v>
      </c>
      <c r="I572">
        <v>43.83</v>
      </c>
      <c r="J572">
        <f t="shared" si="26"/>
        <v>85.139318885448915</v>
      </c>
      <c r="K572">
        <v>0.85</v>
      </c>
      <c r="L572">
        <v>0.2</v>
      </c>
      <c r="M572">
        <v>0.7</v>
      </c>
      <c r="N572">
        <v>550</v>
      </c>
      <c r="O572">
        <v>70</v>
      </c>
      <c r="P572">
        <v>26</v>
      </c>
      <c r="Q572">
        <v>14.86</v>
      </c>
      <c r="R572" t="s">
        <v>375</v>
      </c>
      <c r="S572">
        <v>0.4</v>
      </c>
      <c r="U572">
        <v>31</v>
      </c>
    </row>
    <row r="573" spans="1:21" x14ac:dyDescent="0.25">
      <c r="A573" s="2">
        <v>46044.919432870367</v>
      </c>
      <c r="B573" t="s">
        <v>309</v>
      </c>
      <c r="C573" t="s">
        <v>372</v>
      </c>
      <c r="D573">
        <v>3</v>
      </c>
      <c r="E573" t="s">
        <v>111</v>
      </c>
      <c r="F573" t="s">
        <v>388</v>
      </c>
      <c r="G573">
        <f t="shared" si="24"/>
        <v>37.461300309597526</v>
      </c>
      <c r="H573">
        <f t="shared" si="25"/>
        <v>19.040247678018577</v>
      </c>
      <c r="I573">
        <v>43.83</v>
      </c>
      <c r="J573">
        <f t="shared" si="26"/>
        <v>43.4984520123839</v>
      </c>
      <c r="K573">
        <v>0.85</v>
      </c>
      <c r="L573">
        <v>0.2</v>
      </c>
      <c r="M573">
        <v>0.7</v>
      </c>
      <c r="N573">
        <v>281</v>
      </c>
      <c r="O573">
        <v>242</v>
      </c>
      <c r="P573">
        <v>123</v>
      </c>
      <c r="Q573">
        <v>56.5</v>
      </c>
      <c r="R573" t="s">
        <v>390</v>
      </c>
      <c r="S573">
        <v>1.5</v>
      </c>
      <c r="U573">
        <v>72</v>
      </c>
    </row>
    <row r="574" spans="1:21" x14ac:dyDescent="0.25">
      <c r="A574" s="2">
        <v>46044.919814814813</v>
      </c>
      <c r="B574" t="s">
        <v>309</v>
      </c>
      <c r="C574" t="s">
        <v>372</v>
      </c>
      <c r="D574">
        <v>3</v>
      </c>
      <c r="E574" t="s">
        <v>112</v>
      </c>
      <c r="F574" t="s">
        <v>388</v>
      </c>
      <c r="G574">
        <f t="shared" si="24"/>
        <v>6.666666666666667</v>
      </c>
      <c r="H574">
        <f t="shared" si="25"/>
        <v>0</v>
      </c>
      <c r="I574">
        <v>43.83</v>
      </c>
      <c r="J574">
        <f t="shared" si="26"/>
        <v>93.333333333333329</v>
      </c>
      <c r="K574">
        <v>0.85</v>
      </c>
      <c r="L574">
        <v>0.2</v>
      </c>
      <c r="M574">
        <v>0.7</v>
      </c>
      <c r="N574">
        <v>644</v>
      </c>
      <c r="O574">
        <v>46</v>
      </c>
      <c r="P574">
        <v>0</v>
      </c>
      <c r="Q574">
        <v>6.67</v>
      </c>
      <c r="R574" t="s">
        <v>380</v>
      </c>
      <c r="S574">
        <v>0.17</v>
      </c>
      <c r="U574">
        <v>56</v>
      </c>
    </row>
    <row r="575" spans="1:21" x14ac:dyDescent="0.25">
      <c r="A575" s="2">
        <v>46044.920127314814</v>
      </c>
      <c r="B575" t="s">
        <v>309</v>
      </c>
      <c r="C575" t="s">
        <v>372</v>
      </c>
      <c r="D575">
        <v>3</v>
      </c>
      <c r="E575" t="s">
        <v>113</v>
      </c>
      <c r="F575" t="s">
        <v>388</v>
      </c>
      <c r="G575">
        <f t="shared" si="24"/>
        <v>7.518796992481203</v>
      </c>
      <c r="H575">
        <f t="shared" si="25"/>
        <v>0</v>
      </c>
      <c r="I575">
        <v>43.83</v>
      </c>
      <c r="J575">
        <f t="shared" si="26"/>
        <v>92.481203007518801</v>
      </c>
      <c r="K575">
        <v>0.85</v>
      </c>
      <c r="L575">
        <v>0.2</v>
      </c>
      <c r="M575">
        <v>0.7</v>
      </c>
      <c r="N575">
        <v>615</v>
      </c>
      <c r="O575">
        <v>50</v>
      </c>
      <c r="P575">
        <v>0</v>
      </c>
      <c r="Q575">
        <v>7.52</v>
      </c>
      <c r="R575" t="s">
        <v>375</v>
      </c>
      <c r="S575">
        <v>0.2</v>
      </c>
      <c r="U575">
        <v>57</v>
      </c>
    </row>
    <row r="576" spans="1:21" x14ac:dyDescent="0.25">
      <c r="A576" s="2">
        <v>46044.920428240737</v>
      </c>
      <c r="B576" t="s">
        <v>309</v>
      </c>
      <c r="C576" t="s">
        <v>372</v>
      </c>
      <c r="D576">
        <v>3</v>
      </c>
      <c r="E576" t="s">
        <v>114</v>
      </c>
      <c r="F576" t="s">
        <v>388</v>
      </c>
      <c r="G576">
        <f t="shared" si="24"/>
        <v>42.539682539682538</v>
      </c>
      <c r="H576">
        <f t="shared" si="25"/>
        <v>1.746031746031746</v>
      </c>
      <c r="I576">
        <v>43.83</v>
      </c>
      <c r="J576">
        <f t="shared" si="26"/>
        <v>55.714285714285715</v>
      </c>
      <c r="K576">
        <v>0.85</v>
      </c>
      <c r="L576">
        <v>0.2</v>
      </c>
      <c r="M576">
        <v>0.7</v>
      </c>
      <c r="N576">
        <v>351</v>
      </c>
      <c r="O576">
        <v>268</v>
      </c>
      <c r="P576">
        <v>11</v>
      </c>
      <c r="Q576">
        <v>44.29</v>
      </c>
      <c r="R576" t="s">
        <v>295</v>
      </c>
      <c r="S576">
        <v>1.07</v>
      </c>
      <c r="U576">
        <v>92</v>
      </c>
    </row>
    <row r="577" spans="1:21" x14ac:dyDescent="0.25">
      <c r="A577" s="2">
        <v>46044.92082175926</v>
      </c>
      <c r="B577" t="s">
        <v>309</v>
      </c>
      <c r="C577" t="s">
        <v>372</v>
      </c>
      <c r="D577">
        <v>3</v>
      </c>
      <c r="E577" t="s">
        <v>115</v>
      </c>
      <c r="F577" t="s">
        <v>388</v>
      </c>
      <c r="G577">
        <f t="shared" ref="G577:G640" si="27">(O577/(N577+O577+P577))*100</f>
        <v>49.445324881141048</v>
      </c>
      <c r="H577">
        <f t="shared" ref="H577:H640" si="28">(P577/(O577+P577+N577))*100</f>
        <v>29.318541996830426</v>
      </c>
      <c r="I577">
        <v>43.83</v>
      </c>
      <c r="J577">
        <f t="shared" ref="J577:J640" si="29">(N577/(P577+O577+N577))*100</f>
        <v>21.236133122028527</v>
      </c>
      <c r="K577">
        <v>0.85</v>
      </c>
      <c r="L577">
        <v>0.2</v>
      </c>
      <c r="M577">
        <v>0.7</v>
      </c>
      <c r="N577">
        <v>134</v>
      </c>
      <c r="O577">
        <v>312</v>
      </c>
      <c r="P577">
        <v>185</v>
      </c>
      <c r="Q577">
        <v>78.760000000000005</v>
      </c>
      <c r="R577" t="s">
        <v>387</v>
      </c>
      <c r="S577">
        <v>2.2200000000000002</v>
      </c>
      <c r="U577">
        <v>41</v>
      </c>
    </row>
    <row r="578" spans="1:21" x14ac:dyDescent="0.25">
      <c r="A578" s="2">
        <v>46044.921238425923</v>
      </c>
      <c r="B578" t="s">
        <v>309</v>
      </c>
      <c r="C578" t="s">
        <v>372</v>
      </c>
      <c r="D578">
        <v>3</v>
      </c>
      <c r="E578" t="s">
        <v>117</v>
      </c>
      <c r="F578" t="s">
        <v>388</v>
      </c>
      <c r="G578">
        <f t="shared" si="27"/>
        <v>3.2544378698224854</v>
      </c>
      <c r="H578">
        <f t="shared" si="28"/>
        <v>0.14792899408284024</v>
      </c>
      <c r="I578">
        <v>43.83</v>
      </c>
      <c r="J578">
        <f t="shared" si="29"/>
        <v>96.597633136094672</v>
      </c>
      <c r="K578">
        <v>0.85</v>
      </c>
      <c r="L578">
        <v>0.2</v>
      </c>
      <c r="M578">
        <v>0.7</v>
      </c>
      <c r="N578">
        <v>653</v>
      </c>
      <c r="O578">
        <v>22</v>
      </c>
      <c r="P578">
        <v>1</v>
      </c>
      <c r="Q578">
        <v>3.4</v>
      </c>
      <c r="R578" t="s">
        <v>383</v>
      </c>
      <c r="S578">
        <v>0.09</v>
      </c>
      <c r="U578">
        <v>38</v>
      </c>
    </row>
    <row r="579" spans="1:21" x14ac:dyDescent="0.25">
      <c r="A579" s="2">
        <v>46044.921574074076</v>
      </c>
      <c r="B579" t="s">
        <v>309</v>
      </c>
      <c r="C579" t="s">
        <v>372</v>
      </c>
      <c r="D579">
        <v>3</v>
      </c>
      <c r="E579" t="s">
        <v>121</v>
      </c>
      <c r="F579" t="s">
        <v>388</v>
      </c>
      <c r="G579">
        <f t="shared" si="27"/>
        <v>29.313232830820766</v>
      </c>
      <c r="H579">
        <f t="shared" si="28"/>
        <v>15.577889447236181</v>
      </c>
      <c r="I579">
        <v>43.83</v>
      </c>
      <c r="J579">
        <f t="shared" si="29"/>
        <v>55.108877721943053</v>
      </c>
      <c r="K579">
        <v>0.85</v>
      </c>
      <c r="L579">
        <v>0.2</v>
      </c>
      <c r="M579">
        <v>0.7</v>
      </c>
      <c r="N579">
        <v>329</v>
      </c>
      <c r="O579">
        <v>175</v>
      </c>
      <c r="P579">
        <v>93</v>
      </c>
      <c r="Q579">
        <v>44.89</v>
      </c>
      <c r="R579" t="s">
        <v>384</v>
      </c>
      <c r="S579">
        <v>1.26</v>
      </c>
      <c r="U579">
        <v>30</v>
      </c>
    </row>
    <row r="580" spans="1:21" x14ac:dyDescent="0.25">
      <c r="A580" s="2">
        <v>46044.921944444446</v>
      </c>
      <c r="B580" t="s">
        <v>309</v>
      </c>
      <c r="C580" t="s">
        <v>372</v>
      </c>
      <c r="D580">
        <v>3</v>
      </c>
      <c r="E580" t="s">
        <v>122</v>
      </c>
      <c r="F580" t="s">
        <v>388</v>
      </c>
      <c r="G580">
        <f t="shared" si="27"/>
        <v>30.64516129032258</v>
      </c>
      <c r="H580">
        <f t="shared" si="28"/>
        <v>16.862170087976537</v>
      </c>
      <c r="I580">
        <v>43.83</v>
      </c>
      <c r="J580">
        <f t="shared" si="29"/>
        <v>52.492668621700879</v>
      </c>
      <c r="K580">
        <v>0.85</v>
      </c>
      <c r="L580">
        <v>0.2</v>
      </c>
      <c r="M580">
        <v>0.7</v>
      </c>
      <c r="N580">
        <v>358</v>
      </c>
      <c r="O580">
        <v>209</v>
      </c>
      <c r="P580">
        <v>115</v>
      </c>
      <c r="Q580">
        <v>47.51</v>
      </c>
      <c r="R580" t="s">
        <v>295</v>
      </c>
      <c r="S580">
        <v>1.31</v>
      </c>
      <c r="U580">
        <v>47</v>
      </c>
    </row>
    <row r="581" spans="1:21" x14ac:dyDescent="0.25">
      <c r="A581" s="2">
        <v>46044.922326388885</v>
      </c>
      <c r="B581" t="s">
        <v>309</v>
      </c>
      <c r="C581" t="s">
        <v>372</v>
      </c>
      <c r="D581">
        <v>3</v>
      </c>
      <c r="E581" t="s">
        <v>127</v>
      </c>
      <c r="F581" t="s">
        <v>388</v>
      </c>
      <c r="G581">
        <f t="shared" si="27"/>
        <v>6.1359867330016584</v>
      </c>
      <c r="H581">
        <f t="shared" si="28"/>
        <v>0.82918739635157546</v>
      </c>
      <c r="I581">
        <v>43.83</v>
      </c>
      <c r="J581">
        <f t="shared" si="29"/>
        <v>93.03482587064677</v>
      </c>
      <c r="K581">
        <v>0.85</v>
      </c>
      <c r="L581">
        <v>0.2</v>
      </c>
      <c r="M581">
        <v>0.7</v>
      </c>
      <c r="N581">
        <v>561</v>
      </c>
      <c r="O581">
        <v>37</v>
      </c>
      <c r="P581">
        <v>5</v>
      </c>
      <c r="Q581">
        <v>6.97</v>
      </c>
      <c r="R581" t="s">
        <v>375</v>
      </c>
      <c r="S581">
        <v>0.19</v>
      </c>
      <c r="U581">
        <v>14</v>
      </c>
    </row>
    <row r="582" spans="1:21" x14ac:dyDescent="0.25">
      <c r="A582" s="2">
        <v>46044.922638888886</v>
      </c>
      <c r="B582" t="s">
        <v>309</v>
      </c>
      <c r="C582" t="s">
        <v>372</v>
      </c>
      <c r="D582">
        <v>3</v>
      </c>
      <c r="E582" t="s">
        <v>128</v>
      </c>
      <c r="F582" t="s">
        <v>388</v>
      </c>
      <c r="G582">
        <f t="shared" si="27"/>
        <v>0.6259780907668232</v>
      </c>
      <c r="H582">
        <f t="shared" si="28"/>
        <v>0.1564945226917058</v>
      </c>
      <c r="I582">
        <v>43.83</v>
      </c>
      <c r="J582">
        <f t="shared" si="29"/>
        <v>99.217527386541477</v>
      </c>
      <c r="K582">
        <v>0.85</v>
      </c>
      <c r="L582">
        <v>0.2</v>
      </c>
      <c r="M582">
        <v>0.7</v>
      </c>
      <c r="N582">
        <v>634</v>
      </c>
      <c r="O582">
        <v>4</v>
      </c>
      <c r="P582">
        <v>1</v>
      </c>
      <c r="Q582">
        <v>0.78</v>
      </c>
      <c r="R582" t="s">
        <v>375</v>
      </c>
      <c r="S582">
        <v>0.02</v>
      </c>
      <c r="U582">
        <v>19</v>
      </c>
    </row>
    <row r="583" spans="1:21" x14ac:dyDescent="0.25">
      <c r="A583" s="2">
        <v>46044.922939814816</v>
      </c>
      <c r="B583" t="s">
        <v>309</v>
      </c>
      <c r="C583" t="s">
        <v>372</v>
      </c>
      <c r="D583">
        <v>3</v>
      </c>
      <c r="E583" t="s">
        <v>133</v>
      </c>
      <c r="F583" t="s">
        <v>388</v>
      </c>
      <c r="G583">
        <f t="shared" si="27"/>
        <v>39.05996758508914</v>
      </c>
      <c r="H583">
        <f t="shared" si="28"/>
        <v>11.9935170178282</v>
      </c>
      <c r="I583">
        <v>43.83</v>
      </c>
      <c r="J583">
        <f t="shared" si="29"/>
        <v>48.946515397082656</v>
      </c>
      <c r="K583">
        <v>0.85</v>
      </c>
      <c r="L583">
        <v>0.2</v>
      </c>
      <c r="M583">
        <v>0.7</v>
      </c>
      <c r="N583">
        <v>302</v>
      </c>
      <c r="O583">
        <v>241</v>
      </c>
      <c r="P583">
        <v>74</v>
      </c>
      <c r="Q583">
        <v>51.05</v>
      </c>
      <c r="R583" t="s">
        <v>390</v>
      </c>
      <c r="S583">
        <v>1.31</v>
      </c>
      <c r="U583">
        <v>70</v>
      </c>
    </row>
    <row r="584" spans="1:21" x14ac:dyDescent="0.25">
      <c r="A584" s="2">
        <v>46044.923321759263</v>
      </c>
      <c r="B584" t="s">
        <v>309</v>
      </c>
      <c r="C584" t="s">
        <v>372</v>
      </c>
      <c r="D584">
        <v>3</v>
      </c>
      <c r="E584" t="s">
        <v>134</v>
      </c>
      <c r="F584" t="s">
        <v>388</v>
      </c>
      <c r="G584">
        <f t="shared" si="27"/>
        <v>23.607038123167158</v>
      </c>
      <c r="H584">
        <f t="shared" si="28"/>
        <v>69.061583577712611</v>
      </c>
      <c r="I584">
        <v>43.83</v>
      </c>
      <c r="J584">
        <f t="shared" si="29"/>
        <v>7.3313782991202352</v>
      </c>
      <c r="K584">
        <v>0.85</v>
      </c>
      <c r="L584">
        <v>0.2</v>
      </c>
      <c r="M584">
        <v>0.7</v>
      </c>
      <c r="N584">
        <v>50</v>
      </c>
      <c r="O584">
        <v>161</v>
      </c>
      <c r="P584">
        <v>471</v>
      </c>
      <c r="Q584">
        <v>92.67</v>
      </c>
      <c r="R584" t="s">
        <v>386</v>
      </c>
      <c r="S584">
        <v>2.68</v>
      </c>
      <c r="U584">
        <v>13</v>
      </c>
    </row>
    <row r="585" spans="1:21" x14ac:dyDescent="0.25">
      <c r="A585" s="2">
        <v>46044.923773148148</v>
      </c>
      <c r="B585" t="s">
        <v>309</v>
      </c>
      <c r="C585" t="s">
        <v>372</v>
      </c>
      <c r="D585">
        <v>3</v>
      </c>
      <c r="E585" t="s">
        <v>139</v>
      </c>
      <c r="F585" t="s">
        <v>388</v>
      </c>
      <c r="G585">
        <f t="shared" si="27"/>
        <v>57.473035439137135</v>
      </c>
      <c r="H585">
        <f t="shared" si="28"/>
        <v>18.64406779661017</v>
      </c>
      <c r="I585">
        <v>43.83</v>
      </c>
      <c r="J585">
        <f t="shared" si="29"/>
        <v>23.882896764252695</v>
      </c>
      <c r="K585">
        <v>0.85</v>
      </c>
      <c r="L585">
        <v>0.2</v>
      </c>
      <c r="M585">
        <v>0.7</v>
      </c>
      <c r="N585">
        <v>155</v>
      </c>
      <c r="O585">
        <v>373</v>
      </c>
      <c r="P585">
        <v>121</v>
      </c>
      <c r="Q585">
        <v>76.12</v>
      </c>
      <c r="R585" t="s">
        <v>385</v>
      </c>
      <c r="S585">
        <v>2.0099999999999998</v>
      </c>
      <c r="U585">
        <v>57</v>
      </c>
    </row>
    <row r="586" spans="1:21" x14ac:dyDescent="0.25">
      <c r="A586" s="2">
        <v>46044.924201388887</v>
      </c>
      <c r="B586" t="s">
        <v>309</v>
      </c>
      <c r="C586" t="s">
        <v>372</v>
      </c>
      <c r="D586">
        <v>3</v>
      </c>
      <c r="E586" t="s">
        <v>142</v>
      </c>
      <c r="F586" t="s">
        <v>388</v>
      </c>
      <c r="G586">
        <f t="shared" si="27"/>
        <v>65.764331210191088</v>
      </c>
      <c r="H586">
        <f t="shared" si="28"/>
        <v>20.063694267515924</v>
      </c>
      <c r="I586">
        <v>43.83</v>
      </c>
      <c r="J586">
        <f t="shared" si="29"/>
        <v>14.171974522292993</v>
      </c>
      <c r="K586">
        <v>0.85</v>
      </c>
      <c r="L586">
        <v>0.2</v>
      </c>
      <c r="M586">
        <v>0.7</v>
      </c>
      <c r="N586">
        <v>89</v>
      </c>
      <c r="O586">
        <v>413</v>
      </c>
      <c r="P586">
        <v>126</v>
      </c>
      <c r="Q586">
        <v>85.83</v>
      </c>
      <c r="R586" t="s">
        <v>387</v>
      </c>
      <c r="S586">
        <v>2.54</v>
      </c>
      <c r="U586">
        <v>28</v>
      </c>
    </row>
    <row r="587" spans="1:21" x14ac:dyDescent="0.25">
      <c r="A587" s="2">
        <v>46044.924629629626</v>
      </c>
      <c r="B587" t="s">
        <v>309</v>
      </c>
      <c r="C587" t="s">
        <v>372</v>
      </c>
      <c r="D587">
        <v>3</v>
      </c>
      <c r="E587" t="s">
        <v>143</v>
      </c>
      <c r="F587" t="s">
        <v>388</v>
      </c>
      <c r="G587">
        <f t="shared" si="27"/>
        <v>10.492845786963434</v>
      </c>
      <c r="H587">
        <f t="shared" si="28"/>
        <v>88.553259141494436</v>
      </c>
      <c r="I587">
        <v>43.83</v>
      </c>
      <c r="J587">
        <f t="shared" si="29"/>
        <v>0.95389507154213027</v>
      </c>
      <c r="K587">
        <v>0.85</v>
      </c>
      <c r="L587">
        <v>0.2</v>
      </c>
      <c r="M587">
        <v>0.7</v>
      </c>
      <c r="N587">
        <v>6</v>
      </c>
      <c r="O587">
        <v>66</v>
      </c>
      <c r="P587">
        <v>557</v>
      </c>
      <c r="Q587">
        <v>99.05</v>
      </c>
      <c r="R587" t="s">
        <v>387</v>
      </c>
      <c r="S587">
        <v>3.03</v>
      </c>
      <c r="U587">
        <v>4</v>
      </c>
    </row>
    <row r="588" spans="1:21" x14ac:dyDescent="0.25">
      <c r="A588" s="2">
        <v>46044.925057870372</v>
      </c>
      <c r="B588" t="s">
        <v>309</v>
      </c>
      <c r="C588" t="s">
        <v>372</v>
      </c>
      <c r="D588">
        <v>3</v>
      </c>
      <c r="E588" t="s">
        <v>144</v>
      </c>
      <c r="F588" t="s">
        <v>388</v>
      </c>
      <c r="G588">
        <f t="shared" si="27"/>
        <v>1.3774104683195594</v>
      </c>
      <c r="H588">
        <f t="shared" si="28"/>
        <v>0</v>
      </c>
      <c r="I588">
        <v>43.83</v>
      </c>
      <c r="J588">
        <f t="shared" si="29"/>
        <v>98.622589531680433</v>
      </c>
      <c r="K588">
        <v>0.85</v>
      </c>
      <c r="L588">
        <v>0.2</v>
      </c>
      <c r="M588">
        <v>0.7</v>
      </c>
      <c r="N588">
        <v>716</v>
      </c>
      <c r="O588">
        <v>10</v>
      </c>
      <c r="P588">
        <v>0</v>
      </c>
      <c r="Q588">
        <v>1.38</v>
      </c>
      <c r="R588" t="s">
        <v>380</v>
      </c>
      <c r="S588">
        <v>0.03</v>
      </c>
      <c r="U588">
        <v>20</v>
      </c>
    </row>
    <row r="589" spans="1:21" x14ac:dyDescent="0.25">
      <c r="A589" s="2">
        <v>46044.925370370373</v>
      </c>
      <c r="B589" t="s">
        <v>309</v>
      </c>
      <c r="C589" t="s">
        <v>372</v>
      </c>
      <c r="D589">
        <v>3</v>
      </c>
      <c r="E589" t="s">
        <v>145</v>
      </c>
      <c r="F589" t="s">
        <v>388</v>
      </c>
      <c r="G589">
        <f t="shared" si="27"/>
        <v>27.371695178849144</v>
      </c>
      <c r="H589">
        <f t="shared" si="28"/>
        <v>16.174183514774494</v>
      </c>
      <c r="I589">
        <v>43.83</v>
      </c>
      <c r="J589">
        <f t="shared" si="29"/>
        <v>56.454121306376358</v>
      </c>
      <c r="K589">
        <v>0.85</v>
      </c>
      <c r="L589">
        <v>0.2</v>
      </c>
      <c r="M589">
        <v>0.7</v>
      </c>
      <c r="N589">
        <v>363</v>
      </c>
      <c r="O589">
        <v>176</v>
      </c>
      <c r="P589">
        <v>104</v>
      </c>
      <c r="Q589">
        <v>43.55</v>
      </c>
      <c r="R589" t="s">
        <v>384</v>
      </c>
      <c r="S589">
        <v>1.25</v>
      </c>
      <c r="U589">
        <v>21</v>
      </c>
    </row>
    <row r="590" spans="1:21" x14ac:dyDescent="0.25">
      <c r="A590" s="2">
        <v>46044.925729166665</v>
      </c>
      <c r="B590" t="s">
        <v>309</v>
      </c>
      <c r="C590" t="s">
        <v>372</v>
      </c>
      <c r="D590">
        <v>3</v>
      </c>
      <c r="E590" t="s">
        <v>147</v>
      </c>
      <c r="F590" t="s">
        <v>388</v>
      </c>
      <c r="G590">
        <f t="shared" si="27"/>
        <v>2.2801302931596092</v>
      </c>
      <c r="H590">
        <f t="shared" si="28"/>
        <v>0</v>
      </c>
      <c r="I590">
        <v>43.83</v>
      </c>
      <c r="J590">
        <f t="shared" si="29"/>
        <v>97.719869706840385</v>
      </c>
      <c r="K590">
        <v>0.85</v>
      </c>
      <c r="L590">
        <v>0.2</v>
      </c>
      <c r="M590">
        <v>0.7</v>
      </c>
      <c r="N590">
        <v>600</v>
      </c>
      <c r="O590">
        <v>14</v>
      </c>
      <c r="P590">
        <v>0</v>
      </c>
      <c r="Q590">
        <v>2.2799999999999998</v>
      </c>
      <c r="R590" t="s">
        <v>375</v>
      </c>
      <c r="S590">
        <v>0.06</v>
      </c>
      <c r="U590">
        <v>27</v>
      </c>
    </row>
    <row r="591" spans="1:21" x14ac:dyDescent="0.25">
      <c r="A591" s="2">
        <v>46044.926041666666</v>
      </c>
      <c r="B591" t="s">
        <v>309</v>
      </c>
      <c r="C591" t="s">
        <v>372</v>
      </c>
      <c r="D591">
        <v>3</v>
      </c>
      <c r="E591" t="s">
        <v>151</v>
      </c>
      <c r="F591" t="s">
        <v>388</v>
      </c>
      <c r="G591">
        <f t="shared" si="27"/>
        <v>26.017441860465119</v>
      </c>
      <c r="H591">
        <f t="shared" si="28"/>
        <v>57.267441860465119</v>
      </c>
      <c r="I591">
        <v>43.83</v>
      </c>
      <c r="J591">
        <f t="shared" si="29"/>
        <v>16.715116279069768</v>
      </c>
      <c r="K591">
        <v>0.85</v>
      </c>
      <c r="L591">
        <v>0.2</v>
      </c>
      <c r="M591">
        <v>0.7</v>
      </c>
      <c r="N591">
        <v>115</v>
      </c>
      <c r="O591">
        <v>179</v>
      </c>
      <c r="P591">
        <v>394</v>
      </c>
      <c r="Q591">
        <v>83.28</v>
      </c>
      <c r="R591" t="s">
        <v>385</v>
      </c>
      <c r="S591">
        <v>2.3199999999999998</v>
      </c>
      <c r="U591">
        <v>27</v>
      </c>
    </row>
    <row r="592" spans="1:21" x14ac:dyDescent="0.25">
      <c r="A592" s="2">
        <v>46044.926469907405</v>
      </c>
      <c r="B592" t="s">
        <v>309</v>
      </c>
      <c r="C592" t="s">
        <v>372</v>
      </c>
      <c r="D592">
        <v>3</v>
      </c>
      <c r="E592" t="s">
        <v>152</v>
      </c>
      <c r="F592" t="s">
        <v>388</v>
      </c>
      <c r="G592">
        <f t="shared" si="27"/>
        <v>0.83612040133779264</v>
      </c>
      <c r="H592">
        <f t="shared" si="28"/>
        <v>0</v>
      </c>
      <c r="I592">
        <v>43.83</v>
      </c>
      <c r="J592">
        <f t="shared" si="29"/>
        <v>99.163879598662206</v>
      </c>
      <c r="K592">
        <v>0.85</v>
      </c>
      <c r="L592">
        <v>0.2</v>
      </c>
      <c r="M592">
        <v>0.7</v>
      </c>
      <c r="N592">
        <v>593</v>
      </c>
      <c r="O592">
        <v>5</v>
      </c>
      <c r="P592">
        <v>0</v>
      </c>
      <c r="Q592">
        <v>0.84</v>
      </c>
      <c r="R592" t="s">
        <v>377</v>
      </c>
      <c r="S592">
        <v>0.02</v>
      </c>
      <c r="U592">
        <v>23</v>
      </c>
    </row>
    <row r="593" spans="1:21" x14ac:dyDescent="0.25">
      <c r="A593" s="2">
        <v>46044.926759259259</v>
      </c>
      <c r="B593" t="s">
        <v>309</v>
      </c>
      <c r="C593" t="s">
        <v>372</v>
      </c>
      <c r="D593">
        <v>3</v>
      </c>
      <c r="E593" t="s">
        <v>153</v>
      </c>
      <c r="F593" t="s">
        <v>388</v>
      </c>
      <c r="G593">
        <f t="shared" si="27"/>
        <v>18.086696562032888</v>
      </c>
      <c r="H593">
        <f t="shared" si="28"/>
        <v>35.426008968609871</v>
      </c>
      <c r="I593">
        <v>43.83</v>
      </c>
      <c r="J593">
        <f t="shared" si="29"/>
        <v>46.487294469357252</v>
      </c>
      <c r="K593">
        <v>0.85</v>
      </c>
      <c r="L593">
        <v>0.2</v>
      </c>
      <c r="M593">
        <v>0.7</v>
      </c>
      <c r="N593">
        <v>311</v>
      </c>
      <c r="O593">
        <v>121</v>
      </c>
      <c r="P593">
        <v>237</v>
      </c>
      <c r="Q593">
        <v>53.51</v>
      </c>
      <c r="R593" t="s">
        <v>392</v>
      </c>
      <c r="S593">
        <v>1.51</v>
      </c>
      <c r="U593">
        <v>31</v>
      </c>
    </row>
    <row r="594" spans="1:21" x14ac:dyDescent="0.25">
      <c r="A594" s="2">
        <v>46044.927164351851</v>
      </c>
      <c r="B594" t="s">
        <v>309</v>
      </c>
      <c r="C594" t="s">
        <v>372</v>
      </c>
      <c r="D594">
        <v>3</v>
      </c>
      <c r="E594" t="s">
        <v>154</v>
      </c>
      <c r="F594" t="s">
        <v>388</v>
      </c>
      <c r="G594">
        <f t="shared" si="27"/>
        <v>14.523449319213313</v>
      </c>
      <c r="H594">
        <f t="shared" si="28"/>
        <v>1.3615733736762481</v>
      </c>
      <c r="I594">
        <v>43.83</v>
      </c>
      <c r="J594">
        <f t="shared" si="29"/>
        <v>84.114977307110436</v>
      </c>
      <c r="K594">
        <v>0.85</v>
      </c>
      <c r="L594">
        <v>0.2</v>
      </c>
      <c r="M594">
        <v>0.7</v>
      </c>
      <c r="N594">
        <v>556</v>
      </c>
      <c r="O594">
        <v>96</v>
      </c>
      <c r="P594">
        <v>9</v>
      </c>
      <c r="Q594">
        <v>15.89</v>
      </c>
      <c r="R594" t="s">
        <v>384</v>
      </c>
      <c r="S594">
        <v>0.42</v>
      </c>
      <c r="U594">
        <v>50</v>
      </c>
    </row>
    <row r="595" spans="1:21" x14ac:dyDescent="0.25">
      <c r="A595" s="2">
        <v>46044.927534722221</v>
      </c>
      <c r="B595" t="s">
        <v>309</v>
      </c>
      <c r="C595" t="s">
        <v>372</v>
      </c>
      <c r="D595">
        <v>3</v>
      </c>
      <c r="E595" t="s">
        <v>158</v>
      </c>
      <c r="F595" t="s">
        <v>388</v>
      </c>
      <c r="G595">
        <f t="shared" si="27"/>
        <v>51.390922401171302</v>
      </c>
      <c r="H595">
        <f t="shared" si="28"/>
        <v>18.008784773060029</v>
      </c>
      <c r="I595">
        <v>43.83</v>
      </c>
      <c r="J595">
        <f t="shared" si="29"/>
        <v>30.600292825768665</v>
      </c>
      <c r="K595">
        <v>0.85</v>
      </c>
      <c r="L595">
        <v>0.2</v>
      </c>
      <c r="M595">
        <v>0.7</v>
      </c>
      <c r="N595">
        <v>209</v>
      </c>
      <c r="O595">
        <v>351</v>
      </c>
      <c r="P595">
        <v>123</v>
      </c>
      <c r="Q595">
        <v>69.400000000000006</v>
      </c>
      <c r="R595" t="s">
        <v>387</v>
      </c>
      <c r="S595">
        <v>1.85</v>
      </c>
      <c r="U595">
        <v>51</v>
      </c>
    </row>
    <row r="596" spans="1:21" x14ac:dyDescent="0.25">
      <c r="A596" s="2">
        <v>46044.927951388891</v>
      </c>
      <c r="B596" t="s">
        <v>309</v>
      </c>
      <c r="C596" t="s">
        <v>372</v>
      </c>
      <c r="D596">
        <v>3</v>
      </c>
      <c r="E596" t="s">
        <v>159</v>
      </c>
      <c r="F596" t="s">
        <v>388</v>
      </c>
      <c r="G596">
        <f t="shared" si="27"/>
        <v>48.59550561797753</v>
      </c>
      <c r="H596">
        <f t="shared" si="28"/>
        <v>50.421348314606739</v>
      </c>
      <c r="I596">
        <v>43.83</v>
      </c>
      <c r="J596">
        <f t="shared" si="29"/>
        <v>0.9831460674157303</v>
      </c>
      <c r="K596">
        <v>0.85</v>
      </c>
      <c r="L596">
        <v>0.2</v>
      </c>
      <c r="M596">
        <v>0.7</v>
      </c>
      <c r="N596">
        <v>7</v>
      </c>
      <c r="O596">
        <v>346</v>
      </c>
      <c r="P596">
        <v>359</v>
      </c>
      <c r="Q596">
        <v>99.02</v>
      </c>
      <c r="R596" t="s">
        <v>386</v>
      </c>
      <c r="S596">
        <v>2.96</v>
      </c>
      <c r="U596">
        <v>6</v>
      </c>
    </row>
    <row r="597" spans="1:21" x14ac:dyDescent="0.25">
      <c r="A597" s="2">
        <v>46044.928402777776</v>
      </c>
      <c r="B597" t="s">
        <v>309</v>
      </c>
      <c r="C597" t="s">
        <v>372</v>
      </c>
      <c r="D597">
        <v>3</v>
      </c>
      <c r="E597" t="s">
        <v>160</v>
      </c>
      <c r="F597" t="s">
        <v>388</v>
      </c>
      <c r="G597">
        <f t="shared" si="27"/>
        <v>6.0931899641577063</v>
      </c>
      <c r="H597">
        <f t="shared" si="28"/>
        <v>0.17921146953405018</v>
      </c>
      <c r="I597">
        <v>43.83</v>
      </c>
      <c r="J597">
        <f t="shared" si="29"/>
        <v>93.727598566308245</v>
      </c>
      <c r="K597">
        <v>0.85</v>
      </c>
      <c r="L597">
        <v>0.2</v>
      </c>
      <c r="M597">
        <v>0.7</v>
      </c>
      <c r="N597">
        <v>523</v>
      </c>
      <c r="O597">
        <v>34</v>
      </c>
      <c r="P597">
        <v>1</v>
      </c>
      <c r="Q597">
        <v>6.27</v>
      </c>
      <c r="R597" t="s">
        <v>377</v>
      </c>
      <c r="S597">
        <v>0.16</v>
      </c>
      <c r="U597">
        <v>14</v>
      </c>
    </row>
    <row r="598" spans="1:21" x14ac:dyDescent="0.25">
      <c r="A598" s="2">
        <v>46044.92869212963</v>
      </c>
      <c r="B598" t="s">
        <v>309</v>
      </c>
      <c r="C598" t="s">
        <v>372</v>
      </c>
      <c r="D598">
        <v>3</v>
      </c>
      <c r="E598" t="s">
        <v>325</v>
      </c>
      <c r="F598" t="s">
        <v>388</v>
      </c>
      <c r="G598">
        <f t="shared" si="27"/>
        <v>6.5543071161048685</v>
      </c>
      <c r="H598">
        <f t="shared" si="28"/>
        <v>0</v>
      </c>
      <c r="I598">
        <v>43.83</v>
      </c>
      <c r="J598">
        <f t="shared" si="29"/>
        <v>93.44569288389512</v>
      </c>
      <c r="K598">
        <v>0.85</v>
      </c>
      <c r="L598">
        <v>0.2</v>
      </c>
      <c r="M598">
        <v>0.7</v>
      </c>
      <c r="N598">
        <v>499</v>
      </c>
      <c r="O598">
        <v>35</v>
      </c>
      <c r="P598">
        <v>0</v>
      </c>
      <c r="Q598">
        <v>6.55</v>
      </c>
      <c r="R598" t="s">
        <v>377</v>
      </c>
      <c r="S598">
        <v>0.17</v>
      </c>
      <c r="U598">
        <v>25</v>
      </c>
    </row>
    <row r="599" spans="1:21" x14ac:dyDescent="0.25">
      <c r="A599" s="2">
        <v>46044.928969907407</v>
      </c>
      <c r="B599" t="s">
        <v>309</v>
      </c>
      <c r="C599" t="s">
        <v>372</v>
      </c>
      <c r="D599">
        <v>3</v>
      </c>
      <c r="E599" t="s">
        <v>165</v>
      </c>
      <c r="F599" t="s">
        <v>388</v>
      </c>
      <c r="G599">
        <f t="shared" si="27"/>
        <v>33.115823817292004</v>
      </c>
      <c r="H599">
        <f t="shared" si="28"/>
        <v>52.854812398042419</v>
      </c>
      <c r="I599">
        <v>43.83</v>
      </c>
      <c r="J599">
        <f t="shared" si="29"/>
        <v>14.029363784665581</v>
      </c>
      <c r="K599">
        <v>0.85</v>
      </c>
      <c r="L599">
        <v>0.2</v>
      </c>
      <c r="M599">
        <v>0.7</v>
      </c>
      <c r="N599">
        <v>86</v>
      </c>
      <c r="O599">
        <v>203</v>
      </c>
      <c r="P599">
        <v>324</v>
      </c>
      <c r="Q599">
        <v>85.97</v>
      </c>
      <c r="R599" t="s">
        <v>378</v>
      </c>
      <c r="S599">
        <v>2.5299999999999998</v>
      </c>
      <c r="U599">
        <v>25</v>
      </c>
    </row>
    <row r="600" spans="1:21" x14ac:dyDescent="0.25">
      <c r="A600" s="2">
        <v>46044.929375</v>
      </c>
      <c r="B600" t="s">
        <v>309</v>
      </c>
      <c r="C600" t="s">
        <v>372</v>
      </c>
      <c r="D600">
        <v>3</v>
      </c>
      <c r="E600" t="s">
        <v>166</v>
      </c>
      <c r="F600" t="s">
        <v>388</v>
      </c>
      <c r="G600">
        <f t="shared" si="27"/>
        <v>5.6338028169014089</v>
      </c>
      <c r="H600">
        <f t="shared" si="28"/>
        <v>0.78247261345852892</v>
      </c>
      <c r="I600">
        <v>43.83</v>
      </c>
      <c r="J600">
        <f t="shared" si="29"/>
        <v>93.583724569640054</v>
      </c>
      <c r="K600">
        <v>0.85</v>
      </c>
      <c r="L600">
        <v>0.2</v>
      </c>
      <c r="M600">
        <v>0.7</v>
      </c>
      <c r="N600">
        <v>598</v>
      </c>
      <c r="O600">
        <v>36</v>
      </c>
      <c r="P600">
        <v>5</v>
      </c>
      <c r="Q600">
        <v>6.42</v>
      </c>
      <c r="R600" t="s">
        <v>375</v>
      </c>
      <c r="S600">
        <v>0.16</v>
      </c>
      <c r="U600">
        <v>38</v>
      </c>
    </row>
    <row r="601" spans="1:21" x14ac:dyDescent="0.25">
      <c r="A601" s="2">
        <v>46044.9296875</v>
      </c>
      <c r="B601" t="s">
        <v>309</v>
      </c>
      <c r="C601" t="s">
        <v>372</v>
      </c>
      <c r="D601">
        <v>3</v>
      </c>
      <c r="E601" t="s">
        <v>169</v>
      </c>
      <c r="F601" t="s">
        <v>388</v>
      </c>
      <c r="G601">
        <f t="shared" si="27"/>
        <v>9.9644128113879002</v>
      </c>
      <c r="H601">
        <f t="shared" si="28"/>
        <v>0.1779359430604982</v>
      </c>
      <c r="I601">
        <v>43.83</v>
      </c>
      <c r="J601">
        <f t="shared" si="29"/>
        <v>89.857651245551608</v>
      </c>
      <c r="K601">
        <v>0.85</v>
      </c>
      <c r="L601">
        <v>0.2</v>
      </c>
      <c r="M601">
        <v>0.7</v>
      </c>
      <c r="N601">
        <v>505</v>
      </c>
      <c r="O601">
        <v>56</v>
      </c>
      <c r="P601">
        <v>1</v>
      </c>
      <c r="Q601">
        <v>10.14</v>
      </c>
      <c r="R601" t="s">
        <v>380</v>
      </c>
      <c r="S601">
        <v>0.27</v>
      </c>
      <c r="U601">
        <v>20</v>
      </c>
    </row>
    <row r="602" spans="1:21" x14ac:dyDescent="0.25">
      <c r="A602" s="2">
        <v>46044.93</v>
      </c>
      <c r="B602" t="s">
        <v>309</v>
      </c>
      <c r="C602" t="s">
        <v>372</v>
      </c>
      <c r="D602">
        <v>3</v>
      </c>
      <c r="E602" t="s">
        <v>170</v>
      </c>
      <c r="F602" t="s">
        <v>388</v>
      </c>
      <c r="G602">
        <f t="shared" si="27"/>
        <v>25.075528700906347</v>
      </c>
      <c r="H602">
        <f t="shared" si="28"/>
        <v>1.5105740181268883</v>
      </c>
      <c r="I602">
        <v>43.83</v>
      </c>
      <c r="J602">
        <f t="shared" si="29"/>
        <v>73.413897280966765</v>
      </c>
      <c r="K602">
        <v>0.85</v>
      </c>
      <c r="L602">
        <v>0.2</v>
      </c>
      <c r="M602">
        <v>0.7</v>
      </c>
      <c r="N602">
        <v>486</v>
      </c>
      <c r="O602">
        <v>166</v>
      </c>
      <c r="P602">
        <v>10</v>
      </c>
      <c r="Q602">
        <v>26.59</v>
      </c>
      <c r="R602" t="s">
        <v>382</v>
      </c>
      <c r="S602">
        <v>0.72</v>
      </c>
      <c r="U602">
        <v>47</v>
      </c>
    </row>
    <row r="603" spans="1:21" x14ac:dyDescent="0.25">
      <c r="A603" s="2">
        <v>46044.930347222224</v>
      </c>
      <c r="B603" t="s">
        <v>309</v>
      </c>
      <c r="C603" t="s">
        <v>372</v>
      </c>
      <c r="D603">
        <v>3</v>
      </c>
      <c r="E603" t="s">
        <v>326</v>
      </c>
      <c r="F603" t="s">
        <v>388</v>
      </c>
      <c r="G603">
        <f t="shared" si="27"/>
        <v>5.6047197640117989</v>
      </c>
      <c r="H603">
        <f t="shared" si="28"/>
        <v>0.73746312684365778</v>
      </c>
      <c r="I603">
        <v>43.83</v>
      </c>
      <c r="J603">
        <f t="shared" si="29"/>
        <v>93.657817109144545</v>
      </c>
      <c r="K603">
        <v>0.85</v>
      </c>
      <c r="L603">
        <v>0.2</v>
      </c>
      <c r="M603">
        <v>0.7</v>
      </c>
      <c r="N603">
        <v>635</v>
      </c>
      <c r="O603">
        <v>38</v>
      </c>
      <c r="P603">
        <v>5</v>
      </c>
      <c r="Q603">
        <v>6.34</v>
      </c>
      <c r="R603" t="s">
        <v>383</v>
      </c>
      <c r="S603">
        <v>0.17</v>
      </c>
      <c r="U603">
        <v>45</v>
      </c>
    </row>
    <row r="604" spans="1:21" x14ac:dyDescent="0.25">
      <c r="A604" s="2">
        <v>46044.930671296293</v>
      </c>
      <c r="B604" t="s">
        <v>309</v>
      </c>
      <c r="C604" t="s">
        <v>372</v>
      </c>
      <c r="D604">
        <v>3</v>
      </c>
      <c r="E604" t="s">
        <v>172</v>
      </c>
      <c r="F604" t="s">
        <v>388</v>
      </c>
      <c r="G604">
        <f t="shared" si="27"/>
        <v>30.960854092526692</v>
      </c>
      <c r="H604">
        <f t="shared" si="28"/>
        <v>3.0249110320284696</v>
      </c>
      <c r="I604">
        <v>43.83</v>
      </c>
      <c r="J604">
        <f t="shared" si="29"/>
        <v>66.014234875444842</v>
      </c>
      <c r="K604">
        <v>0.85</v>
      </c>
      <c r="L604">
        <v>0.2</v>
      </c>
      <c r="M604">
        <v>0.7</v>
      </c>
      <c r="N604">
        <v>371</v>
      </c>
      <c r="O604">
        <v>174</v>
      </c>
      <c r="P604">
        <v>17</v>
      </c>
      <c r="Q604">
        <v>33.99</v>
      </c>
      <c r="R604" t="s">
        <v>383</v>
      </c>
      <c r="S604">
        <v>0.86</v>
      </c>
      <c r="U604">
        <v>46</v>
      </c>
    </row>
    <row r="605" spans="1:21" x14ac:dyDescent="0.25">
      <c r="A605" s="2">
        <v>46044.931006944447</v>
      </c>
      <c r="B605" t="s">
        <v>309</v>
      </c>
      <c r="C605" t="s">
        <v>372</v>
      </c>
      <c r="D605">
        <v>3</v>
      </c>
      <c r="E605" t="s">
        <v>176</v>
      </c>
      <c r="F605" t="s">
        <v>388</v>
      </c>
      <c r="G605">
        <f t="shared" si="27"/>
        <v>3.7249283667621778</v>
      </c>
      <c r="H605">
        <f t="shared" si="28"/>
        <v>96.275071633237815</v>
      </c>
      <c r="I605">
        <v>43.83</v>
      </c>
      <c r="J605">
        <f t="shared" si="29"/>
        <v>0</v>
      </c>
      <c r="K605">
        <v>0.85</v>
      </c>
      <c r="L605">
        <v>0.2</v>
      </c>
      <c r="M605">
        <v>0.7</v>
      </c>
      <c r="N605">
        <v>0</v>
      </c>
      <c r="O605">
        <v>26</v>
      </c>
      <c r="P605">
        <v>672</v>
      </c>
      <c r="Q605">
        <v>100</v>
      </c>
      <c r="R605" t="s">
        <v>389</v>
      </c>
      <c r="S605">
        <v>2.82</v>
      </c>
      <c r="U605">
        <v>0</v>
      </c>
    </row>
    <row r="606" spans="1:21" x14ac:dyDescent="0.25">
      <c r="A606" s="2">
        <v>46044.931458333333</v>
      </c>
      <c r="B606" t="s">
        <v>309</v>
      </c>
      <c r="C606" t="s">
        <v>372</v>
      </c>
      <c r="D606">
        <v>3</v>
      </c>
      <c r="E606" t="s">
        <v>177</v>
      </c>
      <c r="F606" t="s">
        <v>388</v>
      </c>
      <c r="G606">
        <f t="shared" si="27"/>
        <v>26.376811594202898</v>
      </c>
      <c r="H606">
        <f t="shared" si="28"/>
        <v>11.014492753623188</v>
      </c>
      <c r="I606">
        <v>43.83</v>
      </c>
      <c r="J606">
        <f t="shared" si="29"/>
        <v>62.608695652173921</v>
      </c>
      <c r="K606">
        <v>0.85</v>
      </c>
      <c r="L606">
        <v>0.2</v>
      </c>
      <c r="M606">
        <v>0.7</v>
      </c>
      <c r="N606">
        <v>432</v>
      </c>
      <c r="O606">
        <v>182</v>
      </c>
      <c r="P606">
        <v>76</v>
      </c>
      <c r="Q606">
        <v>37.39</v>
      </c>
      <c r="R606" t="s">
        <v>390</v>
      </c>
      <c r="S606">
        <v>1.05</v>
      </c>
      <c r="U606">
        <v>54</v>
      </c>
    </row>
    <row r="607" spans="1:21" x14ac:dyDescent="0.25">
      <c r="A607" s="2">
        <v>46044.931828703702</v>
      </c>
      <c r="B607" t="s">
        <v>309</v>
      </c>
      <c r="C607" t="s">
        <v>372</v>
      </c>
      <c r="D607">
        <v>3</v>
      </c>
      <c r="E607" t="s">
        <v>181</v>
      </c>
      <c r="F607" t="s">
        <v>388</v>
      </c>
      <c r="G607">
        <f t="shared" si="27"/>
        <v>24.569640062597809</v>
      </c>
      <c r="H607">
        <f t="shared" si="28"/>
        <v>42.879499217527389</v>
      </c>
      <c r="I607">
        <v>43.83</v>
      </c>
      <c r="J607">
        <f t="shared" si="29"/>
        <v>32.550860719874805</v>
      </c>
      <c r="K607">
        <v>0.85</v>
      </c>
      <c r="L607">
        <v>0.2</v>
      </c>
      <c r="M607">
        <v>0.7</v>
      </c>
      <c r="N607">
        <v>208</v>
      </c>
      <c r="O607">
        <v>157</v>
      </c>
      <c r="P607">
        <v>274</v>
      </c>
      <c r="Q607">
        <v>67.45</v>
      </c>
      <c r="R607" t="s">
        <v>378</v>
      </c>
      <c r="S607">
        <v>1.85</v>
      </c>
      <c r="U607">
        <v>25</v>
      </c>
    </row>
    <row r="608" spans="1:21" x14ac:dyDescent="0.25">
      <c r="A608" s="2">
        <v>46044.932233796295</v>
      </c>
      <c r="B608" t="s">
        <v>309</v>
      </c>
      <c r="C608" t="s">
        <v>372</v>
      </c>
      <c r="D608">
        <v>3</v>
      </c>
      <c r="E608" t="s">
        <v>182</v>
      </c>
      <c r="F608" t="s">
        <v>388</v>
      </c>
      <c r="G608">
        <f t="shared" si="27"/>
        <v>6.9131832797427659</v>
      </c>
      <c r="H608">
        <f t="shared" si="28"/>
        <v>0.32154340836012862</v>
      </c>
      <c r="I608">
        <v>43.83</v>
      </c>
      <c r="J608">
        <f t="shared" si="29"/>
        <v>92.765273311897104</v>
      </c>
      <c r="K608">
        <v>0.85</v>
      </c>
      <c r="L608">
        <v>0.2</v>
      </c>
      <c r="M608">
        <v>0.7</v>
      </c>
      <c r="N608">
        <v>577</v>
      </c>
      <c r="O608">
        <v>43</v>
      </c>
      <c r="P608">
        <v>2</v>
      </c>
      <c r="Q608">
        <v>7.23</v>
      </c>
      <c r="R608" t="s">
        <v>380</v>
      </c>
      <c r="S608">
        <v>0.18</v>
      </c>
      <c r="U608">
        <v>72</v>
      </c>
    </row>
    <row r="609" spans="1:21" x14ac:dyDescent="0.25">
      <c r="A609" s="2">
        <v>46044.932546296295</v>
      </c>
      <c r="B609" t="s">
        <v>309</v>
      </c>
      <c r="C609" t="s">
        <v>372</v>
      </c>
      <c r="D609">
        <v>3</v>
      </c>
      <c r="E609" t="s">
        <v>183</v>
      </c>
      <c r="F609" t="s">
        <v>388</v>
      </c>
      <c r="G609">
        <f t="shared" si="27"/>
        <v>4.2975206611570247</v>
      </c>
      <c r="H609">
        <f t="shared" si="28"/>
        <v>0</v>
      </c>
      <c r="I609">
        <v>43.83</v>
      </c>
      <c r="J609">
        <f t="shared" si="29"/>
        <v>95.702479338842977</v>
      </c>
      <c r="K609">
        <v>0.85</v>
      </c>
      <c r="L609">
        <v>0.2</v>
      </c>
      <c r="M609">
        <v>0.7</v>
      </c>
      <c r="N609">
        <v>579</v>
      </c>
      <c r="O609">
        <v>26</v>
      </c>
      <c r="P609">
        <v>0</v>
      </c>
      <c r="Q609">
        <v>4.3</v>
      </c>
      <c r="R609" t="s">
        <v>380</v>
      </c>
      <c r="S609">
        <v>0.11</v>
      </c>
      <c r="U609">
        <v>48</v>
      </c>
    </row>
    <row r="610" spans="1:21" x14ac:dyDescent="0.25">
      <c r="A610" s="2">
        <v>46044.932870370372</v>
      </c>
      <c r="B610" t="s">
        <v>309</v>
      </c>
      <c r="C610" t="s">
        <v>372</v>
      </c>
      <c r="D610">
        <v>3</v>
      </c>
      <c r="E610" t="s">
        <v>184</v>
      </c>
      <c r="F610" t="s">
        <v>388</v>
      </c>
      <c r="G610">
        <f t="shared" si="27"/>
        <v>45.614035087719294</v>
      </c>
      <c r="H610">
        <f t="shared" si="28"/>
        <v>38.15789473684211</v>
      </c>
      <c r="I610">
        <v>43.83</v>
      </c>
      <c r="J610">
        <f t="shared" si="29"/>
        <v>16.228070175438596</v>
      </c>
      <c r="K610">
        <v>0.85</v>
      </c>
      <c r="L610">
        <v>0.2</v>
      </c>
      <c r="M610">
        <v>0.7</v>
      </c>
      <c r="N610">
        <v>111</v>
      </c>
      <c r="O610">
        <v>312</v>
      </c>
      <c r="P610">
        <v>261</v>
      </c>
      <c r="Q610">
        <v>83.77</v>
      </c>
      <c r="R610" t="s">
        <v>385</v>
      </c>
      <c r="S610">
        <v>2.38</v>
      </c>
      <c r="U610">
        <v>19</v>
      </c>
    </row>
    <row r="611" spans="1:21" x14ac:dyDescent="0.25">
      <c r="A611" s="2">
        <v>46044.933298611111</v>
      </c>
      <c r="B611" t="s">
        <v>309</v>
      </c>
      <c r="C611" t="s">
        <v>372</v>
      </c>
      <c r="D611">
        <v>3</v>
      </c>
      <c r="E611" t="s">
        <v>186</v>
      </c>
      <c r="F611" t="s">
        <v>388</v>
      </c>
      <c r="G611">
        <f t="shared" si="27"/>
        <v>23.639774859287055</v>
      </c>
      <c r="H611">
        <f t="shared" si="28"/>
        <v>16.51031894934334</v>
      </c>
      <c r="I611">
        <v>43.83</v>
      </c>
      <c r="J611">
        <f t="shared" si="29"/>
        <v>59.849906191369605</v>
      </c>
      <c r="K611">
        <v>0.85</v>
      </c>
      <c r="L611">
        <v>0.2</v>
      </c>
      <c r="M611">
        <v>0.7</v>
      </c>
      <c r="N611">
        <v>319</v>
      </c>
      <c r="O611">
        <v>126</v>
      </c>
      <c r="P611">
        <v>88</v>
      </c>
      <c r="Q611">
        <v>40.15</v>
      </c>
      <c r="R611" t="s">
        <v>383</v>
      </c>
      <c r="S611">
        <v>1.07</v>
      </c>
      <c r="U611">
        <v>28</v>
      </c>
    </row>
    <row r="612" spans="1:21" x14ac:dyDescent="0.25">
      <c r="A612" s="2">
        <v>46044.933634259258</v>
      </c>
      <c r="B612" t="s">
        <v>309</v>
      </c>
      <c r="C612" t="s">
        <v>372</v>
      </c>
      <c r="D612">
        <v>3</v>
      </c>
      <c r="E612" t="s">
        <v>187</v>
      </c>
      <c r="F612" t="s">
        <v>388</v>
      </c>
      <c r="G612">
        <f t="shared" si="27"/>
        <v>9.969325153374232</v>
      </c>
      <c r="H612">
        <f t="shared" si="28"/>
        <v>0</v>
      </c>
      <c r="I612">
        <v>43.83</v>
      </c>
      <c r="J612">
        <f t="shared" si="29"/>
        <v>90.030674846625772</v>
      </c>
      <c r="K612">
        <v>0.85</v>
      </c>
      <c r="L612">
        <v>0.2</v>
      </c>
      <c r="M612">
        <v>0.7</v>
      </c>
      <c r="N612">
        <v>587</v>
      </c>
      <c r="O612">
        <v>65</v>
      </c>
      <c r="P612">
        <v>0</v>
      </c>
      <c r="Q612">
        <v>9.9700000000000006</v>
      </c>
      <c r="R612" t="s">
        <v>380</v>
      </c>
      <c r="S612">
        <v>0.27</v>
      </c>
      <c r="U612">
        <v>21</v>
      </c>
    </row>
    <row r="613" spans="1:21" x14ac:dyDescent="0.25">
      <c r="A613" s="2">
        <v>46044.933946759258</v>
      </c>
      <c r="B613" t="s">
        <v>309</v>
      </c>
      <c r="C613" t="s">
        <v>372</v>
      </c>
      <c r="D613">
        <v>3</v>
      </c>
      <c r="E613" t="s">
        <v>327</v>
      </c>
      <c r="F613" t="s">
        <v>388</v>
      </c>
      <c r="G613">
        <f t="shared" si="27"/>
        <v>49.519230769230774</v>
      </c>
      <c r="H613">
        <f t="shared" si="28"/>
        <v>9.9358974358974361</v>
      </c>
      <c r="I613">
        <v>43.83</v>
      </c>
      <c r="J613">
        <f t="shared" si="29"/>
        <v>40.544871794871796</v>
      </c>
      <c r="K613">
        <v>0.85</v>
      </c>
      <c r="L613">
        <v>0.2</v>
      </c>
      <c r="M613">
        <v>0.7</v>
      </c>
      <c r="N613">
        <v>253</v>
      </c>
      <c r="O613">
        <v>309</v>
      </c>
      <c r="P613">
        <v>62</v>
      </c>
      <c r="Q613">
        <v>59.46</v>
      </c>
      <c r="R613" t="s">
        <v>295</v>
      </c>
      <c r="S613">
        <v>1.59</v>
      </c>
      <c r="U613">
        <v>74</v>
      </c>
    </row>
    <row r="614" spans="1:21" x14ac:dyDescent="0.25">
      <c r="A614" s="2">
        <v>46044.934340277781</v>
      </c>
      <c r="B614" t="s">
        <v>309</v>
      </c>
      <c r="C614" t="s">
        <v>372</v>
      </c>
      <c r="D614">
        <v>3</v>
      </c>
      <c r="E614" t="s">
        <v>191</v>
      </c>
      <c r="F614" t="s">
        <v>388</v>
      </c>
      <c r="G614">
        <f t="shared" si="27"/>
        <v>28.888888888888886</v>
      </c>
      <c r="H614">
        <f t="shared" si="28"/>
        <v>4.6031746031746037</v>
      </c>
      <c r="I614">
        <v>43.83</v>
      </c>
      <c r="J614">
        <f t="shared" si="29"/>
        <v>66.507936507936506</v>
      </c>
      <c r="K614">
        <v>0.85</v>
      </c>
      <c r="L614">
        <v>0.2</v>
      </c>
      <c r="M614">
        <v>0.7</v>
      </c>
      <c r="N614">
        <v>419</v>
      </c>
      <c r="O614">
        <v>182</v>
      </c>
      <c r="P614">
        <v>29</v>
      </c>
      <c r="Q614">
        <v>33.49</v>
      </c>
      <c r="R614" t="s">
        <v>379</v>
      </c>
      <c r="S614">
        <v>0.89</v>
      </c>
      <c r="U614">
        <v>53</v>
      </c>
    </row>
    <row r="615" spans="1:21" x14ac:dyDescent="0.25">
      <c r="A615" s="2">
        <v>46044.934687499997</v>
      </c>
      <c r="B615" t="s">
        <v>309</v>
      </c>
      <c r="C615" t="s">
        <v>372</v>
      </c>
      <c r="D615">
        <v>3</v>
      </c>
      <c r="E615" t="s">
        <v>192</v>
      </c>
      <c r="F615" t="s">
        <v>388</v>
      </c>
      <c r="G615">
        <f t="shared" si="27"/>
        <v>52.572347266881025</v>
      </c>
      <c r="H615">
        <f t="shared" si="28"/>
        <v>25.080385852090032</v>
      </c>
      <c r="I615">
        <v>43.83</v>
      </c>
      <c r="J615">
        <f t="shared" si="29"/>
        <v>22.347266881028936</v>
      </c>
      <c r="K615">
        <v>0.85</v>
      </c>
      <c r="L615">
        <v>0.2</v>
      </c>
      <c r="M615">
        <v>0.7</v>
      </c>
      <c r="N615">
        <v>139</v>
      </c>
      <c r="O615">
        <v>327</v>
      </c>
      <c r="P615">
        <v>156</v>
      </c>
      <c r="Q615">
        <v>77.650000000000006</v>
      </c>
      <c r="R615" t="s">
        <v>392</v>
      </c>
      <c r="S615">
        <v>2.23</v>
      </c>
      <c r="U615">
        <v>27</v>
      </c>
    </row>
    <row r="616" spans="1:21" x14ac:dyDescent="0.25">
      <c r="A616" s="2">
        <v>46044.93509259259</v>
      </c>
      <c r="B616" t="s">
        <v>309</v>
      </c>
      <c r="C616" t="s">
        <v>372</v>
      </c>
      <c r="D616">
        <v>3</v>
      </c>
      <c r="E616" t="s">
        <v>195</v>
      </c>
      <c r="F616" t="s">
        <v>388</v>
      </c>
      <c r="G616">
        <f t="shared" si="27"/>
        <v>31.729323308270679</v>
      </c>
      <c r="H616">
        <f t="shared" si="28"/>
        <v>45.864661654135332</v>
      </c>
      <c r="I616">
        <v>43.83</v>
      </c>
      <c r="J616">
        <f t="shared" si="29"/>
        <v>22.406015037593985</v>
      </c>
      <c r="K616">
        <v>0.85</v>
      </c>
      <c r="L616">
        <v>0.2</v>
      </c>
      <c r="M616">
        <v>0.7</v>
      </c>
      <c r="N616">
        <v>149</v>
      </c>
      <c r="O616">
        <v>211</v>
      </c>
      <c r="P616">
        <v>305</v>
      </c>
      <c r="Q616">
        <v>77.59</v>
      </c>
      <c r="R616" t="s">
        <v>387</v>
      </c>
      <c r="S616">
        <v>2.21</v>
      </c>
      <c r="U616">
        <v>43</v>
      </c>
    </row>
    <row r="617" spans="1:21" x14ac:dyDescent="0.25">
      <c r="A617" s="2">
        <v>46044.935520833336</v>
      </c>
      <c r="B617" t="s">
        <v>309</v>
      </c>
      <c r="C617" t="s">
        <v>372</v>
      </c>
      <c r="D617">
        <v>3</v>
      </c>
      <c r="E617" t="s">
        <v>196</v>
      </c>
      <c r="F617" t="s">
        <v>388</v>
      </c>
      <c r="G617">
        <f t="shared" si="27"/>
        <v>11.933534743202417</v>
      </c>
      <c r="H617">
        <f t="shared" si="28"/>
        <v>0</v>
      </c>
      <c r="I617">
        <v>43.83</v>
      </c>
      <c r="J617">
        <f t="shared" si="29"/>
        <v>88.066465256797585</v>
      </c>
      <c r="K617">
        <v>0.85</v>
      </c>
      <c r="L617">
        <v>0.2</v>
      </c>
      <c r="M617">
        <v>0.7</v>
      </c>
      <c r="N617">
        <v>583</v>
      </c>
      <c r="O617">
        <v>79</v>
      </c>
      <c r="P617">
        <v>0</v>
      </c>
      <c r="Q617">
        <v>11.93</v>
      </c>
      <c r="R617" t="s">
        <v>380</v>
      </c>
      <c r="S617">
        <v>0.31</v>
      </c>
      <c r="U617">
        <v>30</v>
      </c>
    </row>
    <row r="618" spans="1:21" x14ac:dyDescent="0.25">
      <c r="A618" s="2">
        <v>46044.935844907406</v>
      </c>
      <c r="B618" t="s">
        <v>309</v>
      </c>
      <c r="C618" t="s">
        <v>372</v>
      </c>
      <c r="D618">
        <v>3</v>
      </c>
      <c r="E618" t="s">
        <v>199</v>
      </c>
      <c r="F618" t="s">
        <v>388</v>
      </c>
      <c r="G618">
        <f t="shared" si="27"/>
        <v>20.140105078809107</v>
      </c>
      <c r="H618">
        <f t="shared" si="28"/>
        <v>0.52539404553415059</v>
      </c>
      <c r="I618">
        <v>43.83</v>
      </c>
      <c r="J618">
        <f t="shared" si="29"/>
        <v>79.334500875656744</v>
      </c>
      <c r="K618">
        <v>0.85</v>
      </c>
      <c r="L618">
        <v>0.2</v>
      </c>
      <c r="M618">
        <v>0.7</v>
      </c>
      <c r="N618">
        <v>453</v>
      </c>
      <c r="O618">
        <v>115</v>
      </c>
      <c r="P618">
        <v>3</v>
      </c>
      <c r="Q618">
        <v>20.67</v>
      </c>
      <c r="R618" t="s">
        <v>383</v>
      </c>
      <c r="S618">
        <v>0.51</v>
      </c>
      <c r="U618">
        <v>71</v>
      </c>
    </row>
    <row r="619" spans="1:21" x14ac:dyDescent="0.25">
      <c r="A619" s="2">
        <v>46044.936168981483</v>
      </c>
      <c r="B619" t="s">
        <v>309</v>
      </c>
      <c r="C619" t="s">
        <v>372</v>
      </c>
      <c r="D619">
        <v>3</v>
      </c>
      <c r="E619" t="s">
        <v>201</v>
      </c>
      <c r="F619" t="s">
        <v>388</v>
      </c>
      <c r="G619">
        <f t="shared" si="27"/>
        <v>72.190201729106633</v>
      </c>
      <c r="H619">
        <f t="shared" si="28"/>
        <v>8.5014409221902021</v>
      </c>
      <c r="I619">
        <v>43.83</v>
      </c>
      <c r="J619">
        <f t="shared" si="29"/>
        <v>19.308357348703169</v>
      </c>
      <c r="K619">
        <v>0.85</v>
      </c>
      <c r="L619">
        <v>0.2</v>
      </c>
      <c r="M619">
        <v>0.7</v>
      </c>
      <c r="N619">
        <v>134</v>
      </c>
      <c r="O619">
        <v>501</v>
      </c>
      <c r="P619">
        <v>59</v>
      </c>
      <c r="Q619">
        <v>80.69</v>
      </c>
      <c r="R619" t="s">
        <v>385</v>
      </c>
      <c r="S619">
        <v>2.2999999999999998</v>
      </c>
      <c r="U619">
        <v>37</v>
      </c>
    </row>
    <row r="620" spans="1:21" x14ac:dyDescent="0.25">
      <c r="A620" s="2">
        <v>46044.936597222222</v>
      </c>
      <c r="B620" t="s">
        <v>309</v>
      </c>
      <c r="C620" t="s">
        <v>372</v>
      </c>
      <c r="D620">
        <v>3</v>
      </c>
      <c r="E620" t="s">
        <v>203</v>
      </c>
      <c r="F620" t="s">
        <v>388</v>
      </c>
      <c r="G620">
        <f t="shared" si="27"/>
        <v>8.7769784172661875</v>
      </c>
      <c r="H620">
        <f t="shared" si="28"/>
        <v>90.071942446043167</v>
      </c>
      <c r="I620">
        <v>43.83</v>
      </c>
      <c r="J620">
        <f t="shared" si="29"/>
        <v>1.1510791366906474</v>
      </c>
      <c r="K620">
        <v>0.85</v>
      </c>
      <c r="L620">
        <v>0.2</v>
      </c>
      <c r="M620">
        <v>0.7</v>
      </c>
      <c r="N620">
        <v>8</v>
      </c>
      <c r="O620">
        <v>61</v>
      </c>
      <c r="P620">
        <v>626</v>
      </c>
      <c r="Q620">
        <v>98.85</v>
      </c>
      <c r="R620" t="s">
        <v>389</v>
      </c>
      <c r="S620">
        <v>2.91</v>
      </c>
      <c r="U620">
        <v>4</v>
      </c>
    </row>
    <row r="621" spans="1:21" x14ac:dyDescent="0.25">
      <c r="A621" s="2">
        <v>46044.937060185184</v>
      </c>
      <c r="B621" t="s">
        <v>309</v>
      </c>
      <c r="C621" t="s">
        <v>372</v>
      </c>
      <c r="D621">
        <v>3</v>
      </c>
      <c r="E621" t="s">
        <v>205</v>
      </c>
      <c r="F621" t="s">
        <v>388</v>
      </c>
      <c r="G621">
        <f t="shared" si="27"/>
        <v>53.301127214170698</v>
      </c>
      <c r="H621">
        <f t="shared" si="28"/>
        <v>26.247987117552334</v>
      </c>
      <c r="I621">
        <v>43.83</v>
      </c>
      <c r="J621">
        <f t="shared" si="29"/>
        <v>20.450885668276971</v>
      </c>
      <c r="K621">
        <v>0.85</v>
      </c>
      <c r="L621">
        <v>0.2</v>
      </c>
      <c r="M621">
        <v>0.7</v>
      </c>
      <c r="N621">
        <v>127</v>
      </c>
      <c r="O621">
        <v>331</v>
      </c>
      <c r="P621">
        <v>163</v>
      </c>
      <c r="Q621">
        <v>79.55</v>
      </c>
      <c r="R621" t="s">
        <v>392</v>
      </c>
      <c r="S621">
        <v>2.2999999999999998</v>
      </c>
      <c r="U621">
        <v>33</v>
      </c>
    </row>
    <row r="622" spans="1:21" x14ac:dyDescent="0.25">
      <c r="A622" s="2">
        <v>46044.937476851854</v>
      </c>
      <c r="B622" t="s">
        <v>309</v>
      </c>
      <c r="C622" t="s">
        <v>372</v>
      </c>
      <c r="D622">
        <v>3</v>
      </c>
      <c r="E622" t="s">
        <v>206</v>
      </c>
      <c r="F622" t="s">
        <v>388</v>
      </c>
      <c r="G622">
        <f t="shared" si="27"/>
        <v>26.36986301369863</v>
      </c>
      <c r="H622">
        <f t="shared" si="28"/>
        <v>2.7397260273972601</v>
      </c>
      <c r="I622">
        <v>43.83</v>
      </c>
      <c r="J622">
        <f t="shared" si="29"/>
        <v>70.890410958904098</v>
      </c>
      <c r="K622">
        <v>0.85</v>
      </c>
      <c r="L622">
        <v>0.2</v>
      </c>
      <c r="M622">
        <v>0.7</v>
      </c>
      <c r="N622">
        <v>414</v>
      </c>
      <c r="O622">
        <v>154</v>
      </c>
      <c r="P622">
        <v>16</v>
      </c>
      <c r="Q622">
        <v>29.11</v>
      </c>
      <c r="R622" t="s">
        <v>379</v>
      </c>
      <c r="S622">
        <v>0.72</v>
      </c>
      <c r="U622">
        <v>80</v>
      </c>
    </row>
    <row r="623" spans="1:21" x14ac:dyDescent="0.25">
      <c r="A623" s="2">
        <v>46044.937824074077</v>
      </c>
      <c r="B623" t="s">
        <v>309</v>
      </c>
      <c r="C623" t="s">
        <v>372</v>
      </c>
      <c r="D623">
        <v>3</v>
      </c>
      <c r="E623" t="s">
        <v>208</v>
      </c>
      <c r="F623" t="s">
        <v>388</v>
      </c>
      <c r="G623">
        <f t="shared" si="27"/>
        <v>34.192439862542955</v>
      </c>
      <c r="H623">
        <f t="shared" si="28"/>
        <v>3.608247422680412</v>
      </c>
      <c r="I623">
        <v>43.83</v>
      </c>
      <c r="J623">
        <f t="shared" si="29"/>
        <v>62.199312714776632</v>
      </c>
      <c r="K623">
        <v>0.85</v>
      </c>
      <c r="L623">
        <v>0.2</v>
      </c>
      <c r="M623">
        <v>0.7</v>
      </c>
      <c r="N623">
        <v>362</v>
      </c>
      <c r="O623">
        <v>199</v>
      </c>
      <c r="P623">
        <v>21</v>
      </c>
      <c r="Q623">
        <v>37.799999999999997</v>
      </c>
      <c r="R623" t="s">
        <v>379</v>
      </c>
      <c r="S623">
        <v>0.96</v>
      </c>
      <c r="U623">
        <v>69</v>
      </c>
    </row>
    <row r="624" spans="1:21" x14ac:dyDescent="0.25">
      <c r="A624" s="2">
        <v>46044.938171296293</v>
      </c>
      <c r="B624" t="s">
        <v>309</v>
      </c>
      <c r="C624" t="s">
        <v>372</v>
      </c>
      <c r="D624">
        <v>3</v>
      </c>
      <c r="E624" t="s">
        <v>209</v>
      </c>
      <c r="F624" t="s">
        <v>388</v>
      </c>
      <c r="G624">
        <f t="shared" si="27"/>
        <v>45.11400651465798</v>
      </c>
      <c r="H624">
        <f t="shared" si="28"/>
        <v>1.7915309446254073</v>
      </c>
      <c r="I624">
        <v>43.83</v>
      </c>
      <c r="J624">
        <f t="shared" si="29"/>
        <v>53.094462540716613</v>
      </c>
      <c r="K624">
        <v>0.85</v>
      </c>
      <c r="L624">
        <v>0.2</v>
      </c>
      <c r="M624">
        <v>0.7</v>
      </c>
      <c r="N624">
        <v>326</v>
      </c>
      <c r="O624">
        <v>277</v>
      </c>
      <c r="P624">
        <v>11</v>
      </c>
      <c r="Q624">
        <v>46.91</v>
      </c>
      <c r="R624" t="s">
        <v>384</v>
      </c>
      <c r="S624">
        <v>1.25</v>
      </c>
      <c r="U624">
        <v>63</v>
      </c>
    </row>
    <row r="625" spans="1:21" x14ac:dyDescent="0.25">
      <c r="A625" s="2">
        <v>46044.93854166667</v>
      </c>
      <c r="B625" t="s">
        <v>309</v>
      </c>
      <c r="C625" t="s">
        <v>372</v>
      </c>
      <c r="D625">
        <v>3</v>
      </c>
      <c r="E625" t="s">
        <v>210</v>
      </c>
      <c r="F625" t="s">
        <v>388</v>
      </c>
      <c r="G625">
        <f t="shared" si="27"/>
        <v>1.0118043844856661</v>
      </c>
      <c r="H625">
        <f t="shared" si="28"/>
        <v>0</v>
      </c>
      <c r="I625">
        <v>43.83</v>
      </c>
      <c r="J625">
        <f t="shared" si="29"/>
        <v>98.988195615514329</v>
      </c>
      <c r="K625">
        <v>0.85</v>
      </c>
      <c r="L625">
        <v>0.2</v>
      </c>
      <c r="M625">
        <v>0.7</v>
      </c>
      <c r="N625">
        <v>587</v>
      </c>
      <c r="O625">
        <v>6</v>
      </c>
      <c r="P625">
        <v>0</v>
      </c>
      <c r="Q625">
        <v>1.01</v>
      </c>
      <c r="R625" t="s">
        <v>376</v>
      </c>
      <c r="S625">
        <v>0.02</v>
      </c>
      <c r="U625">
        <v>27</v>
      </c>
    </row>
    <row r="626" spans="1:21" x14ac:dyDescent="0.25">
      <c r="A626" s="2">
        <v>46044.829317129632</v>
      </c>
      <c r="B626" t="s">
        <v>309</v>
      </c>
      <c r="C626" t="s">
        <v>372</v>
      </c>
      <c r="D626">
        <v>3</v>
      </c>
      <c r="E626" t="s">
        <v>23</v>
      </c>
      <c r="F626" t="s">
        <v>373</v>
      </c>
      <c r="G626">
        <f t="shared" si="27"/>
        <v>0.46801872074883</v>
      </c>
      <c r="H626">
        <f t="shared" si="28"/>
        <v>0</v>
      </c>
      <c r="I626">
        <v>43.83</v>
      </c>
      <c r="J626">
        <f t="shared" si="29"/>
        <v>99.53198127925117</v>
      </c>
      <c r="K626">
        <v>0.85</v>
      </c>
      <c r="L626">
        <v>0.2</v>
      </c>
      <c r="M626">
        <v>0.7</v>
      </c>
      <c r="N626">
        <v>638</v>
      </c>
      <c r="O626">
        <v>3</v>
      </c>
      <c r="P626">
        <v>0</v>
      </c>
      <c r="Q626">
        <v>0.47</v>
      </c>
      <c r="R626" t="s">
        <v>371</v>
      </c>
      <c r="S626">
        <v>0.01</v>
      </c>
      <c r="U626">
        <v>34</v>
      </c>
    </row>
    <row r="627" spans="1:21" x14ac:dyDescent="0.25">
      <c r="A627" s="2">
        <v>46044.829594907409</v>
      </c>
      <c r="B627" t="s">
        <v>309</v>
      </c>
      <c r="C627" t="s">
        <v>372</v>
      </c>
      <c r="D627">
        <v>3</v>
      </c>
      <c r="E627" t="s">
        <v>24</v>
      </c>
      <c r="F627" t="s">
        <v>373</v>
      </c>
      <c r="G627">
        <f t="shared" si="27"/>
        <v>2.1959459459459461</v>
      </c>
      <c r="H627">
        <f t="shared" si="28"/>
        <v>0.16891891891891891</v>
      </c>
      <c r="I627">
        <v>43.83</v>
      </c>
      <c r="J627">
        <f t="shared" si="29"/>
        <v>97.63513513513513</v>
      </c>
      <c r="K627">
        <v>0.85</v>
      </c>
      <c r="L627">
        <v>0.2</v>
      </c>
      <c r="M627">
        <v>0.7</v>
      </c>
      <c r="N627">
        <v>578</v>
      </c>
      <c r="O627">
        <v>13</v>
      </c>
      <c r="P627">
        <v>1</v>
      </c>
      <c r="Q627">
        <v>2.36</v>
      </c>
      <c r="R627" t="s">
        <v>374</v>
      </c>
      <c r="S627">
        <v>0.06</v>
      </c>
      <c r="U627">
        <v>44</v>
      </c>
    </row>
    <row r="628" spans="1:21" x14ac:dyDescent="0.25">
      <c r="A628" s="2">
        <v>46044.82984953704</v>
      </c>
      <c r="B628" t="s">
        <v>309</v>
      </c>
      <c r="C628" t="s">
        <v>372</v>
      </c>
      <c r="D628">
        <v>3</v>
      </c>
      <c r="E628" t="s">
        <v>27</v>
      </c>
      <c r="F628" t="s">
        <v>373</v>
      </c>
      <c r="G628">
        <f t="shared" si="27"/>
        <v>0.84269662921348309</v>
      </c>
      <c r="H628">
        <f t="shared" si="28"/>
        <v>0</v>
      </c>
      <c r="I628">
        <v>43.83</v>
      </c>
      <c r="J628">
        <f t="shared" si="29"/>
        <v>99.157303370786522</v>
      </c>
      <c r="K628">
        <v>0.85</v>
      </c>
      <c r="L628">
        <v>0.2</v>
      </c>
      <c r="M628">
        <v>0.7</v>
      </c>
      <c r="N628">
        <v>706</v>
      </c>
      <c r="O628">
        <v>6</v>
      </c>
      <c r="P628">
        <v>0</v>
      </c>
      <c r="Q628">
        <v>0.84</v>
      </c>
      <c r="R628" t="s">
        <v>371</v>
      </c>
      <c r="S628">
        <v>0.02</v>
      </c>
      <c r="U628">
        <v>3</v>
      </c>
    </row>
    <row r="629" spans="1:21" x14ac:dyDescent="0.25">
      <c r="A629" s="2">
        <v>46044.830127314817</v>
      </c>
      <c r="B629" t="s">
        <v>309</v>
      </c>
      <c r="C629" t="s">
        <v>372</v>
      </c>
      <c r="D629">
        <v>3</v>
      </c>
      <c r="E629" t="s">
        <v>28</v>
      </c>
      <c r="F629" t="s">
        <v>373</v>
      </c>
      <c r="G629">
        <f t="shared" si="27"/>
        <v>22.34375</v>
      </c>
      <c r="H629">
        <f t="shared" si="28"/>
        <v>0.46875</v>
      </c>
      <c r="I629">
        <v>43.83</v>
      </c>
      <c r="J629">
        <f t="shared" si="29"/>
        <v>77.1875</v>
      </c>
      <c r="K629">
        <v>0.85</v>
      </c>
      <c r="L629">
        <v>0.2</v>
      </c>
      <c r="M629">
        <v>0.7</v>
      </c>
      <c r="N629">
        <v>494</v>
      </c>
      <c r="O629">
        <v>143</v>
      </c>
      <c r="P629">
        <v>3</v>
      </c>
      <c r="Q629">
        <v>22.81</v>
      </c>
      <c r="R629" t="s">
        <v>375</v>
      </c>
      <c r="S629">
        <v>0.6</v>
      </c>
      <c r="U629">
        <v>49</v>
      </c>
    </row>
    <row r="630" spans="1:21" x14ac:dyDescent="0.25">
      <c r="A630" s="2">
        <v>46044.830439814818</v>
      </c>
      <c r="B630" t="s">
        <v>309</v>
      </c>
      <c r="C630" t="s">
        <v>372</v>
      </c>
      <c r="D630">
        <v>3</v>
      </c>
      <c r="E630" t="s">
        <v>29</v>
      </c>
      <c r="F630" t="s">
        <v>373</v>
      </c>
      <c r="G630">
        <f t="shared" si="27"/>
        <v>29.692832764505116</v>
      </c>
      <c r="H630">
        <f t="shared" si="28"/>
        <v>2.5597269624573378</v>
      </c>
      <c r="I630">
        <v>43.83</v>
      </c>
      <c r="J630">
        <f t="shared" si="29"/>
        <v>67.74744027303754</v>
      </c>
      <c r="K630">
        <v>0.85</v>
      </c>
      <c r="L630">
        <v>0.2</v>
      </c>
      <c r="M630">
        <v>0.7</v>
      </c>
      <c r="N630">
        <v>397</v>
      </c>
      <c r="O630">
        <v>174</v>
      </c>
      <c r="P630">
        <v>15</v>
      </c>
      <c r="Q630">
        <v>32.25</v>
      </c>
      <c r="R630" t="s">
        <v>375</v>
      </c>
      <c r="S630">
        <v>0.85</v>
      </c>
      <c r="U630">
        <v>78</v>
      </c>
    </row>
    <row r="631" spans="1:21" x14ac:dyDescent="0.25">
      <c r="A631" s="2">
        <v>46044.830740740741</v>
      </c>
      <c r="B631" t="s">
        <v>309</v>
      </c>
      <c r="C631" t="s">
        <v>372</v>
      </c>
      <c r="D631">
        <v>3</v>
      </c>
      <c r="E631" t="s">
        <v>32</v>
      </c>
      <c r="F631" t="s">
        <v>373</v>
      </c>
      <c r="G631">
        <f t="shared" si="27"/>
        <v>0.14792899408284024</v>
      </c>
      <c r="H631">
        <f t="shared" si="28"/>
        <v>0</v>
      </c>
      <c r="I631">
        <v>43.83</v>
      </c>
      <c r="J631">
        <f t="shared" si="29"/>
        <v>99.852071005917168</v>
      </c>
      <c r="K631">
        <v>0.85</v>
      </c>
      <c r="L631">
        <v>0.2</v>
      </c>
      <c r="M631">
        <v>0.7</v>
      </c>
      <c r="N631">
        <v>675</v>
      </c>
      <c r="O631">
        <v>1</v>
      </c>
      <c r="P631">
        <v>0</v>
      </c>
      <c r="Q631">
        <v>0.15</v>
      </c>
      <c r="R631" t="s">
        <v>371</v>
      </c>
      <c r="S631">
        <v>0</v>
      </c>
      <c r="U631">
        <v>5</v>
      </c>
    </row>
    <row r="632" spans="1:21" x14ac:dyDescent="0.25">
      <c r="A632" s="2">
        <v>46044.831006944441</v>
      </c>
      <c r="B632" t="s">
        <v>309</v>
      </c>
      <c r="C632" t="s">
        <v>372</v>
      </c>
      <c r="D632">
        <v>3</v>
      </c>
      <c r="E632" t="s">
        <v>34</v>
      </c>
      <c r="F632" t="s">
        <v>373</v>
      </c>
      <c r="G632">
        <f t="shared" si="27"/>
        <v>31.182795698924732</v>
      </c>
      <c r="H632">
        <f t="shared" si="28"/>
        <v>0.17921146953405018</v>
      </c>
      <c r="I632">
        <v>43.83</v>
      </c>
      <c r="J632">
        <f t="shared" si="29"/>
        <v>68.637992831541212</v>
      </c>
      <c r="K632">
        <v>0.85</v>
      </c>
      <c r="L632">
        <v>0.2</v>
      </c>
      <c r="M632">
        <v>0.7</v>
      </c>
      <c r="N632">
        <v>383</v>
      </c>
      <c r="O632">
        <v>174</v>
      </c>
      <c r="P632">
        <v>1</v>
      </c>
      <c r="Q632">
        <v>31.36</v>
      </c>
      <c r="R632" t="s">
        <v>375</v>
      </c>
      <c r="S632">
        <v>0.72</v>
      </c>
      <c r="U632">
        <v>105</v>
      </c>
    </row>
    <row r="633" spans="1:21" x14ac:dyDescent="0.25">
      <c r="A633" s="2">
        <v>46044.831307870372</v>
      </c>
      <c r="B633" t="s">
        <v>309</v>
      </c>
      <c r="C633" t="s">
        <v>372</v>
      </c>
      <c r="D633">
        <v>3</v>
      </c>
      <c r="E633" t="s">
        <v>36</v>
      </c>
      <c r="F633" t="s">
        <v>373</v>
      </c>
      <c r="G633">
        <f t="shared" si="27"/>
        <v>17.291066282420751</v>
      </c>
      <c r="H633">
        <f t="shared" si="28"/>
        <v>0.14409221902017291</v>
      </c>
      <c r="I633">
        <v>43.83</v>
      </c>
      <c r="J633">
        <f t="shared" si="29"/>
        <v>82.564841498559076</v>
      </c>
      <c r="K633">
        <v>0.85</v>
      </c>
      <c r="L633">
        <v>0.2</v>
      </c>
      <c r="M633">
        <v>0.7</v>
      </c>
      <c r="N633">
        <v>573</v>
      </c>
      <c r="O633">
        <v>120</v>
      </c>
      <c r="P633">
        <v>1</v>
      </c>
      <c r="Q633">
        <v>17.440000000000001</v>
      </c>
      <c r="R633" t="s">
        <v>376</v>
      </c>
      <c r="S633">
        <v>0.49</v>
      </c>
      <c r="U633">
        <v>38</v>
      </c>
    </row>
    <row r="634" spans="1:21" x14ac:dyDescent="0.25">
      <c r="A634" s="2">
        <v>46044.831608796296</v>
      </c>
      <c r="B634" t="s">
        <v>309</v>
      </c>
      <c r="C634" t="s">
        <v>372</v>
      </c>
      <c r="D634">
        <v>3</v>
      </c>
      <c r="E634" t="s">
        <v>37</v>
      </c>
      <c r="F634" t="s">
        <v>373</v>
      </c>
      <c r="G634">
        <f t="shared" si="27"/>
        <v>34.84251968503937</v>
      </c>
      <c r="H634">
        <f t="shared" si="28"/>
        <v>0.19685039370078738</v>
      </c>
      <c r="I634">
        <v>43.83</v>
      </c>
      <c r="J634">
        <f t="shared" si="29"/>
        <v>64.960629921259837</v>
      </c>
      <c r="K634">
        <v>0.85</v>
      </c>
      <c r="L634">
        <v>0.2</v>
      </c>
      <c r="M634">
        <v>0.7</v>
      </c>
      <c r="N634">
        <v>330</v>
      </c>
      <c r="O634">
        <v>177</v>
      </c>
      <c r="P634">
        <v>1</v>
      </c>
      <c r="Q634">
        <v>35.04</v>
      </c>
      <c r="R634" t="s">
        <v>376</v>
      </c>
      <c r="S634">
        <v>0.91</v>
      </c>
      <c r="U634">
        <v>67</v>
      </c>
    </row>
    <row r="635" spans="1:21" x14ac:dyDescent="0.25">
      <c r="A635" s="2">
        <v>46044.831909722219</v>
      </c>
      <c r="B635" t="s">
        <v>309</v>
      </c>
      <c r="C635" t="s">
        <v>372</v>
      </c>
      <c r="D635">
        <v>3</v>
      </c>
      <c r="E635" t="s">
        <v>41</v>
      </c>
      <c r="F635" t="s">
        <v>373</v>
      </c>
      <c r="G635">
        <f t="shared" si="27"/>
        <v>0.80515297906602246</v>
      </c>
      <c r="H635">
        <f t="shared" si="28"/>
        <v>0</v>
      </c>
      <c r="I635">
        <v>43.83</v>
      </c>
      <c r="J635">
        <f t="shared" si="29"/>
        <v>99.194847020933977</v>
      </c>
      <c r="K635">
        <v>0.85</v>
      </c>
      <c r="L635">
        <v>0.2</v>
      </c>
      <c r="M635">
        <v>0.7</v>
      </c>
      <c r="N635">
        <v>616</v>
      </c>
      <c r="O635">
        <v>5</v>
      </c>
      <c r="P635">
        <v>0</v>
      </c>
      <c r="Q635">
        <v>0.81</v>
      </c>
      <c r="R635" t="s">
        <v>371</v>
      </c>
      <c r="S635">
        <v>0.02</v>
      </c>
      <c r="U635">
        <v>18</v>
      </c>
    </row>
    <row r="636" spans="1:21" x14ac:dyDescent="0.25">
      <c r="A636" s="2">
        <v>46044.832175925927</v>
      </c>
      <c r="B636" t="s">
        <v>309</v>
      </c>
      <c r="C636" t="s">
        <v>372</v>
      </c>
      <c r="D636">
        <v>3</v>
      </c>
      <c r="E636" t="s">
        <v>42</v>
      </c>
      <c r="F636" t="s">
        <v>373</v>
      </c>
      <c r="G636">
        <f t="shared" si="27"/>
        <v>2.0437956204379564</v>
      </c>
      <c r="H636">
        <f t="shared" si="28"/>
        <v>0</v>
      </c>
      <c r="I636">
        <v>43.83</v>
      </c>
      <c r="J636">
        <f t="shared" si="29"/>
        <v>97.956204379562038</v>
      </c>
      <c r="K636">
        <v>0.85</v>
      </c>
      <c r="L636">
        <v>0.2</v>
      </c>
      <c r="M636">
        <v>0.7</v>
      </c>
      <c r="N636">
        <v>671</v>
      </c>
      <c r="O636">
        <v>14</v>
      </c>
      <c r="P636">
        <v>0</v>
      </c>
      <c r="Q636">
        <v>2.04</v>
      </c>
      <c r="R636" t="s">
        <v>371</v>
      </c>
      <c r="S636">
        <v>0.06</v>
      </c>
      <c r="U636">
        <v>17</v>
      </c>
    </row>
    <row r="637" spans="1:21" x14ac:dyDescent="0.25">
      <c r="A637" s="2">
        <v>46044.832442129627</v>
      </c>
      <c r="B637" t="s">
        <v>309</v>
      </c>
      <c r="C637" t="s">
        <v>372</v>
      </c>
      <c r="D637">
        <v>3</v>
      </c>
      <c r="E637" t="s">
        <v>43</v>
      </c>
      <c r="F637" t="s">
        <v>373</v>
      </c>
      <c r="G637">
        <f t="shared" si="27"/>
        <v>12.478336221837088</v>
      </c>
      <c r="H637">
        <f t="shared" si="28"/>
        <v>0</v>
      </c>
      <c r="I637">
        <v>43.83</v>
      </c>
      <c r="J637">
        <f t="shared" si="29"/>
        <v>87.521663778162917</v>
      </c>
      <c r="K637">
        <v>0.85</v>
      </c>
      <c r="L637">
        <v>0.2</v>
      </c>
      <c r="M637">
        <v>0.7</v>
      </c>
      <c r="N637">
        <v>505</v>
      </c>
      <c r="O637">
        <v>72</v>
      </c>
      <c r="P637">
        <v>0</v>
      </c>
      <c r="Q637">
        <v>12.48</v>
      </c>
      <c r="R637" t="s">
        <v>377</v>
      </c>
      <c r="S637">
        <v>0.3</v>
      </c>
      <c r="U637">
        <v>136</v>
      </c>
    </row>
    <row r="638" spans="1:21" x14ac:dyDescent="0.25">
      <c r="A638" s="2">
        <v>46044.832731481481</v>
      </c>
      <c r="B638" t="s">
        <v>309</v>
      </c>
      <c r="C638" t="s">
        <v>372</v>
      </c>
      <c r="D638">
        <v>3</v>
      </c>
      <c r="E638" t="s">
        <v>44</v>
      </c>
      <c r="F638" t="s">
        <v>373</v>
      </c>
      <c r="G638">
        <f t="shared" si="27"/>
        <v>17.931034482758619</v>
      </c>
      <c r="H638">
        <f t="shared" si="28"/>
        <v>0</v>
      </c>
      <c r="I638">
        <v>43.83</v>
      </c>
      <c r="J638">
        <f t="shared" si="29"/>
        <v>82.068965517241381</v>
      </c>
      <c r="K638">
        <v>0.85</v>
      </c>
      <c r="L638">
        <v>0.2</v>
      </c>
      <c r="M638">
        <v>0.7</v>
      </c>
      <c r="N638">
        <v>476</v>
      </c>
      <c r="O638">
        <v>104</v>
      </c>
      <c r="P638">
        <v>0</v>
      </c>
      <c r="Q638">
        <v>17.93</v>
      </c>
      <c r="R638" t="s">
        <v>377</v>
      </c>
      <c r="S638">
        <v>0.45</v>
      </c>
      <c r="U638">
        <v>60</v>
      </c>
    </row>
    <row r="639" spans="1:21" x14ac:dyDescent="0.25">
      <c r="A639" s="2">
        <v>46044.833020833335</v>
      </c>
      <c r="B639" t="s">
        <v>309</v>
      </c>
      <c r="C639" t="s">
        <v>372</v>
      </c>
      <c r="D639">
        <v>3</v>
      </c>
      <c r="E639" t="s">
        <v>45</v>
      </c>
      <c r="F639" t="s">
        <v>373</v>
      </c>
      <c r="G639">
        <f t="shared" si="27"/>
        <v>10.843373493975903</v>
      </c>
      <c r="H639">
        <f t="shared" si="28"/>
        <v>0</v>
      </c>
      <c r="I639">
        <v>43.83</v>
      </c>
      <c r="J639">
        <f t="shared" si="29"/>
        <v>89.156626506024097</v>
      </c>
      <c r="K639">
        <v>0.85</v>
      </c>
      <c r="L639">
        <v>0.2</v>
      </c>
      <c r="M639">
        <v>0.7</v>
      </c>
      <c r="N639">
        <v>518</v>
      </c>
      <c r="O639">
        <v>63</v>
      </c>
      <c r="P639">
        <v>0</v>
      </c>
      <c r="Q639">
        <v>10.84</v>
      </c>
      <c r="R639" t="s">
        <v>371</v>
      </c>
      <c r="S639">
        <v>0.26</v>
      </c>
      <c r="U639">
        <v>58</v>
      </c>
    </row>
    <row r="640" spans="1:21" x14ac:dyDescent="0.25">
      <c r="A640" s="2">
        <v>46044.833298611113</v>
      </c>
      <c r="B640" t="s">
        <v>309</v>
      </c>
      <c r="C640" t="s">
        <v>372</v>
      </c>
      <c r="D640">
        <v>3</v>
      </c>
      <c r="E640" t="s">
        <v>47</v>
      </c>
      <c r="F640" t="s">
        <v>373</v>
      </c>
      <c r="G640">
        <f t="shared" si="27"/>
        <v>24.719101123595504</v>
      </c>
      <c r="H640">
        <f t="shared" si="28"/>
        <v>0.16051364365971107</v>
      </c>
      <c r="I640">
        <v>43.83</v>
      </c>
      <c r="J640">
        <f t="shared" si="29"/>
        <v>75.120385232744781</v>
      </c>
      <c r="K640">
        <v>0.85</v>
      </c>
      <c r="L640">
        <v>0.2</v>
      </c>
      <c r="M640">
        <v>0.7</v>
      </c>
      <c r="N640">
        <v>468</v>
      </c>
      <c r="O640">
        <v>154</v>
      </c>
      <c r="P640">
        <v>1</v>
      </c>
      <c r="Q640">
        <v>24.88</v>
      </c>
      <c r="R640" t="s">
        <v>375</v>
      </c>
      <c r="S640">
        <v>0.65</v>
      </c>
      <c r="U640">
        <v>84</v>
      </c>
    </row>
    <row r="641" spans="1:21" x14ac:dyDescent="0.25">
      <c r="A641" s="2">
        <v>46044.833599537036</v>
      </c>
      <c r="B641" t="s">
        <v>309</v>
      </c>
      <c r="C641" t="s">
        <v>372</v>
      </c>
      <c r="D641">
        <v>3</v>
      </c>
      <c r="E641" t="s">
        <v>52</v>
      </c>
      <c r="F641" t="s">
        <v>373</v>
      </c>
      <c r="G641">
        <f t="shared" ref="G641:G704" si="30">(O641/(N641+O641+P641))*100</f>
        <v>14.741641337386019</v>
      </c>
      <c r="H641">
        <f t="shared" ref="H641:H704" si="31">(P641/(O641+P641+N641))*100</f>
        <v>0.1519756838905775</v>
      </c>
      <c r="I641">
        <v>43.83</v>
      </c>
      <c r="J641">
        <f t="shared" ref="J641:J704" si="32">(N641/(P641+O641+N641))*100</f>
        <v>85.106382978723403</v>
      </c>
      <c r="K641">
        <v>0.85</v>
      </c>
      <c r="L641">
        <v>0.2</v>
      </c>
      <c r="M641">
        <v>0.7</v>
      </c>
      <c r="N641">
        <v>560</v>
      </c>
      <c r="O641">
        <v>97</v>
      </c>
      <c r="P641">
        <v>1</v>
      </c>
      <c r="Q641">
        <v>14.89</v>
      </c>
      <c r="R641" t="s">
        <v>376</v>
      </c>
      <c r="S641">
        <v>0.38</v>
      </c>
      <c r="U641">
        <v>88</v>
      </c>
    </row>
    <row r="642" spans="1:21" x14ac:dyDescent="0.25">
      <c r="A642" s="2">
        <v>46044.83388888889</v>
      </c>
      <c r="B642" t="s">
        <v>309</v>
      </c>
      <c r="C642" t="s">
        <v>372</v>
      </c>
      <c r="D642">
        <v>3</v>
      </c>
      <c r="E642" t="s">
        <v>53</v>
      </c>
      <c r="F642" t="s">
        <v>373</v>
      </c>
      <c r="G642">
        <f t="shared" si="30"/>
        <v>82.344428364688866</v>
      </c>
      <c r="H642">
        <f t="shared" si="31"/>
        <v>1.8813314037626629</v>
      </c>
      <c r="I642">
        <v>43.83</v>
      </c>
      <c r="J642">
        <f t="shared" si="32"/>
        <v>15.774240231548481</v>
      </c>
      <c r="K642">
        <v>0.85</v>
      </c>
      <c r="L642">
        <v>0.2</v>
      </c>
      <c r="M642">
        <v>0.7</v>
      </c>
      <c r="N642">
        <v>109</v>
      </c>
      <c r="O642">
        <v>569</v>
      </c>
      <c r="P642">
        <v>13</v>
      </c>
      <c r="Q642">
        <v>84.23</v>
      </c>
      <c r="R642" t="s">
        <v>378</v>
      </c>
      <c r="S642">
        <v>2.5299999999999998</v>
      </c>
      <c r="U642">
        <v>26</v>
      </c>
    </row>
    <row r="643" spans="1:21" x14ac:dyDescent="0.25">
      <c r="A643" s="2">
        <v>46044.834293981483</v>
      </c>
      <c r="B643" t="s">
        <v>309</v>
      </c>
      <c r="C643" t="s">
        <v>372</v>
      </c>
      <c r="D643">
        <v>3</v>
      </c>
      <c r="E643" t="s">
        <v>54</v>
      </c>
      <c r="F643" t="s">
        <v>373</v>
      </c>
      <c r="G643">
        <f t="shared" si="30"/>
        <v>0.74404761904761896</v>
      </c>
      <c r="H643">
        <f t="shared" si="31"/>
        <v>0</v>
      </c>
      <c r="I643">
        <v>43.83</v>
      </c>
      <c r="J643">
        <f t="shared" si="32"/>
        <v>99.25595238095238</v>
      </c>
      <c r="K643">
        <v>0.85</v>
      </c>
      <c r="L643">
        <v>0.2</v>
      </c>
      <c r="M643">
        <v>0.7</v>
      </c>
      <c r="N643">
        <v>667</v>
      </c>
      <c r="O643">
        <v>5</v>
      </c>
      <c r="P643">
        <v>0</v>
      </c>
      <c r="Q643">
        <v>0.74</v>
      </c>
      <c r="R643" t="s">
        <v>371</v>
      </c>
      <c r="S643">
        <v>0.02</v>
      </c>
      <c r="U643">
        <v>4</v>
      </c>
    </row>
    <row r="644" spans="1:21" x14ac:dyDescent="0.25">
      <c r="A644" s="2">
        <v>46044.834560185183</v>
      </c>
      <c r="B644" t="s">
        <v>309</v>
      </c>
      <c r="C644" t="s">
        <v>372</v>
      </c>
      <c r="D644">
        <v>3</v>
      </c>
      <c r="E644" t="s">
        <v>57</v>
      </c>
      <c r="F644" t="s">
        <v>373</v>
      </c>
      <c r="G644">
        <f t="shared" si="30"/>
        <v>20.787401574803148</v>
      </c>
      <c r="H644">
        <f t="shared" si="31"/>
        <v>0</v>
      </c>
      <c r="I644">
        <v>43.83</v>
      </c>
      <c r="J644">
        <f t="shared" si="32"/>
        <v>79.212598425196845</v>
      </c>
      <c r="K644">
        <v>0.85</v>
      </c>
      <c r="L644">
        <v>0.2</v>
      </c>
      <c r="M644">
        <v>0.7</v>
      </c>
      <c r="N644">
        <v>503</v>
      </c>
      <c r="O644">
        <v>132</v>
      </c>
      <c r="P644">
        <v>0</v>
      </c>
      <c r="Q644">
        <v>20.79</v>
      </c>
      <c r="R644" t="s">
        <v>376</v>
      </c>
      <c r="S644">
        <v>0.52</v>
      </c>
      <c r="U644">
        <v>38</v>
      </c>
    </row>
    <row r="645" spans="1:21" x14ac:dyDescent="0.25">
      <c r="A645" s="2">
        <v>46044.834849537037</v>
      </c>
      <c r="B645" t="s">
        <v>309</v>
      </c>
      <c r="C645" t="s">
        <v>372</v>
      </c>
      <c r="D645">
        <v>3</v>
      </c>
      <c r="E645" t="s">
        <v>59</v>
      </c>
      <c r="F645" t="s">
        <v>373</v>
      </c>
      <c r="G645">
        <f t="shared" si="30"/>
        <v>57.680250783699059</v>
      </c>
      <c r="H645">
        <f t="shared" si="31"/>
        <v>0</v>
      </c>
      <c r="I645">
        <v>43.83</v>
      </c>
      <c r="J645">
        <f t="shared" si="32"/>
        <v>42.319749216300941</v>
      </c>
      <c r="K645">
        <v>0.85</v>
      </c>
      <c r="L645">
        <v>0.2</v>
      </c>
      <c r="M645">
        <v>0.7</v>
      </c>
      <c r="N645">
        <v>270</v>
      </c>
      <c r="O645">
        <v>368</v>
      </c>
      <c r="P645">
        <v>0</v>
      </c>
      <c r="Q645">
        <v>57.68</v>
      </c>
      <c r="R645" t="s">
        <v>379</v>
      </c>
      <c r="S645">
        <v>1.61</v>
      </c>
      <c r="U645">
        <v>76</v>
      </c>
    </row>
    <row r="646" spans="1:21" x14ac:dyDescent="0.25">
      <c r="A646" s="2">
        <v>46044.83520833333</v>
      </c>
      <c r="B646" t="s">
        <v>309</v>
      </c>
      <c r="C646" t="s">
        <v>372</v>
      </c>
      <c r="D646">
        <v>3</v>
      </c>
      <c r="E646" t="s">
        <v>60</v>
      </c>
      <c r="F646" t="s">
        <v>373</v>
      </c>
      <c r="G646">
        <f t="shared" si="30"/>
        <v>0.77160493827160492</v>
      </c>
      <c r="H646">
        <f t="shared" si="31"/>
        <v>0</v>
      </c>
      <c r="I646">
        <v>43.83</v>
      </c>
      <c r="J646">
        <f t="shared" si="32"/>
        <v>99.228395061728392</v>
      </c>
      <c r="K646">
        <v>0.85</v>
      </c>
      <c r="L646">
        <v>0.2</v>
      </c>
      <c r="M646">
        <v>0.7</v>
      </c>
      <c r="N646">
        <v>643</v>
      </c>
      <c r="O646">
        <v>5</v>
      </c>
      <c r="P646">
        <v>0</v>
      </c>
      <c r="Q646">
        <v>0.77</v>
      </c>
      <c r="R646" t="s">
        <v>374</v>
      </c>
      <c r="S646">
        <v>0.02</v>
      </c>
      <c r="U646">
        <v>22</v>
      </c>
    </row>
    <row r="647" spans="1:21" x14ac:dyDescent="0.25">
      <c r="A647" s="2">
        <v>46044.835474537038</v>
      </c>
      <c r="B647" t="s">
        <v>309</v>
      </c>
      <c r="C647" t="s">
        <v>372</v>
      </c>
      <c r="D647">
        <v>3</v>
      </c>
      <c r="E647" t="s">
        <v>61</v>
      </c>
      <c r="F647" t="s">
        <v>373</v>
      </c>
      <c r="G647">
        <f t="shared" si="30"/>
        <v>17.138364779874212</v>
      </c>
      <c r="H647">
        <f t="shared" si="31"/>
        <v>0.31446540880503149</v>
      </c>
      <c r="I647">
        <v>43.83</v>
      </c>
      <c r="J647">
        <f t="shared" si="32"/>
        <v>82.547169811320757</v>
      </c>
      <c r="K647">
        <v>0.85</v>
      </c>
      <c r="L647">
        <v>0.2</v>
      </c>
      <c r="M647">
        <v>0.7</v>
      </c>
      <c r="N647">
        <v>525</v>
      </c>
      <c r="O647">
        <v>109</v>
      </c>
      <c r="P647">
        <v>2</v>
      </c>
      <c r="Q647">
        <v>17.45</v>
      </c>
      <c r="R647" t="s">
        <v>377</v>
      </c>
      <c r="S647">
        <v>0.47</v>
      </c>
      <c r="U647">
        <v>38</v>
      </c>
    </row>
    <row r="648" spans="1:21" x14ac:dyDescent="0.25">
      <c r="A648" s="2">
        <v>46044.835752314815</v>
      </c>
      <c r="B648" t="s">
        <v>309</v>
      </c>
      <c r="C648" t="s">
        <v>372</v>
      </c>
      <c r="D648">
        <v>3</v>
      </c>
      <c r="E648" t="s">
        <v>63</v>
      </c>
      <c r="F648" t="s">
        <v>373</v>
      </c>
      <c r="G648">
        <f t="shared" si="30"/>
        <v>38.07106598984771</v>
      </c>
      <c r="H648">
        <f t="shared" si="31"/>
        <v>0.50761421319796951</v>
      </c>
      <c r="I648">
        <v>43.83</v>
      </c>
      <c r="J648">
        <f t="shared" si="32"/>
        <v>61.421319796954307</v>
      </c>
      <c r="K648">
        <v>0.85</v>
      </c>
      <c r="L648">
        <v>0.2</v>
      </c>
      <c r="M648">
        <v>0.7</v>
      </c>
      <c r="N648">
        <v>363</v>
      </c>
      <c r="O648">
        <v>225</v>
      </c>
      <c r="P648">
        <v>3</v>
      </c>
      <c r="Q648">
        <v>38.58</v>
      </c>
      <c r="R648" t="s">
        <v>380</v>
      </c>
      <c r="S648">
        <v>1.08</v>
      </c>
      <c r="U648">
        <v>68</v>
      </c>
    </row>
    <row r="649" spans="1:21" x14ac:dyDescent="0.25">
      <c r="A649" s="2">
        <v>46044.836076388892</v>
      </c>
      <c r="B649" t="s">
        <v>309</v>
      </c>
      <c r="C649" t="s">
        <v>372</v>
      </c>
      <c r="D649">
        <v>3</v>
      </c>
      <c r="E649" t="s">
        <v>64</v>
      </c>
      <c r="F649" t="s">
        <v>373</v>
      </c>
      <c r="G649">
        <f t="shared" si="30"/>
        <v>5.7268722466960353</v>
      </c>
      <c r="H649">
        <f t="shared" si="31"/>
        <v>0</v>
      </c>
      <c r="I649">
        <v>43.83</v>
      </c>
      <c r="J649">
        <f t="shared" si="32"/>
        <v>94.273127753303967</v>
      </c>
      <c r="K649">
        <v>0.85</v>
      </c>
      <c r="L649">
        <v>0.2</v>
      </c>
      <c r="M649">
        <v>0.7</v>
      </c>
      <c r="N649">
        <v>428</v>
      </c>
      <c r="O649">
        <v>26</v>
      </c>
      <c r="P649">
        <v>0</v>
      </c>
      <c r="Q649">
        <v>5.73</v>
      </c>
      <c r="R649" t="s">
        <v>381</v>
      </c>
      <c r="S649">
        <v>0.16</v>
      </c>
      <c r="U649">
        <v>11</v>
      </c>
    </row>
    <row r="650" spans="1:21" x14ac:dyDescent="0.25">
      <c r="A650" s="2">
        <v>46044.836319444446</v>
      </c>
      <c r="B650" t="s">
        <v>309</v>
      </c>
      <c r="C650" t="s">
        <v>372</v>
      </c>
      <c r="D650">
        <v>3</v>
      </c>
      <c r="E650" t="s">
        <v>69</v>
      </c>
      <c r="F650" t="s">
        <v>373</v>
      </c>
      <c r="G650">
        <f t="shared" si="30"/>
        <v>0.667779632721202</v>
      </c>
      <c r="H650">
        <f t="shared" si="31"/>
        <v>0</v>
      </c>
      <c r="I650">
        <v>43.83</v>
      </c>
      <c r="J650">
        <f t="shared" si="32"/>
        <v>99.332220367278808</v>
      </c>
      <c r="K650">
        <v>0.85</v>
      </c>
      <c r="L650">
        <v>0.2</v>
      </c>
      <c r="M650">
        <v>0.7</v>
      </c>
      <c r="N650">
        <v>595</v>
      </c>
      <c r="O650">
        <v>4</v>
      </c>
      <c r="P650">
        <v>0</v>
      </c>
      <c r="Q650">
        <v>0.67</v>
      </c>
      <c r="R650" t="s">
        <v>374</v>
      </c>
      <c r="S650">
        <v>0.02</v>
      </c>
      <c r="U650">
        <v>15</v>
      </c>
    </row>
    <row r="651" spans="1:21" x14ac:dyDescent="0.25">
      <c r="A651" s="2">
        <v>46044.836574074077</v>
      </c>
      <c r="B651" t="s">
        <v>309</v>
      </c>
      <c r="C651" t="s">
        <v>372</v>
      </c>
      <c r="D651">
        <v>3</v>
      </c>
      <c r="E651" t="s">
        <v>70</v>
      </c>
      <c r="F651" t="s">
        <v>373</v>
      </c>
      <c r="G651">
        <f t="shared" si="30"/>
        <v>5.7565789473684212</v>
      </c>
      <c r="H651">
        <f t="shared" si="31"/>
        <v>0</v>
      </c>
      <c r="I651">
        <v>43.83</v>
      </c>
      <c r="J651">
        <f t="shared" si="32"/>
        <v>94.243421052631575</v>
      </c>
      <c r="K651">
        <v>0.85</v>
      </c>
      <c r="L651">
        <v>0.2</v>
      </c>
      <c r="M651">
        <v>0.7</v>
      </c>
      <c r="N651">
        <v>573</v>
      </c>
      <c r="O651">
        <v>35</v>
      </c>
      <c r="P651">
        <v>0</v>
      </c>
      <c r="Q651">
        <v>5.76</v>
      </c>
      <c r="R651" t="s">
        <v>371</v>
      </c>
      <c r="S651">
        <v>0.15</v>
      </c>
      <c r="U651">
        <v>54</v>
      </c>
    </row>
    <row r="652" spans="1:21" x14ac:dyDescent="0.25">
      <c r="A652" s="2">
        <v>46044.836851851855</v>
      </c>
      <c r="B652" t="s">
        <v>309</v>
      </c>
      <c r="C652" t="s">
        <v>372</v>
      </c>
      <c r="D652">
        <v>3</v>
      </c>
      <c r="E652" t="s">
        <v>71</v>
      </c>
      <c r="F652" t="s">
        <v>373</v>
      </c>
      <c r="G652">
        <f t="shared" si="30"/>
        <v>7.7170418006430879</v>
      </c>
      <c r="H652">
        <f t="shared" si="31"/>
        <v>0</v>
      </c>
      <c r="I652">
        <v>43.83</v>
      </c>
      <c r="J652">
        <f t="shared" si="32"/>
        <v>92.282958199356912</v>
      </c>
      <c r="K652">
        <v>0.85</v>
      </c>
      <c r="L652">
        <v>0.2</v>
      </c>
      <c r="M652">
        <v>0.7</v>
      </c>
      <c r="N652">
        <v>574</v>
      </c>
      <c r="O652">
        <v>48</v>
      </c>
      <c r="P652">
        <v>0</v>
      </c>
      <c r="Q652">
        <v>7.72</v>
      </c>
      <c r="R652" t="s">
        <v>371</v>
      </c>
      <c r="S652">
        <v>0.2</v>
      </c>
      <c r="U652">
        <v>72</v>
      </c>
    </row>
    <row r="653" spans="1:21" x14ac:dyDescent="0.25">
      <c r="A653" s="2">
        <v>46044.837129629632</v>
      </c>
      <c r="B653" t="s">
        <v>309</v>
      </c>
      <c r="C653" t="s">
        <v>372</v>
      </c>
      <c r="D653">
        <v>3</v>
      </c>
      <c r="E653" t="s">
        <v>72</v>
      </c>
      <c r="F653" t="s">
        <v>373</v>
      </c>
      <c r="G653">
        <f t="shared" si="30"/>
        <v>24.955752212389381</v>
      </c>
      <c r="H653">
        <f t="shared" si="31"/>
        <v>0</v>
      </c>
      <c r="I653">
        <v>43.83</v>
      </c>
      <c r="J653">
        <f t="shared" si="32"/>
        <v>75.044247787610615</v>
      </c>
      <c r="K653">
        <v>0.85</v>
      </c>
      <c r="L653">
        <v>0.2</v>
      </c>
      <c r="M653">
        <v>0.7</v>
      </c>
      <c r="N653">
        <v>424</v>
      </c>
      <c r="O653">
        <v>141</v>
      </c>
      <c r="P653">
        <v>0</v>
      </c>
      <c r="Q653">
        <v>24.96</v>
      </c>
      <c r="R653" t="s">
        <v>376</v>
      </c>
      <c r="S653">
        <v>0.6</v>
      </c>
      <c r="U653">
        <v>123</v>
      </c>
    </row>
    <row r="654" spans="1:21" x14ac:dyDescent="0.25">
      <c r="A654" s="2">
        <v>46044.837430555555</v>
      </c>
      <c r="B654" t="s">
        <v>309</v>
      </c>
      <c r="C654" t="s">
        <v>372</v>
      </c>
      <c r="D654">
        <v>3</v>
      </c>
      <c r="E654" t="s">
        <v>74</v>
      </c>
      <c r="F654" t="s">
        <v>373</v>
      </c>
      <c r="G654">
        <f t="shared" si="30"/>
        <v>0.85592011412268187</v>
      </c>
      <c r="H654">
        <f t="shared" si="31"/>
        <v>0.14265335235378032</v>
      </c>
      <c r="I654">
        <v>43.83</v>
      </c>
      <c r="J654">
        <f t="shared" si="32"/>
        <v>99.001426533523542</v>
      </c>
      <c r="K654">
        <v>0.85</v>
      </c>
      <c r="L654">
        <v>0.2</v>
      </c>
      <c r="M654">
        <v>0.7</v>
      </c>
      <c r="N654">
        <v>694</v>
      </c>
      <c r="O654">
        <v>6</v>
      </c>
      <c r="P654">
        <v>1</v>
      </c>
      <c r="Q654">
        <v>1</v>
      </c>
      <c r="R654" t="s">
        <v>371</v>
      </c>
      <c r="S654">
        <v>0.03</v>
      </c>
      <c r="U654">
        <v>28</v>
      </c>
    </row>
    <row r="655" spans="1:21" x14ac:dyDescent="0.25">
      <c r="A655" s="2">
        <v>46044.837696759256</v>
      </c>
      <c r="B655" t="s">
        <v>309</v>
      </c>
      <c r="C655" t="s">
        <v>372</v>
      </c>
      <c r="D655">
        <v>3</v>
      </c>
      <c r="E655" t="s">
        <v>75</v>
      </c>
      <c r="F655" t="s">
        <v>373</v>
      </c>
      <c r="G655">
        <f t="shared" si="30"/>
        <v>1.8461538461538463</v>
      </c>
      <c r="H655">
        <f t="shared" si="31"/>
        <v>0</v>
      </c>
      <c r="I655">
        <v>43.83</v>
      </c>
      <c r="J655">
        <f t="shared" si="32"/>
        <v>98.15384615384616</v>
      </c>
      <c r="K655">
        <v>0.85</v>
      </c>
      <c r="L655">
        <v>0.2</v>
      </c>
      <c r="M655">
        <v>0.7</v>
      </c>
      <c r="N655">
        <v>638</v>
      </c>
      <c r="O655">
        <v>12</v>
      </c>
      <c r="P655">
        <v>0</v>
      </c>
      <c r="Q655">
        <v>1.85</v>
      </c>
      <c r="R655" t="s">
        <v>371</v>
      </c>
      <c r="S655">
        <v>0.04</v>
      </c>
      <c r="U655">
        <v>27</v>
      </c>
    </row>
    <row r="656" spans="1:21" x14ac:dyDescent="0.25">
      <c r="A656" s="2">
        <v>46044.83797453704</v>
      </c>
      <c r="B656" t="s">
        <v>309</v>
      </c>
      <c r="C656" t="s">
        <v>372</v>
      </c>
      <c r="D656">
        <v>3</v>
      </c>
      <c r="E656" t="s">
        <v>323</v>
      </c>
      <c r="F656" t="s">
        <v>373</v>
      </c>
      <c r="G656">
        <f t="shared" si="30"/>
        <v>10.08</v>
      </c>
      <c r="H656">
        <f t="shared" si="31"/>
        <v>0</v>
      </c>
      <c r="I656">
        <v>43.83</v>
      </c>
      <c r="J656">
        <f t="shared" si="32"/>
        <v>89.92</v>
      </c>
      <c r="K656">
        <v>0.85</v>
      </c>
      <c r="L656">
        <v>0.2</v>
      </c>
      <c r="M656">
        <v>0.7</v>
      </c>
      <c r="N656">
        <v>562</v>
      </c>
      <c r="O656">
        <v>63</v>
      </c>
      <c r="P656">
        <v>0</v>
      </c>
      <c r="Q656">
        <v>10.08</v>
      </c>
      <c r="R656" t="s">
        <v>371</v>
      </c>
      <c r="S656">
        <v>0.25</v>
      </c>
      <c r="U656">
        <v>57</v>
      </c>
    </row>
    <row r="657" spans="1:21" x14ac:dyDescent="0.25">
      <c r="A657" s="2">
        <v>46044.838240740741</v>
      </c>
      <c r="B657" t="s">
        <v>309</v>
      </c>
      <c r="C657" t="s">
        <v>372</v>
      </c>
      <c r="D657">
        <v>3</v>
      </c>
      <c r="E657" t="s">
        <v>81</v>
      </c>
      <c r="F657" t="s">
        <v>373</v>
      </c>
      <c r="G657">
        <f t="shared" si="30"/>
        <v>39.544513457556931</v>
      </c>
      <c r="H657">
        <f t="shared" si="31"/>
        <v>1.6563146997929608</v>
      </c>
      <c r="I657">
        <v>43.83</v>
      </c>
      <c r="J657">
        <f t="shared" si="32"/>
        <v>58.799171842650097</v>
      </c>
      <c r="K657">
        <v>0.85</v>
      </c>
      <c r="L657">
        <v>0.2</v>
      </c>
      <c r="M657">
        <v>0.7</v>
      </c>
      <c r="N657">
        <v>284</v>
      </c>
      <c r="O657">
        <v>191</v>
      </c>
      <c r="P657">
        <v>8</v>
      </c>
      <c r="Q657">
        <v>41.2</v>
      </c>
      <c r="R657" t="s">
        <v>377</v>
      </c>
      <c r="S657">
        <v>1.1499999999999999</v>
      </c>
      <c r="U657">
        <v>31</v>
      </c>
    </row>
    <row r="658" spans="1:21" x14ac:dyDescent="0.25">
      <c r="A658" s="2">
        <v>46044.838530092595</v>
      </c>
      <c r="B658" t="s">
        <v>309</v>
      </c>
      <c r="C658" t="s">
        <v>372</v>
      </c>
      <c r="D658">
        <v>3</v>
      </c>
      <c r="E658" t="s">
        <v>83</v>
      </c>
      <c r="F658" t="s">
        <v>373</v>
      </c>
      <c r="G658">
        <f t="shared" si="30"/>
        <v>61.788617886178862</v>
      </c>
      <c r="H658">
        <f t="shared" si="31"/>
        <v>1.6260162601626018</v>
      </c>
      <c r="I658">
        <v>43.83</v>
      </c>
      <c r="J658">
        <f t="shared" si="32"/>
        <v>36.585365853658537</v>
      </c>
      <c r="K658">
        <v>0.85</v>
      </c>
      <c r="L658">
        <v>0.2</v>
      </c>
      <c r="M658">
        <v>0.7</v>
      </c>
      <c r="N658">
        <v>225</v>
      </c>
      <c r="O658">
        <v>380</v>
      </c>
      <c r="P658">
        <v>10</v>
      </c>
      <c r="Q658">
        <v>63.41</v>
      </c>
      <c r="R658" t="s">
        <v>382</v>
      </c>
      <c r="S658">
        <v>1.82</v>
      </c>
      <c r="U658">
        <v>34</v>
      </c>
    </row>
    <row r="659" spans="1:21" x14ac:dyDescent="0.25">
      <c r="A659" s="2">
        <v>46044.838877314818</v>
      </c>
      <c r="B659" t="s">
        <v>309</v>
      </c>
      <c r="C659" t="s">
        <v>372</v>
      </c>
      <c r="D659">
        <v>3</v>
      </c>
      <c r="E659" t="s">
        <v>84</v>
      </c>
      <c r="F659" t="s">
        <v>373</v>
      </c>
      <c r="G659">
        <f t="shared" si="30"/>
        <v>4.8042704626334514</v>
      </c>
      <c r="H659">
        <f t="shared" si="31"/>
        <v>0</v>
      </c>
      <c r="I659">
        <v>43.83</v>
      </c>
      <c r="J659">
        <f t="shared" si="32"/>
        <v>95.195729537366546</v>
      </c>
      <c r="K659">
        <v>0.85</v>
      </c>
      <c r="L659">
        <v>0.2</v>
      </c>
      <c r="M659">
        <v>0.7</v>
      </c>
      <c r="N659">
        <v>535</v>
      </c>
      <c r="O659">
        <v>27</v>
      </c>
      <c r="P659">
        <v>0</v>
      </c>
      <c r="Q659">
        <v>4.8</v>
      </c>
      <c r="R659" t="s">
        <v>377</v>
      </c>
      <c r="S659">
        <v>0.11</v>
      </c>
      <c r="U659">
        <v>101</v>
      </c>
    </row>
    <row r="660" spans="1:21" x14ac:dyDescent="0.25">
      <c r="A660" s="2">
        <v>46044.839155092595</v>
      </c>
      <c r="B660" t="s">
        <v>309</v>
      </c>
      <c r="C660" t="s">
        <v>372</v>
      </c>
      <c r="D660">
        <v>3</v>
      </c>
      <c r="E660" t="s">
        <v>86</v>
      </c>
      <c r="F660" t="s">
        <v>373</v>
      </c>
      <c r="G660">
        <f t="shared" si="30"/>
        <v>2.0933977455716586</v>
      </c>
      <c r="H660">
        <f t="shared" si="31"/>
        <v>0</v>
      </c>
      <c r="I660">
        <v>43.83</v>
      </c>
      <c r="J660">
        <f t="shared" si="32"/>
        <v>97.90660225442835</v>
      </c>
      <c r="K660">
        <v>0.85</v>
      </c>
      <c r="L660">
        <v>0.2</v>
      </c>
      <c r="M660">
        <v>0.7</v>
      </c>
      <c r="N660">
        <v>608</v>
      </c>
      <c r="O660">
        <v>13</v>
      </c>
      <c r="P660">
        <v>0</v>
      </c>
      <c r="Q660">
        <v>2.09</v>
      </c>
      <c r="R660" t="s">
        <v>371</v>
      </c>
      <c r="S660">
        <v>0.05</v>
      </c>
      <c r="U660">
        <v>36</v>
      </c>
    </row>
    <row r="661" spans="1:21" x14ac:dyDescent="0.25">
      <c r="A661" s="2">
        <v>46044.839432870373</v>
      </c>
      <c r="B661" t="s">
        <v>309</v>
      </c>
      <c r="C661" t="s">
        <v>372</v>
      </c>
      <c r="D661">
        <v>3</v>
      </c>
      <c r="E661" t="s">
        <v>87</v>
      </c>
      <c r="F661" t="s">
        <v>373</v>
      </c>
      <c r="G661">
        <f t="shared" si="30"/>
        <v>0.92307692307692313</v>
      </c>
      <c r="H661">
        <f t="shared" si="31"/>
        <v>0</v>
      </c>
      <c r="I661">
        <v>43.83</v>
      </c>
      <c r="J661">
        <f t="shared" si="32"/>
        <v>99.07692307692308</v>
      </c>
      <c r="K661">
        <v>0.85</v>
      </c>
      <c r="L661">
        <v>0.2</v>
      </c>
      <c r="M661">
        <v>0.7</v>
      </c>
      <c r="N661">
        <v>644</v>
      </c>
      <c r="O661">
        <v>6</v>
      </c>
      <c r="P661">
        <v>0</v>
      </c>
      <c r="Q661">
        <v>0.92</v>
      </c>
      <c r="R661" t="s">
        <v>371</v>
      </c>
      <c r="S661">
        <v>0.02</v>
      </c>
      <c r="U661">
        <v>30</v>
      </c>
    </row>
    <row r="662" spans="1:21" x14ac:dyDescent="0.25">
      <c r="A662" s="2">
        <v>46044.839699074073</v>
      </c>
      <c r="B662" t="s">
        <v>309</v>
      </c>
      <c r="C662" t="s">
        <v>372</v>
      </c>
      <c r="D662">
        <v>3</v>
      </c>
      <c r="E662" t="s">
        <v>89</v>
      </c>
      <c r="F662" t="s">
        <v>373</v>
      </c>
      <c r="G662">
        <f t="shared" si="30"/>
        <v>2.8192371475953566</v>
      </c>
      <c r="H662">
        <f t="shared" si="31"/>
        <v>0.16583747927031509</v>
      </c>
      <c r="I662">
        <v>43.83</v>
      </c>
      <c r="J662">
        <f t="shared" si="32"/>
        <v>97.014925373134332</v>
      </c>
      <c r="K662">
        <v>0.85</v>
      </c>
      <c r="L662">
        <v>0.2</v>
      </c>
      <c r="M662">
        <v>0.7</v>
      </c>
      <c r="N662">
        <v>585</v>
      </c>
      <c r="O662">
        <v>17</v>
      </c>
      <c r="P662">
        <v>1</v>
      </c>
      <c r="Q662">
        <v>2.99</v>
      </c>
      <c r="R662" t="s">
        <v>371</v>
      </c>
      <c r="S662">
        <v>0.08</v>
      </c>
      <c r="U662">
        <v>48</v>
      </c>
    </row>
    <row r="663" spans="1:21" x14ac:dyDescent="0.25">
      <c r="A663" s="2">
        <v>46044.839965277781</v>
      </c>
      <c r="B663" t="s">
        <v>309</v>
      </c>
      <c r="C663" t="s">
        <v>372</v>
      </c>
      <c r="D663">
        <v>3</v>
      </c>
      <c r="E663" t="s">
        <v>92</v>
      </c>
      <c r="F663" t="s">
        <v>373</v>
      </c>
      <c r="G663">
        <f t="shared" si="30"/>
        <v>0</v>
      </c>
      <c r="H663">
        <f t="shared" si="31"/>
        <v>0</v>
      </c>
      <c r="I663">
        <v>43.83</v>
      </c>
      <c r="J663">
        <f t="shared" si="32"/>
        <v>100</v>
      </c>
      <c r="K663">
        <v>0.85</v>
      </c>
      <c r="L663">
        <v>0.2</v>
      </c>
      <c r="M663">
        <v>0.7</v>
      </c>
      <c r="N663">
        <v>661</v>
      </c>
      <c r="O663">
        <v>0</v>
      </c>
      <c r="P663">
        <v>0</v>
      </c>
      <c r="Q663">
        <v>0</v>
      </c>
      <c r="R663" t="s">
        <v>371</v>
      </c>
      <c r="S663">
        <v>0</v>
      </c>
      <c r="U663">
        <v>18</v>
      </c>
    </row>
    <row r="664" spans="1:21" x14ac:dyDescent="0.25">
      <c r="A664" s="2">
        <v>46044.840231481481</v>
      </c>
      <c r="B664" t="s">
        <v>309</v>
      </c>
      <c r="C664" t="s">
        <v>372</v>
      </c>
      <c r="D664">
        <v>3</v>
      </c>
      <c r="E664" t="s">
        <v>94</v>
      </c>
      <c r="F664" t="s">
        <v>373</v>
      </c>
      <c r="G664">
        <f t="shared" si="30"/>
        <v>0.68493150684931503</v>
      </c>
      <c r="H664">
        <f t="shared" si="31"/>
        <v>0.17123287671232876</v>
      </c>
      <c r="I664">
        <v>43.83</v>
      </c>
      <c r="J664">
        <f t="shared" si="32"/>
        <v>99.143835616438352</v>
      </c>
      <c r="K664">
        <v>0.85</v>
      </c>
      <c r="L664">
        <v>0.2</v>
      </c>
      <c r="M664">
        <v>0.7</v>
      </c>
      <c r="N664">
        <v>579</v>
      </c>
      <c r="O664">
        <v>4</v>
      </c>
      <c r="P664">
        <v>1</v>
      </c>
      <c r="Q664">
        <v>0.86</v>
      </c>
      <c r="R664" t="s">
        <v>374</v>
      </c>
      <c r="S664">
        <v>0.02</v>
      </c>
      <c r="U664">
        <v>26</v>
      </c>
    </row>
    <row r="665" spans="1:21" x14ac:dyDescent="0.25">
      <c r="A665" s="2">
        <v>46044.840497685182</v>
      </c>
      <c r="B665" t="s">
        <v>309</v>
      </c>
      <c r="C665" t="s">
        <v>372</v>
      </c>
      <c r="D665">
        <v>3</v>
      </c>
      <c r="E665" t="s">
        <v>97</v>
      </c>
      <c r="F665" t="s">
        <v>373</v>
      </c>
      <c r="G665">
        <f t="shared" si="30"/>
        <v>37.328767123287669</v>
      </c>
      <c r="H665">
        <f t="shared" si="31"/>
        <v>0.17123287671232876</v>
      </c>
      <c r="I665">
        <v>43.83</v>
      </c>
      <c r="J665">
        <f t="shared" si="32"/>
        <v>62.5</v>
      </c>
      <c r="K665">
        <v>0.85</v>
      </c>
      <c r="L665">
        <v>0.2</v>
      </c>
      <c r="M665">
        <v>0.7</v>
      </c>
      <c r="N665">
        <v>365</v>
      </c>
      <c r="O665">
        <v>218</v>
      </c>
      <c r="P665">
        <v>1</v>
      </c>
      <c r="Q665">
        <v>37.5</v>
      </c>
      <c r="R665" t="s">
        <v>380</v>
      </c>
      <c r="S665">
        <v>0.89</v>
      </c>
      <c r="U665">
        <v>115</v>
      </c>
    </row>
    <row r="666" spans="1:21" x14ac:dyDescent="0.25">
      <c r="A666" s="2">
        <v>46044.840810185182</v>
      </c>
      <c r="B666" t="s">
        <v>309</v>
      </c>
      <c r="C666" t="s">
        <v>372</v>
      </c>
      <c r="D666">
        <v>3</v>
      </c>
      <c r="E666" t="s">
        <v>98</v>
      </c>
      <c r="F666" t="s">
        <v>373</v>
      </c>
      <c r="G666">
        <f t="shared" si="30"/>
        <v>57.58064516129032</v>
      </c>
      <c r="H666">
        <f t="shared" si="31"/>
        <v>0.32258064516129031</v>
      </c>
      <c r="I666">
        <v>43.83</v>
      </c>
      <c r="J666">
        <f t="shared" si="32"/>
        <v>42.096774193548384</v>
      </c>
      <c r="K666">
        <v>0.85</v>
      </c>
      <c r="L666">
        <v>0.2</v>
      </c>
      <c r="M666">
        <v>0.7</v>
      </c>
      <c r="N666">
        <v>261</v>
      </c>
      <c r="O666">
        <v>357</v>
      </c>
      <c r="P666">
        <v>2</v>
      </c>
      <c r="Q666">
        <v>57.9</v>
      </c>
      <c r="R666" t="s">
        <v>382</v>
      </c>
      <c r="S666">
        <v>1.44</v>
      </c>
      <c r="U666">
        <v>67</v>
      </c>
    </row>
    <row r="667" spans="1:21" x14ac:dyDescent="0.25">
      <c r="A667" s="2">
        <v>46044.841157407405</v>
      </c>
      <c r="B667" t="s">
        <v>309</v>
      </c>
      <c r="C667" t="s">
        <v>372</v>
      </c>
      <c r="D667">
        <v>3</v>
      </c>
      <c r="E667" t="s">
        <v>324</v>
      </c>
      <c r="F667" t="s">
        <v>373</v>
      </c>
      <c r="G667">
        <f t="shared" si="30"/>
        <v>39.600665557404326</v>
      </c>
      <c r="H667">
        <f t="shared" si="31"/>
        <v>0.99833610648918469</v>
      </c>
      <c r="I667">
        <v>43.83</v>
      </c>
      <c r="J667">
        <f t="shared" si="32"/>
        <v>59.40099833610649</v>
      </c>
      <c r="K667">
        <v>0.85</v>
      </c>
      <c r="L667">
        <v>0.2</v>
      </c>
      <c r="M667">
        <v>0.7</v>
      </c>
      <c r="N667">
        <v>357</v>
      </c>
      <c r="O667">
        <v>238</v>
      </c>
      <c r="P667">
        <v>6</v>
      </c>
      <c r="Q667">
        <v>40.6</v>
      </c>
      <c r="R667" t="s">
        <v>383</v>
      </c>
      <c r="S667">
        <v>1</v>
      </c>
      <c r="U667">
        <v>122</v>
      </c>
    </row>
    <row r="668" spans="1:21" x14ac:dyDescent="0.25">
      <c r="A668" s="2">
        <v>46044.841481481482</v>
      </c>
      <c r="B668" t="s">
        <v>309</v>
      </c>
      <c r="C668" t="s">
        <v>372</v>
      </c>
      <c r="D668">
        <v>3</v>
      </c>
      <c r="E668" t="s">
        <v>100</v>
      </c>
      <c r="F668" t="s">
        <v>373</v>
      </c>
      <c r="G668">
        <f t="shared" si="30"/>
        <v>78.994082840236686</v>
      </c>
      <c r="H668">
        <f t="shared" si="31"/>
        <v>0.14792899408284024</v>
      </c>
      <c r="I668">
        <v>43.83</v>
      </c>
      <c r="J668">
        <f t="shared" si="32"/>
        <v>20.857988165680474</v>
      </c>
      <c r="K668">
        <v>0.85</v>
      </c>
      <c r="L668">
        <v>0.2</v>
      </c>
      <c r="M668">
        <v>0.7</v>
      </c>
      <c r="N668">
        <v>141</v>
      </c>
      <c r="O668">
        <v>534</v>
      </c>
      <c r="P668">
        <v>1</v>
      </c>
      <c r="Q668">
        <v>79.14</v>
      </c>
      <c r="R668" t="s">
        <v>295</v>
      </c>
      <c r="S668">
        <v>2.2400000000000002</v>
      </c>
      <c r="U668">
        <v>49</v>
      </c>
    </row>
    <row r="669" spans="1:21" x14ac:dyDescent="0.25">
      <c r="A669" s="2">
        <v>46044.841874999998</v>
      </c>
      <c r="B669" t="s">
        <v>309</v>
      </c>
      <c r="C669" t="s">
        <v>372</v>
      </c>
      <c r="D669">
        <v>3</v>
      </c>
      <c r="E669" t="s">
        <v>104</v>
      </c>
      <c r="F669" t="s">
        <v>373</v>
      </c>
      <c r="G669">
        <f t="shared" si="30"/>
        <v>0.82781456953642385</v>
      </c>
      <c r="H669">
        <f t="shared" si="31"/>
        <v>0.49668874172185434</v>
      </c>
      <c r="I669">
        <v>43.83</v>
      </c>
      <c r="J669">
        <f t="shared" si="32"/>
        <v>98.675496688741731</v>
      </c>
      <c r="K669">
        <v>0.85</v>
      </c>
      <c r="L669">
        <v>0.2</v>
      </c>
      <c r="M669">
        <v>0.7</v>
      </c>
      <c r="N669">
        <v>596</v>
      </c>
      <c r="O669">
        <v>5</v>
      </c>
      <c r="P669">
        <v>3</v>
      </c>
      <c r="Q669">
        <v>1.32</v>
      </c>
      <c r="R669" t="s">
        <v>374</v>
      </c>
      <c r="S669">
        <v>0.03</v>
      </c>
      <c r="U669">
        <v>36</v>
      </c>
    </row>
    <row r="670" spans="1:21" x14ac:dyDescent="0.25">
      <c r="A670" s="2">
        <v>46044.842129629629</v>
      </c>
      <c r="B670" t="s">
        <v>309</v>
      </c>
      <c r="C670" t="s">
        <v>372</v>
      </c>
      <c r="D670">
        <v>3</v>
      </c>
      <c r="E670" t="s">
        <v>107</v>
      </c>
      <c r="F670" t="s">
        <v>373</v>
      </c>
      <c r="G670">
        <f t="shared" si="30"/>
        <v>9.7777777777777786</v>
      </c>
      <c r="H670">
        <f t="shared" si="31"/>
        <v>0</v>
      </c>
      <c r="I670">
        <v>43.83</v>
      </c>
      <c r="J670">
        <f t="shared" si="32"/>
        <v>90.222222222222229</v>
      </c>
      <c r="K670">
        <v>0.85</v>
      </c>
      <c r="L670">
        <v>0.2</v>
      </c>
      <c r="M670">
        <v>0.7</v>
      </c>
      <c r="N670">
        <v>609</v>
      </c>
      <c r="O670">
        <v>66</v>
      </c>
      <c r="P670">
        <v>0</v>
      </c>
      <c r="Q670">
        <v>9.7799999999999994</v>
      </c>
      <c r="R670" t="s">
        <v>377</v>
      </c>
      <c r="S670">
        <v>0.25</v>
      </c>
      <c r="U670">
        <v>46</v>
      </c>
    </row>
    <row r="671" spans="1:21" x14ac:dyDescent="0.25">
      <c r="A671" s="2">
        <v>46044.842418981483</v>
      </c>
      <c r="B671" t="s">
        <v>309</v>
      </c>
      <c r="C671" t="s">
        <v>372</v>
      </c>
      <c r="D671">
        <v>3</v>
      </c>
      <c r="E671" t="s">
        <v>108</v>
      </c>
      <c r="F671" t="s">
        <v>373</v>
      </c>
      <c r="G671">
        <f t="shared" si="30"/>
        <v>3.3724340175953076</v>
      </c>
      <c r="H671">
        <f t="shared" si="31"/>
        <v>0</v>
      </c>
      <c r="I671">
        <v>43.83</v>
      </c>
      <c r="J671">
        <f t="shared" si="32"/>
        <v>96.62756598240469</v>
      </c>
      <c r="K671">
        <v>0.85</v>
      </c>
      <c r="L671">
        <v>0.2</v>
      </c>
      <c r="M671">
        <v>0.7</v>
      </c>
      <c r="N671">
        <v>659</v>
      </c>
      <c r="O671">
        <v>23</v>
      </c>
      <c r="P671">
        <v>0</v>
      </c>
      <c r="Q671">
        <v>3.37</v>
      </c>
      <c r="R671" t="s">
        <v>371</v>
      </c>
      <c r="S671">
        <v>0.09</v>
      </c>
      <c r="U671">
        <v>17</v>
      </c>
    </row>
    <row r="672" spans="1:21" x14ac:dyDescent="0.25">
      <c r="A672" s="2">
        <v>46044.84269675926</v>
      </c>
      <c r="B672" t="s">
        <v>309</v>
      </c>
      <c r="C672" t="s">
        <v>372</v>
      </c>
      <c r="D672">
        <v>3</v>
      </c>
      <c r="E672" t="s">
        <v>116</v>
      </c>
      <c r="F672" t="s">
        <v>373</v>
      </c>
      <c r="G672">
        <f t="shared" si="30"/>
        <v>7.2056239015817214</v>
      </c>
      <c r="H672">
        <f t="shared" si="31"/>
        <v>0</v>
      </c>
      <c r="I672">
        <v>43.83</v>
      </c>
      <c r="J672">
        <f t="shared" si="32"/>
        <v>92.794376098418269</v>
      </c>
      <c r="K672">
        <v>0.85</v>
      </c>
      <c r="L672">
        <v>0.2</v>
      </c>
      <c r="M672">
        <v>0.7</v>
      </c>
      <c r="N672">
        <v>528</v>
      </c>
      <c r="O672">
        <v>41</v>
      </c>
      <c r="P672">
        <v>0</v>
      </c>
      <c r="Q672">
        <v>7.21</v>
      </c>
      <c r="R672" t="s">
        <v>371</v>
      </c>
      <c r="S672">
        <v>0.19</v>
      </c>
      <c r="U672">
        <v>49</v>
      </c>
    </row>
    <row r="673" spans="1:21" x14ac:dyDescent="0.25">
      <c r="A673" s="2">
        <v>46044.842974537038</v>
      </c>
      <c r="B673" t="s">
        <v>309</v>
      </c>
      <c r="C673" t="s">
        <v>372</v>
      </c>
      <c r="D673">
        <v>3</v>
      </c>
      <c r="E673" t="s">
        <v>118</v>
      </c>
      <c r="F673" t="s">
        <v>373</v>
      </c>
      <c r="G673">
        <f t="shared" si="30"/>
        <v>7.0032573289902285</v>
      </c>
      <c r="H673">
        <f t="shared" si="31"/>
        <v>0.16286644951140067</v>
      </c>
      <c r="I673">
        <v>43.83</v>
      </c>
      <c r="J673">
        <f t="shared" si="32"/>
        <v>92.833876221498372</v>
      </c>
      <c r="K673">
        <v>0.85</v>
      </c>
      <c r="L673">
        <v>0.2</v>
      </c>
      <c r="M673">
        <v>0.7</v>
      </c>
      <c r="N673">
        <v>570</v>
      </c>
      <c r="O673">
        <v>43</v>
      </c>
      <c r="P673">
        <v>1</v>
      </c>
      <c r="Q673">
        <v>7.17</v>
      </c>
      <c r="R673" t="s">
        <v>377</v>
      </c>
      <c r="S673">
        <v>0.17</v>
      </c>
      <c r="U673">
        <v>101</v>
      </c>
    </row>
    <row r="674" spans="1:21" x14ac:dyDescent="0.25">
      <c r="A674" s="2">
        <v>46044.843252314815</v>
      </c>
      <c r="B674" t="s">
        <v>309</v>
      </c>
      <c r="C674" t="s">
        <v>372</v>
      </c>
      <c r="D674">
        <v>3</v>
      </c>
      <c r="E674" t="s">
        <v>120</v>
      </c>
      <c r="F674" t="s">
        <v>373</v>
      </c>
      <c r="G674">
        <f t="shared" si="30"/>
        <v>5.5389221556886223</v>
      </c>
      <c r="H674">
        <f t="shared" si="31"/>
        <v>0</v>
      </c>
      <c r="I674">
        <v>43.83</v>
      </c>
      <c r="J674">
        <f t="shared" si="32"/>
        <v>94.461077844311376</v>
      </c>
      <c r="K674">
        <v>0.85</v>
      </c>
      <c r="L674">
        <v>0.2</v>
      </c>
      <c r="M674">
        <v>0.7</v>
      </c>
      <c r="N674">
        <v>631</v>
      </c>
      <c r="O674">
        <v>37</v>
      </c>
      <c r="P674">
        <v>0</v>
      </c>
      <c r="Q674">
        <v>5.54</v>
      </c>
      <c r="R674" t="s">
        <v>377</v>
      </c>
      <c r="S674">
        <v>0.16</v>
      </c>
      <c r="U674">
        <v>22</v>
      </c>
    </row>
    <row r="675" spans="1:21" x14ac:dyDescent="0.25">
      <c r="A675" s="2">
        <v>46044.843530092592</v>
      </c>
      <c r="B675" t="s">
        <v>309</v>
      </c>
      <c r="C675" t="s">
        <v>372</v>
      </c>
      <c r="D675">
        <v>3</v>
      </c>
      <c r="E675" t="s">
        <v>123</v>
      </c>
      <c r="F675" t="s">
        <v>373</v>
      </c>
      <c r="G675">
        <f t="shared" si="30"/>
        <v>0.46224961479198773</v>
      </c>
      <c r="H675">
        <f t="shared" si="31"/>
        <v>0.15408320493066258</v>
      </c>
      <c r="I675">
        <v>43.83</v>
      </c>
      <c r="J675">
        <f t="shared" si="32"/>
        <v>99.383667180277342</v>
      </c>
      <c r="K675">
        <v>0.85</v>
      </c>
      <c r="L675">
        <v>0.2</v>
      </c>
      <c r="M675">
        <v>0.7</v>
      </c>
      <c r="N675">
        <v>645</v>
      </c>
      <c r="O675">
        <v>3</v>
      </c>
      <c r="P675">
        <v>1</v>
      </c>
      <c r="Q675">
        <v>0.62</v>
      </c>
      <c r="R675" t="s">
        <v>377</v>
      </c>
      <c r="S675">
        <v>0.02</v>
      </c>
      <c r="U675">
        <v>10</v>
      </c>
    </row>
    <row r="676" spans="1:21" x14ac:dyDescent="0.25">
      <c r="A676" s="2">
        <v>46044.843807870369</v>
      </c>
      <c r="B676" t="s">
        <v>309</v>
      </c>
      <c r="C676" t="s">
        <v>372</v>
      </c>
      <c r="D676">
        <v>3</v>
      </c>
      <c r="E676" t="s">
        <v>124</v>
      </c>
      <c r="F676" t="s">
        <v>373</v>
      </c>
      <c r="G676">
        <f t="shared" si="30"/>
        <v>80.205278592375365</v>
      </c>
      <c r="H676">
        <f t="shared" si="31"/>
        <v>2.4926686217008798</v>
      </c>
      <c r="I676">
        <v>43.83</v>
      </c>
      <c r="J676">
        <f t="shared" si="32"/>
        <v>17.302052785923756</v>
      </c>
      <c r="K676">
        <v>0.85</v>
      </c>
      <c r="L676">
        <v>0.2</v>
      </c>
      <c r="M676">
        <v>0.7</v>
      </c>
      <c r="N676">
        <v>118</v>
      </c>
      <c r="O676">
        <v>547</v>
      </c>
      <c r="P676">
        <v>17</v>
      </c>
      <c r="Q676">
        <v>82.7</v>
      </c>
      <c r="R676" t="s">
        <v>378</v>
      </c>
      <c r="S676">
        <v>2.54</v>
      </c>
      <c r="U676">
        <v>25</v>
      </c>
    </row>
    <row r="677" spans="1:21" x14ac:dyDescent="0.25">
      <c r="A677" s="2">
        <v>46044.844201388885</v>
      </c>
      <c r="B677" t="s">
        <v>309</v>
      </c>
      <c r="C677" t="s">
        <v>372</v>
      </c>
      <c r="D677">
        <v>3</v>
      </c>
      <c r="E677" t="s">
        <v>125</v>
      </c>
      <c r="F677" t="s">
        <v>373</v>
      </c>
      <c r="G677">
        <f t="shared" si="30"/>
        <v>73.936170212765958</v>
      </c>
      <c r="H677">
        <f t="shared" si="31"/>
        <v>0.1773049645390071</v>
      </c>
      <c r="I677">
        <v>43.83</v>
      </c>
      <c r="J677">
        <f t="shared" si="32"/>
        <v>25.886524822695034</v>
      </c>
      <c r="K677">
        <v>0.85</v>
      </c>
      <c r="L677">
        <v>0.2</v>
      </c>
      <c r="M677">
        <v>0.7</v>
      </c>
      <c r="N677">
        <v>146</v>
      </c>
      <c r="O677">
        <v>417</v>
      </c>
      <c r="P677">
        <v>1</v>
      </c>
      <c r="Q677">
        <v>74.11</v>
      </c>
      <c r="R677" t="s">
        <v>384</v>
      </c>
      <c r="S677">
        <v>1.91</v>
      </c>
      <c r="U677">
        <v>72</v>
      </c>
    </row>
    <row r="678" spans="1:21" x14ac:dyDescent="0.25">
      <c r="A678" s="2">
        <v>46044.844571759262</v>
      </c>
      <c r="B678" t="s">
        <v>309</v>
      </c>
      <c r="C678" t="s">
        <v>372</v>
      </c>
      <c r="D678">
        <v>3</v>
      </c>
      <c r="E678" t="s">
        <v>126</v>
      </c>
      <c r="F678" t="s">
        <v>373</v>
      </c>
      <c r="G678">
        <f t="shared" si="30"/>
        <v>7.5036075036075038</v>
      </c>
      <c r="H678">
        <f t="shared" si="31"/>
        <v>0.14430014430014429</v>
      </c>
      <c r="I678">
        <v>43.83</v>
      </c>
      <c r="J678">
        <f t="shared" si="32"/>
        <v>92.352092352092356</v>
      </c>
      <c r="K678">
        <v>0.85</v>
      </c>
      <c r="L678">
        <v>0.2</v>
      </c>
      <c r="M678">
        <v>0.7</v>
      </c>
      <c r="N678">
        <v>640</v>
      </c>
      <c r="O678">
        <v>52</v>
      </c>
      <c r="P678">
        <v>1</v>
      </c>
      <c r="Q678">
        <v>7.65</v>
      </c>
      <c r="R678" t="s">
        <v>377</v>
      </c>
      <c r="S678">
        <v>0.21</v>
      </c>
      <c r="U678">
        <v>18</v>
      </c>
    </row>
    <row r="679" spans="1:21" x14ac:dyDescent="0.25">
      <c r="A679" s="2">
        <v>46044.844849537039</v>
      </c>
      <c r="B679" t="s">
        <v>309</v>
      </c>
      <c r="C679" t="s">
        <v>372</v>
      </c>
      <c r="D679">
        <v>3</v>
      </c>
      <c r="E679" t="s">
        <v>129</v>
      </c>
      <c r="F679" t="s">
        <v>373</v>
      </c>
      <c r="G679">
        <f t="shared" si="30"/>
        <v>0.46511627906976744</v>
      </c>
      <c r="H679">
        <f t="shared" si="31"/>
        <v>0</v>
      </c>
      <c r="I679">
        <v>43.83</v>
      </c>
      <c r="J679">
        <f t="shared" si="32"/>
        <v>99.534883720930239</v>
      </c>
      <c r="K679">
        <v>0.85</v>
      </c>
      <c r="L679">
        <v>0.2</v>
      </c>
      <c r="M679">
        <v>0.7</v>
      </c>
      <c r="N679">
        <v>642</v>
      </c>
      <c r="O679">
        <v>3</v>
      </c>
      <c r="P679">
        <v>0</v>
      </c>
      <c r="Q679">
        <v>0.47</v>
      </c>
      <c r="R679" t="s">
        <v>374</v>
      </c>
      <c r="S679">
        <v>0.01</v>
      </c>
      <c r="U679">
        <v>23</v>
      </c>
    </row>
    <row r="680" spans="1:21" x14ac:dyDescent="0.25">
      <c r="A680" s="2">
        <v>46044.84511574074</v>
      </c>
      <c r="B680" t="s">
        <v>309</v>
      </c>
      <c r="C680" t="s">
        <v>372</v>
      </c>
      <c r="D680">
        <v>3</v>
      </c>
      <c r="E680" t="s">
        <v>130</v>
      </c>
      <c r="F680" t="s">
        <v>373</v>
      </c>
      <c r="G680">
        <f t="shared" si="30"/>
        <v>9.8693759071117562</v>
      </c>
      <c r="H680">
        <f t="shared" si="31"/>
        <v>0.72568940493468792</v>
      </c>
      <c r="I680">
        <v>43.83</v>
      </c>
      <c r="J680">
        <f t="shared" si="32"/>
        <v>89.404934687953556</v>
      </c>
      <c r="K680">
        <v>0.85</v>
      </c>
      <c r="L680">
        <v>0.2</v>
      </c>
      <c r="M680">
        <v>0.7</v>
      </c>
      <c r="N680">
        <v>616</v>
      </c>
      <c r="O680">
        <v>68</v>
      </c>
      <c r="P680">
        <v>5</v>
      </c>
      <c r="Q680">
        <v>10.6</v>
      </c>
      <c r="R680" t="s">
        <v>377</v>
      </c>
      <c r="S680">
        <v>0.27</v>
      </c>
      <c r="U680">
        <v>35</v>
      </c>
    </row>
    <row r="681" spans="1:21" x14ac:dyDescent="0.25">
      <c r="A681" s="2">
        <v>46044.845405092594</v>
      </c>
      <c r="B681" t="s">
        <v>309</v>
      </c>
      <c r="C681" t="s">
        <v>372</v>
      </c>
      <c r="D681">
        <v>3</v>
      </c>
      <c r="E681" t="s">
        <v>131</v>
      </c>
      <c r="F681" t="s">
        <v>373</v>
      </c>
      <c r="G681">
        <f t="shared" si="30"/>
        <v>47.5</v>
      </c>
      <c r="H681">
        <f t="shared" si="31"/>
        <v>0.35714285714285715</v>
      </c>
      <c r="I681">
        <v>43.83</v>
      </c>
      <c r="J681">
        <f t="shared" si="32"/>
        <v>52.142857142857146</v>
      </c>
      <c r="K681">
        <v>0.85</v>
      </c>
      <c r="L681">
        <v>0.2</v>
      </c>
      <c r="M681">
        <v>0.7</v>
      </c>
      <c r="N681">
        <v>292</v>
      </c>
      <c r="O681">
        <v>266</v>
      </c>
      <c r="P681">
        <v>2</v>
      </c>
      <c r="Q681">
        <v>47.86</v>
      </c>
      <c r="R681" t="s">
        <v>383</v>
      </c>
      <c r="S681">
        <v>1.21</v>
      </c>
      <c r="U681">
        <v>111</v>
      </c>
    </row>
    <row r="682" spans="1:21" x14ac:dyDescent="0.25">
      <c r="A682" s="2">
        <v>46044.845729166664</v>
      </c>
      <c r="B682" t="s">
        <v>309</v>
      </c>
      <c r="C682" t="s">
        <v>372</v>
      </c>
      <c r="D682">
        <v>3</v>
      </c>
      <c r="E682" t="s">
        <v>132</v>
      </c>
      <c r="F682" t="s">
        <v>373</v>
      </c>
      <c r="G682">
        <f t="shared" si="30"/>
        <v>29.421768707482993</v>
      </c>
      <c r="H682">
        <f t="shared" si="31"/>
        <v>0.3401360544217687</v>
      </c>
      <c r="I682">
        <v>43.83</v>
      </c>
      <c r="J682">
        <f t="shared" si="32"/>
        <v>70.238095238095227</v>
      </c>
      <c r="K682">
        <v>0.85</v>
      </c>
      <c r="L682">
        <v>0.2</v>
      </c>
      <c r="M682">
        <v>0.7</v>
      </c>
      <c r="N682">
        <v>413</v>
      </c>
      <c r="O682">
        <v>173</v>
      </c>
      <c r="P682">
        <v>2</v>
      </c>
      <c r="Q682">
        <v>29.76</v>
      </c>
      <c r="R682" t="s">
        <v>375</v>
      </c>
      <c r="S682">
        <v>0.71</v>
      </c>
      <c r="U682">
        <v>86</v>
      </c>
    </row>
    <row r="683" spans="1:21" x14ac:dyDescent="0.25">
      <c r="A683" s="2">
        <v>46044.846030092594</v>
      </c>
      <c r="B683" t="s">
        <v>309</v>
      </c>
      <c r="C683" t="s">
        <v>372</v>
      </c>
      <c r="D683">
        <v>3</v>
      </c>
      <c r="E683" t="s">
        <v>135</v>
      </c>
      <c r="F683" t="s">
        <v>373</v>
      </c>
      <c r="G683">
        <f t="shared" si="30"/>
        <v>1.5673981191222568</v>
      </c>
      <c r="H683">
        <f t="shared" si="31"/>
        <v>0.31347962382445138</v>
      </c>
      <c r="I683">
        <v>43.83</v>
      </c>
      <c r="J683">
        <f t="shared" si="32"/>
        <v>98.119122257053291</v>
      </c>
      <c r="K683">
        <v>0.85</v>
      </c>
      <c r="L683">
        <v>0.2</v>
      </c>
      <c r="M683">
        <v>0.7</v>
      </c>
      <c r="N683">
        <v>626</v>
      </c>
      <c r="O683">
        <v>10</v>
      </c>
      <c r="P683">
        <v>2</v>
      </c>
      <c r="Q683">
        <v>1.88</v>
      </c>
      <c r="R683" t="s">
        <v>371</v>
      </c>
      <c r="S683">
        <v>0.05</v>
      </c>
      <c r="U683">
        <v>54</v>
      </c>
    </row>
    <row r="684" spans="1:21" x14ac:dyDescent="0.25">
      <c r="A684" s="2">
        <v>46044.846307870372</v>
      </c>
      <c r="B684" t="s">
        <v>309</v>
      </c>
      <c r="C684" t="s">
        <v>372</v>
      </c>
      <c r="D684">
        <v>3</v>
      </c>
      <c r="E684" t="s">
        <v>136</v>
      </c>
      <c r="F684" t="s">
        <v>373</v>
      </c>
      <c r="G684">
        <f t="shared" si="30"/>
        <v>4.7001620745542949</v>
      </c>
      <c r="H684">
        <f t="shared" si="31"/>
        <v>0.16207455429497569</v>
      </c>
      <c r="I684">
        <v>43.83</v>
      </c>
      <c r="J684">
        <f t="shared" si="32"/>
        <v>95.137763371150726</v>
      </c>
      <c r="K684">
        <v>0.85</v>
      </c>
      <c r="L684">
        <v>0.2</v>
      </c>
      <c r="M684">
        <v>0.7</v>
      </c>
      <c r="N684">
        <v>587</v>
      </c>
      <c r="O684">
        <v>29</v>
      </c>
      <c r="P684">
        <v>1</v>
      </c>
      <c r="Q684">
        <v>4.8600000000000003</v>
      </c>
      <c r="R684" t="s">
        <v>376</v>
      </c>
      <c r="S684">
        <v>0.11</v>
      </c>
      <c r="U684">
        <v>82</v>
      </c>
    </row>
    <row r="685" spans="1:21" x14ac:dyDescent="0.25">
      <c r="A685" s="2">
        <v>46044.846597222226</v>
      </c>
      <c r="B685" t="s">
        <v>309</v>
      </c>
      <c r="C685" t="s">
        <v>372</v>
      </c>
      <c r="D685">
        <v>3</v>
      </c>
      <c r="E685" t="s">
        <v>137</v>
      </c>
      <c r="F685" t="s">
        <v>373</v>
      </c>
      <c r="G685">
        <f t="shared" si="30"/>
        <v>83.403068340306831</v>
      </c>
      <c r="H685">
        <f t="shared" si="31"/>
        <v>1.6736401673640167</v>
      </c>
      <c r="I685">
        <v>43.83</v>
      </c>
      <c r="J685">
        <f t="shared" si="32"/>
        <v>14.923291492329149</v>
      </c>
      <c r="K685">
        <v>0.85</v>
      </c>
      <c r="L685">
        <v>0.2</v>
      </c>
      <c r="M685">
        <v>0.7</v>
      </c>
      <c r="N685">
        <v>107</v>
      </c>
      <c r="O685">
        <v>598</v>
      </c>
      <c r="P685">
        <v>12</v>
      </c>
      <c r="Q685">
        <v>85.08</v>
      </c>
      <c r="R685" t="s">
        <v>378</v>
      </c>
      <c r="S685">
        <v>2.5299999999999998</v>
      </c>
      <c r="U685">
        <v>35</v>
      </c>
    </row>
    <row r="686" spans="1:21" x14ac:dyDescent="0.25">
      <c r="A686" s="2">
        <v>46044.847002314818</v>
      </c>
      <c r="B686" t="s">
        <v>309</v>
      </c>
      <c r="C686" t="s">
        <v>372</v>
      </c>
      <c r="D686">
        <v>3</v>
      </c>
      <c r="E686" t="s">
        <v>138</v>
      </c>
      <c r="F686" t="s">
        <v>373</v>
      </c>
      <c r="G686">
        <f t="shared" si="30"/>
        <v>0.3003003003003003</v>
      </c>
      <c r="H686">
        <f t="shared" si="31"/>
        <v>0</v>
      </c>
      <c r="I686">
        <v>43.83</v>
      </c>
      <c r="J686">
        <f t="shared" si="32"/>
        <v>99.699699699699693</v>
      </c>
      <c r="K686">
        <v>0.85</v>
      </c>
      <c r="L686">
        <v>0.2</v>
      </c>
      <c r="M686">
        <v>0.7</v>
      </c>
      <c r="N686">
        <v>664</v>
      </c>
      <c r="O686">
        <v>2</v>
      </c>
      <c r="P686">
        <v>0</v>
      </c>
      <c r="Q686">
        <v>0.3</v>
      </c>
      <c r="R686" t="s">
        <v>377</v>
      </c>
      <c r="S686">
        <v>0.01</v>
      </c>
      <c r="U686">
        <v>10</v>
      </c>
    </row>
    <row r="687" spans="1:21" x14ac:dyDescent="0.25">
      <c r="A687" s="2">
        <v>46044.847280092596</v>
      </c>
      <c r="B687" t="s">
        <v>309</v>
      </c>
      <c r="C687" t="s">
        <v>372</v>
      </c>
      <c r="D687">
        <v>3</v>
      </c>
      <c r="E687" t="s">
        <v>140</v>
      </c>
      <c r="F687" t="s">
        <v>373</v>
      </c>
      <c r="G687">
        <f t="shared" si="30"/>
        <v>24.042879019908117</v>
      </c>
      <c r="H687">
        <f t="shared" si="31"/>
        <v>0.15313935681470139</v>
      </c>
      <c r="I687">
        <v>43.83</v>
      </c>
      <c r="J687">
        <f t="shared" si="32"/>
        <v>75.803981623277181</v>
      </c>
      <c r="K687">
        <v>0.85</v>
      </c>
      <c r="L687">
        <v>0.2</v>
      </c>
      <c r="M687">
        <v>0.7</v>
      </c>
      <c r="N687">
        <v>495</v>
      </c>
      <c r="O687">
        <v>157</v>
      </c>
      <c r="P687">
        <v>1</v>
      </c>
      <c r="Q687">
        <v>24.2</v>
      </c>
      <c r="R687" t="s">
        <v>375</v>
      </c>
      <c r="S687">
        <v>0.63</v>
      </c>
      <c r="U687">
        <v>55</v>
      </c>
    </row>
    <row r="688" spans="1:21" x14ac:dyDescent="0.25">
      <c r="A688" s="2">
        <v>46044.847592592596</v>
      </c>
      <c r="B688" t="s">
        <v>309</v>
      </c>
      <c r="C688" t="s">
        <v>372</v>
      </c>
      <c r="D688">
        <v>3</v>
      </c>
      <c r="E688" t="s">
        <v>141</v>
      </c>
      <c r="F688" t="s">
        <v>373</v>
      </c>
      <c r="G688">
        <f t="shared" si="30"/>
        <v>9.1472868217054266</v>
      </c>
      <c r="H688">
        <f t="shared" si="31"/>
        <v>1.3953488372093024</v>
      </c>
      <c r="I688">
        <v>43.83</v>
      </c>
      <c r="J688">
        <f t="shared" si="32"/>
        <v>89.457364341085267</v>
      </c>
      <c r="K688">
        <v>0.85</v>
      </c>
      <c r="L688">
        <v>0.2</v>
      </c>
      <c r="M688">
        <v>0.7</v>
      </c>
      <c r="N688">
        <v>577</v>
      </c>
      <c r="O688">
        <v>59</v>
      </c>
      <c r="P688">
        <v>9</v>
      </c>
      <c r="Q688">
        <v>10.54</v>
      </c>
      <c r="R688" t="s">
        <v>377</v>
      </c>
      <c r="S688">
        <v>0.28999999999999998</v>
      </c>
      <c r="U688">
        <v>45</v>
      </c>
    </row>
    <row r="689" spans="1:21" x14ac:dyDescent="0.25">
      <c r="A689" s="2">
        <v>46044.847881944443</v>
      </c>
      <c r="B689" t="s">
        <v>309</v>
      </c>
      <c r="C689" t="s">
        <v>372</v>
      </c>
      <c r="D689">
        <v>3</v>
      </c>
      <c r="E689" t="s">
        <v>146</v>
      </c>
      <c r="F689" t="s">
        <v>373</v>
      </c>
      <c r="G689">
        <f t="shared" si="30"/>
        <v>0.74738415545590431</v>
      </c>
      <c r="H689">
        <f t="shared" si="31"/>
        <v>0</v>
      </c>
      <c r="I689">
        <v>43.83</v>
      </c>
      <c r="J689">
        <f t="shared" si="32"/>
        <v>99.252615844544096</v>
      </c>
      <c r="K689">
        <v>0.85</v>
      </c>
      <c r="L689">
        <v>0.2</v>
      </c>
      <c r="M689">
        <v>0.7</v>
      </c>
      <c r="N689">
        <v>664</v>
      </c>
      <c r="O689">
        <v>5</v>
      </c>
      <c r="P689">
        <v>0</v>
      </c>
      <c r="Q689">
        <v>0.75</v>
      </c>
      <c r="R689" t="s">
        <v>371</v>
      </c>
      <c r="S689">
        <v>0.02</v>
      </c>
      <c r="U689">
        <v>34</v>
      </c>
    </row>
    <row r="690" spans="1:21" x14ac:dyDescent="0.25">
      <c r="A690" s="2">
        <v>46044.84814814815</v>
      </c>
      <c r="B690" t="s">
        <v>309</v>
      </c>
      <c r="C690" t="s">
        <v>372</v>
      </c>
      <c r="D690">
        <v>3</v>
      </c>
      <c r="E690" t="s">
        <v>148</v>
      </c>
      <c r="F690" t="s">
        <v>373</v>
      </c>
      <c r="G690">
        <f t="shared" si="30"/>
        <v>7.8048780487804876</v>
      </c>
      <c r="H690">
        <f t="shared" si="31"/>
        <v>0</v>
      </c>
      <c r="I690">
        <v>43.83</v>
      </c>
      <c r="J690">
        <f t="shared" si="32"/>
        <v>92.195121951219519</v>
      </c>
      <c r="K690">
        <v>0.85</v>
      </c>
      <c r="L690">
        <v>0.2</v>
      </c>
      <c r="M690">
        <v>0.7</v>
      </c>
      <c r="N690">
        <v>567</v>
      </c>
      <c r="O690">
        <v>48</v>
      </c>
      <c r="P690">
        <v>0</v>
      </c>
      <c r="Q690">
        <v>7.8</v>
      </c>
      <c r="R690" t="s">
        <v>371</v>
      </c>
      <c r="S690">
        <v>0.21</v>
      </c>
      <c r="U690">
        <v>45</v>
      </c>
    </row>
    <row r="691" spans="1:21" x14ac:dyDescent="0.25">
      <c r="A691" s="2">
        <v>46044.848425925928</v>
      </c>
      <c r="B691" t="s">
        <v>309</v>
      </c>
      <c r="C691" t="s">
        <v>372</v>
      </c>
      <c r="D691">
        <v>3</v>
      </c>
      <c r="E691" t="s">
        <v>149</v>
      </c>
      <c r="F691" t="s">
        <v>373</v>
      </c>
      <c r="G691">
        <f t="shared" si="30"/>
        <v>6.1253561253561255</v>
      </c>
      <c r="H691">
        <f t="shared" si="31"/>
        <v>0</v>
      </c>
      <c r="I691">
        <v>43.83</v>
      </c>
      <c r="J691">
        <f t="shared" si="32"/>
        <v>93.874643874643866</v>
      </c>
      <c r="K691">
        <v>0.85</v>
      </c>
      <c r="L691">
        <v>0.2</v>
      </c>
      <c r="M691">
        <v>0.7</v>
      </c>
      <c r="N691">
        <v>659</v>
      </c>
      <c r="O691">
        <v>43</v>
      </c>
      <c r="P691">
        <v>0</v>
      </c>
      <c r="Q691">
        <v>6.13</v>
      </c>
      <c r="R691" t="s">
        <v>377</v>
      </c>
      <c r="S691">
        <v>0.16</v>
      </c>
      <c r="U691">
        <v>40</v>
      </c>
    </row>
    <row r="692" spans="1:21" x14ac:dyDescent="0.25">
      <c r="A692" s="2">
        <v>46044.848715277774</v>
      </c>
      <c r="B692" t="s">
        <v>309</v>
      </c>
      <c r="C692" t="s">
        <v>372</v>
      </c>
      <c r="D692">
        <v>3</v>
      </c>
      <c r="E692" t="s">
        <v>150</v>
      </c>
      <c r="F692" t="s">
        <v>373</v>
      </c>
      <c r="G692">
        <f t="shared" si="30"/>
        <v>48.045602605863195</v>
      </c>
      <c r="H692">
        <f t="shared" si="31"/>
        <v>1.9543973941368076</v>
      </c>
      <c r="I692">
        <v>43.83</v>
      </c>
      <c r="J692">
        <f t="shared" si="32"/>
        <v>50</v>
      </c>
      <c r="K692">
        <v>0.85</v>
      </c>
      <c r="L692">
        <v>0.2</v>
      </c>
      <c r="M692">
        <v>0.7</v>
      </c>
      <c r="N692">
        <v>307</v>
      </c>
      <c r="O692">
        <v>295</v>
      </c>
      <c r="P692">
        <v>12</v>
      </c>
      <c r="Q692">
        <v>50</v>
      </c>
      <c r="R692" t="s">
        <v>383</v>
      </c>
      <c r="S692">
        <v>1.4</v>
      </c>
      <c r="U692">
        <v>56</v>
      </c>
    </row>
    <row r="693" spans="1:21" x14ac:dyDescent="0.25">
      <c r="A693" s="2">
        <v>46044.849050925928</v>
      </c>
      <c r="B693" t="s">
        <v>309</v>
      </c>
      <c r="C693" t="s">
        <v>372</v>
      </c>
      <c r="D693">
        <v>3</v>
      </c>
      <c r="E693" t="s">
        <v>155</v>
      </c>
      <c r="F693" t="s">
        <v>373</v>
      </c>
      <c r="G693">
        <f t="shared" si="30"/>
        <v>1.6638935108153077</v>
      </c>
      <c r="H693">
        <f t="shared" si="31"/>
        <v>0.16638935108153077</v>
      </c>
      <c r="I693">
        <v>43.83</v>
      </c>
      <c r="J693">
        <f t="shared" si="32"/>
        <v>98.169717138103167</v>
      </c>
      <c r="K693">
        <v>0.85</v>
      </c>
      <c r="L693">
        <v>0.2</v>
      </c>
      <c r="M693">
        <v>0.7</v>
      </c>
      <c r="N693">
        <v>590</v>
      </c>
      <c r="O693">
        <v>10</v>
      </c>
      <c r="P693">
        <v>1</v>
      </c>
      <c r="Q693">
        <v>1.83</v>
      </c>
      <c r="R693" t="s">
        <v>374</v>
      </c>
      <c r="S693">
        <v>0.05</v>
      </c>
      <c r="U693">
        <v>16</v>
      </c>
    </row>
    <row r="694" spans="1:21" x14ac:dyDescent="0.25">
      <c r="A694" s="2">
        <v>46044.849317129629</v>
      </c>
      <c r="B694" t="s">
        <v>309</v>
      </c>
      <c r="C694" t="s">
        <v>372</v>
      </c>
      <c r="D694">
        <v>3</v>
      </c>
      <c r="E694" t="s">
        <v>156</v>
      </c>
      <c r="F694" t="s">
        <v>373</v>
      </c>
      <c r="G694">
        <f t="shared" si="30"/>
        <v>81.560283687943254</v>
      </c>
      <c r="H694">
        <f t="shared" si="31"/>
        <v>0.99290780141843982</v>
      </c>
      <c r="I694">
        <v>43.83</v>
      </c>
      <c r="J694">
        <f t="shared" si="32"/>
        <v>17.446808510638299</v>
      </c>
      <c r="K694">
        <v>0.85</v>
      </c>
      <c r="L694">
        <v>0.2</v>
      </c>
      <c r="M694">
        <v>0.7</v>
      </c>
      <c r="N694">
        <v>123</v>
      </c>
      <c r="O694">
        <v>575</v>
      </c>
      <c r="P694">
        <v>7</v>
      </c>
      <c r="Q694">
        <v>82.55</v>
      </c>
      <c r="R694" t="s">
        <v>378</v>
      </c>
      <c r="S694">
        <v>2.5</v>
      </c>
      <c r="U694">
        <v>44</v>
      </c>
    </row>
    <row r="695" spans="1:21" x14ac:dyDescent="0.25">
      <c r="A695" s="2">
        <v>46044.849710648145</v>
      </c>
      <c r="B695" t="s">
        <v>309</v>
      </c>
      <c r="C695" t="s">
        <v>372</v>
      </c>
      <c r="D695">
        <v>3</v>
      </c>
      <c r="E695" t="s">
        <v>157</v>
      </c>
      <c r="F695" t="s">
        <v>373</v>
      </c>
      <c r="G695">
        <f t="shared" si="30"/>
        <v>52.341137123745817</v>
      </c>
      <c r="H695">
        <f t="shared" si="31"/>
        <v>0.16722408026755853</v>
      </c>
      <c r="I695">
        <v>43.83</v>
      </c>
      <c r="J695">
        <f t="shared" si="32"/>
        <v>47.491638795986624</v>
      </c>
      <c r="K695">
        <v>0.85</v>
      </c>
      <c r="L695">
        <v>0.2</v>
      </c>
      <c r="M695">
        <v>0.7</v>
      </c>
      <c r="N695">
        <v>284</v>
      </c>
      <c r="O695">
        <v>313</v>
      </c>
      <c r="P695">
        <v>1</v>
      </c>
      <c r="Q695">
        <v>52.51</v>
      </c>
      <c r="R695" t="s">
        <v>382</v>
      </c>
      <c r="S695">
        <v>1.46</v>
      </c>
      <c r="U695">
        <v>86</v>
      </c>
    </row>
    <row r="696" spans="1:21" x14ac:dyDescent="0.25">
      <c r="A696" s="2">
        <v>46044.850057870368</v>
      </c>
      <c r="B696" t="s">
        <v>309</v>
      </c>
      <c r="C696" t="s">
        <v>372</v>
      </c>
      <c r="D696">
        <v>3</v>
      </c>
      <c r="E696" t="s">
        <v>161</v>
      </c>
      <c r="F696" t="s">
        <v>373</v>
      </c>
      <c r="G696">
        <f t="shared" si="30"/>
        <v>7.2322670375521563</v>
      </c>
      <c r="H696">
        <f t="shared" si="31"/>
        <v>0</v>
      </c>
      <c r="I696">
        <v>43.83</v>
      </c>
      <c r="J696">
        <f t="shared" si="32"/>
        <v>92.767732962447852</v>
      </c>
      <c r="K696">
        <v>0.85</v>
      </c>
      <c r="L696">
        <v>0.2</v>
      </c>
      <c r="M696">
        <v>0.7</v>
      </c>
      <c r="N696">
        <v>667</v>
      </c>
      <c r="O696">
        <v>52</v>
      </c>
      <c r="P696">
        <v>0</v>
      </c>
      <c r="Q696">
        <v>7.23</v>
      </c>
      <c r="R696" t="s">
        <v>380</v>
      </c>
      <c r="S696">
        <v>0.2</v>
      </c>
      <c r="U696">
        <v>33</v>
      </c>
    </row>
    <row r="697" spans="1:21" x14ac:dyDescent="0.25">
      <c r="A697" s="2">
        <v>46044.850381944445</v>
      </c>
      <c r="B697" t="s">
        <v>309</v>
      </c>
      <c r="C697" t="s">
        <v>372</v>
      </c>
      <c r="D697">
        <v>3</v>
      </c>
      <c r="E697" t="s">
        <v>162</v>
      </c>
      <c r="F697" t="s">
        <v>373</v>
      </c>
      <c r="G697">
        <f t="shared" si="30"/>
        <v>1.0385756676557862</v>
      </c>
      <c r="H697">
        <f t="shared" si="31"/>
        <v>0.14836795252225521</v>
      </c>
      <c r="I697">
        <v>43.83</v>
      </c>
      <c r="J697">
        <f t="shared" si="32"/>
        <v>98.813056379821958</v>
      </c>
      <c r="K697">
        <v>0.85</v>
      </c>
      <c r="L697">
        <v>0.2</v>
      </c>
      <c r="M697">
        <v>0.7</v>
      </c>
      <c r="N697">
        <v>666</v>
      </c>
      <c r="O697">
        <v>7</v>
      </c>
      <c r="P697">
        <v>1</v>
      </c>
      <c r="Q697">
        <v>1.19</v>
      </c>
      <c r="R697" t="s">
        <v>375</v>
      </c>
      <c r="S697">
        <v>0.03</v>
      </c>
      <c r="U697">
        <v>19</v>
      </c>
    </row>
    <row r="698" spans="1:21" x14ac:dyDescent="0.25">
      <c r="A698" s="2">
        <v>46044.850682870368</v>
      </c>
      <c r="B698" t="s">
        <v>309</v>
      </c>
      <c r="C698" t="s">
        <v>372</v>
      </c>
      <c r="D698">
        <v>3</v>
      </c>
      <c r="E698" t="s">
        <v>163</v>
      </c>
      <c r="F698" t="s">
        <v>373</v>
      </c>
      <c r="G698">
        <f t="shared" si="30"/>
        <v>13.181019332161686</v>
      </c>
      <c r="H698">
        <f t="shared" si="31"/>
        <v>0</v>
      </c>
      <c r="I698">
        <v>43.83</v>
      </c>
      <c r="J698">
        <f t="shared" si="32"/>
        <v>86.818980667838304</v>
      </c>
      <c r="K698">
        <v>0.85</v>
      </c>
      <c r="L698">
        <v>0.2</v>
      </c>
      <c r="M698">
        <v>0.7</v>
      </c>
      <c r="N698">
        <v>494</v>
      </c>
      <c r="O698">
        <v>75</v>
      </c>
      <c r="P698">
        <v>0</v>
      </c>
      <c r="Q698">
        <v>13.18</v>
      </c>
      <c r="R698" t="s">
        <v>376</v>
      </c>
      <c r="S698">
        <v>0.32</v>
      </c>
      <c r="U698">
        <v>37</v>
      </c>
    </row>
    <row r="699" spans="1:21" x14ac:dyDescent="0.25">
      <c r="A699" s="2">
        <v>46044.850983796299</v>
      </c>
      <c r="B699" t="s">
        <v>309</v>
      </c>
      <c r="C699" t="s">
        <v>372</v>
      </c>
      <c r="D699">
        <v>3</v>
      </c>
      <c r="E699" t="s">
        <v>325</v>
      </c>
      <c r="F699" t="s">
        <v>373</v>
      </c>
      <c r="G699">
        <f t="shared" si="30"/>
        <v>1.948051948051948</v>
      </c>
      <c r="H699">
        <f t="shared" si="31"/>
        <v>0.21645021645021645</v>
      </c>
      <c r="I699">
        <v>43.83</v>
      </c>
      <c r="J699">
        <f t="shared" si="32"/>
        <v>97.835497835497833</v>
      </c>
      <c r="K699">
        <v>0.85</v>
      </c>
      <c r="L699">
        <v>0.2</v>
      </c>
      <c r="M699">
        <v>0.7</v>
      </c>
      <c r="N699">
        <v>452</v>
      </c>
      <c r="O699">
        <v>9</v>
      </c>
      <c r="P699">
        <v>1</v>
      </c>
      <c r="Q699">
        <v>2.16</v>
      </c>
      <c r="R699" t="s">
        <v>371</v>
      </c>
      <c r="S699">
        <v>0.06</v>
      </c>
      <c r="U699">
        <v>25</v>
      </c>
    </row>
    <row r="700" spans="1:21" x14ac:dyDescent="0.25">
      <c r="A700" s="2">
        <v>46044.851261574076</v>
      </c>
      <c r="B700" t="s">
        <v>309</v>
      </c>
      <c r="C700" t="s">
        <v>372</v>
      </c>
      <c r="D700">
        <v>3</v>
      </c>
      <c r="E700" t="s">
        <v>164</v>
      </c>
      <c r="F700" t="s">
        <v>373</v>
      </c>
      <c r="G700">
        <f t="shared" si="30"/>
        <v>10.965630114566286</v>
      </c>
      <c r="H700">
        <f t="shared" si="31"/>
        <v>0</v>
      </c>
      <c r="I700">
        <v>43.83</v>
      </c>
      <c r="J700">
        <f t="shared" si="32"/>
        <v>89.034369885433719</v>
      </c>
      <c r="K700">
        <v>0.85</v>
      </c>
      <c r="L700">
        <v>0.2</v>
      </c>
      <c r="M700">
        <v>0.7</v>
      </c>
      <c r="N700">
        <v>544</v>
      </c>
      <c r="O700">
        <v>67</v>
      </c>
      <c r="P700">
        <v>0</v>
      </c>
      <c r="Q700">
        <v>10.97</v>
      </c>
      <c r="R700" t="s">
        <v>375</v>
      </c>
      <c r="S700">
        <v>0.3</v>
      </c>
      <c r="U700">
        <v>51</v>
      </c>
    </row>
    <row r="701" spans="1:21" x14ac:dyDescent="0.25">
      <c r="A701" s="2">
        <v>46044.851574074077</v>
      </c>
      <c r="B701" t="s">
        <v>309</v>
      </c>
      <c r="C701" t="s">
        <v>372</v>
      </c>
      <c r="D701">
        <v>3</v>
      </c>
      <c r="E701" t="s">
        <v>167</v>
      </c>
      <c r="F701" t="s">
        <v>373</v>
      </c>
      <c r="G701">
        <f t="shared" si="30"/>
        <v>18.809980806142036</v>
      </c>
      <c r="H701">
        <f t="shared" si="31"/>
        <v>0</v>
      </c>
      <c r="I701">
        <v>43.83</v>
      </c>
      <c r="J701">
        <f t="shared" si="32"/>
        <v>81.190019193857964</v>
      </c>
      <c r="K701">
        <v>0.85</v>
      </c>
      <c r="L701">
        <v>0.2</v>
      </c>
      <c r="M701">
        <v>0.7</v>
      </c>
      <c r="N701">
        <v>423</v>
      </c>
      <c r="O701">
        <v>98</v>
      </c>
      <c r="P701">
        <v>0</v>
      </c>
      <c r="Q701">
        <v>18.809999999999999</v>
      </c>
      <c r="R701" t="s">
        <v>380</v>
      </c>
      <c r="S701">
        <v>0.42</v>
      </c>
      <c r="U701">
        <v>90</v>
      </c>
    </row>
    <row r="702" spans="1:21" x14ac:dyDescent="0.25">
      <c r="A702" s="2">
        <v>46044.851886574077</v>
      </c>
      <c r="B702" t="s">
        <v>309</v>
      </c>
      <c r="C702" t="s">
        <v>372</v>
      </c>
      <c r="D702">
        <v>3</v>
      </c>
      <c r="E702" t="s">
        <v>168</v>
      </c>
      <c r="F702" t="s">
        <v>373</v>
      </c>
      <c r="G702">
        <f t="shared" si="30"/>
        <v>73.813708260105443</v>
      </c>
      <c r="H702">
        <f t="shared" si="31"/>
        <v>1.7574692442882252</v>
      </c>
      <c r="I702">
        <v>43.83</v>
      </c>
      <c r="J702">
        <f t="shared" si="32"/>
        <v>24.42882249560633</v>
      </c>
      <c r="K702">
        <v>0.85</v>
      </c>
      <c r="L702">
        <v>0.2</v>
      </c>
      <c r="M702">
        <v>0.7</v>
      </c>
      <c r="N702">
        <v>139</v>
      </c>
      <c r="O702">
        <v>420</v>
      </c>
      <c r="P702">
        <v>10</v>
      </c>
      <c r="Q702">
        <v>75.569999999999993</v>
      </c>
      <c r="R702" t="s">
        <v>295</v>
      </c>
      <c r="S702">
        <v>1.96</v>
      </c>
      <c r="U702">
        <v>68</v>
      </c>
    </row>
    <row r="703" spans="1:21" x14ac:dyDescent="0.25">
      <c r="A703" s="2">
        <v>46044.852280092593</v>
      </c>
      <c r="B703" t="s">
        <v>309</v>
      </c>
      <c r="C703" t="s">
        <v>372</v>
      </c>
      <c r="D703">
        <v>3</v>
      </c>
      <c r="E703" t="s">
        <v>326</v>
      </c>
      <c r="F703" t="s">
        <v>373</v>
      </c>
      <c r="G703">
        <f t="shared" si="30"/>
        <v>2.7496382054992763</v>
      </c>
      <c r="H703">
        <f t="shared" si="31"/>
        <v>0</v>
      </c>
      <c r="I703">
        <v>43.83</v>
      </c>
      <c r="J703">
        <f t="shared" si="32"/>
        <v>97.250361794500733</v>
      </c>
      <c r="K703">
        <v>0.85</v>
      </c>
      <c r="L703">
        <v>0.2</v>
      </c>
      <c r="M703">
        <v>0.7</v>
      </c>
      <c r="N703">
        <v>672</v>
      </c>
      <c r="O703">
        <v>19</v>
      </c>
      <c r="P703">
        <v>0</v>
      </c>
      <c r="Q703">
        <v>2.75</v>
      </c>
      <c r="R703" t="s">
        <v>376</v>
      </c>
      <c r="S703">
        <v>7.0000000000000007E-2</v>
      </c>
      <c r="U703">
        <v>69</v>
      </c>
    </row>
    <row r="704" spans="1:21" x14ac:dyDescent="0.25">
      <c r="A704" s="2">
        <v>46044.852569444447</v>
      </c>
      <c r="B704" t="s">
        <v>309</v>
      </c>
      <c r="C704" t="s">
        <v>372</v>
      </c>
      <c r="D704">
        <v>3</v>
      </c>
      <c r="E704" t="s">
        <v>171</v>
      </c>
      <c r="F704" t="s">
        <v>373</v>
      </c>
      <c r="G704">
        <f t="shared" si="30"/>
        <v>5.2810902896081773</v>
      </c>
      <c r="H704">
        <f t="shared" si="31"/>
        <v>0.17035775127768313</v>
      </c>
      <c r="I704">
        <v>43.83</v>
      </c>
      <c r="J704">
        <f t="shared" si="32"/>
        <v>94.548551959114135</v>
      </c>
      <c r="K704">
        <v>0.85</v>
      </c>
      <c r="L704">
        <v>0.2</v>
      </c>
      <c r="M704">
        <v>0.7</v>
      </c>
      <c r="N704">
        <v>555</v>
      </c>
      <c r="O704">
        <v>31</v>
      </c>
      <c r="P704">
        <v>1</v>
      </c>
      <c r="Q704">
        <v>5.45</v>
      </c>
      <c r="R704" t="s">
        <v>377</v>
      </c>
      <c r="S704">
        <v>0.14000000000000001</v>
      </c>
      <c r="U704">
        <v>24</v>
      </c>
    </row>
    <row r="705" spans="1:21" x14ac:dyDescent="0.25">
      <c r="A705" s="2">
        <v>46044.852858796294</v>
      </c>
      <c r="B705" t="s">
        <v>309</v>
      </c>
      <c r="C705" t="s">
        <v>372</v>
      </c>
      <c r="D705">
        <v>3</v>
      </c>
      <c r="E705" t="s">
        <v>173</v>
      </c>
      <c r="F705" t="s">
        <v>373</v>
      </c>
      <c r="G705">
        <f t="shared" ref="G705:G768" si="33">(O705/(N705+O705+P705))*100</f>
        <v>8.9500860585197941</v>
      </c>
      <c r="H705">
        <f t="shared" ref="H705:H768" si="34">(P705/(O705+P705+N705))*100</f>
        <v>0.17211703958691912</v>
      </c>
      <c r="I705">
        <v>43.83</v>
      </c>
      <c r="J705">
        <f t="shared" ref="J705:J768" si="35">(N705/(P705+O705+N705))*100</f>
        <v>90.877796901893291</v>
      </c>
      <c r="K705">
        <v>0.85</v>
      </c>
      <c r="L705">
        <v>0.2</v>
      </c>
      <c r="M705">
        <v>0.7</v>
      </c>
      <c r="N705">
        <v>528</v>
      </c>
      <c r="O705">
        <v>52</v>
      </c>
      <c r="P705">
        <v>1</v>
      </c>
      <c r="Q705">
        <v>9.1199999999999992</v>
      </c>
      <c r="R705" t="s">
        <v>375</v>
      </c>
      <c r="S705">
        <v>0.21</v>
      </c>
      <c r="U705">
        <v>83</v>
      </c>
    </row>
    <row r="706" spans="1:21" x14ac:dyDescent="0.25">
      <c r="A706" s="2">
        <v>46044.853171296294</v>
      </c>
      <c r="B706" t="s">
        <v>309</v>
      </c>
      <c r="C706" t="s">
        <v>372</v>
      </c>
      <c r="D706">
        <v>3</v>
      </c>
      <c r="E706" t="s">
        <v>174</v>
      </c>
      <c r="F706" t="s">
        <v>373</v>
      </c>
      <c r="G706">
        <f t="shared" si="33"/>
        <v>4.4568245125348191</v>
      </c>
      <c r="H706">
        <f t="shared" si="34"/>
        <v>0</v>
      </c>
      <c r="I706">
        <v>43.83</v>
      </c>
      <c r="J706">
        <f t="shared" si="35"/>
        <v>95.543175487465177</v>
      </c>
      <c r="K706">
        <v>0.85</v>
      </c>
      <c r="L706">
        <v>0.2</v>
      </c>
      <c r="M706">
        <v>0.7</v>
      </c>
      <c r="N706">
        <v>686</v>
      </c>
      <c r="O706">
        <v>32</v>
      </c>
      <c r="P706">
        <v>0</v>
      </c>
      <c r="Q706">
        <v>4.46</v>
      </c>
      <c r="R706" t="s">
        <v>380</v>
      </c>
      <c r="S706">
        <v>0.11</v>
      </c>
      <c r="U706">
        <v>27</v>
      </c>
    </row>
    <row r="707" spans="1:21" x14ac:dyDescent="0.25">
      <c r="A707" s="2">
        <v>46044.853495370371</v>
      </c>
      <c r="B707" t="s">
        <v>309</v>
      </c>
      <c r="C707" t="s">
        <v>372</v>
      </c>
      <c r="D707">
        <v>3</v>
      </c>
      <c r="E707" t="s">
        <v>175</v>
      </c>
      <c r="F707" t="s">
        <v>373</v>
      </c>
      <c r="G707">
        <f t="shared" si="33"/>
        <v>81.913043478260875</v>
      </c>
      <c r="H707">
        <f t="shared" si="34"/>
        <v>0.86956521739130432</v>
      </c>
      <c r="I707">
        <v>43.83</v>
      </c>
      <c r="J707">
        <f t="shared" si="35"/>
        <v>17.217391304347824</v>
      </c>
      <c r="K707">
        <v>0.85</v>
      </c>
      <c r="L707">
        <v>0.2</v>
      </c>
      <c r="M707">
        <v>0.7</v>
      </c>
      <c r="N707">
        <v>99</v>
      </c>
      <c r="O707">
        <v>471</v>
      </c>
      <c r="P707">
        <v>5</v>
      </c>
      <c r="Q707">
        <v>82.78</v>
      </c>
      <c r="R707" t="s">
        <v>385</v>
      </c>
      <c r="S707">
        <v>2.33</v>
      </c>
      <c r="U707">
        <v>65</v>
      </c>
    </row>
    <row r="708" spans="1:21" x14ac:dyDescent="0.25">
      <c r="A708" s="2">
        <v>46044.853935185187</v>
      </c>
      <c r="B708" t="s">
        <v>309</v>
      </c>
      <c r="C708" t="s">
        <v>372</v>
      </c>
      <c r="D708">
        <v>3</v>
      </c>
      <c r="E708" t="s">
        <v>178</v>
      </c>
      <c r="F708" t="s">
        <v>373</v>
      </c>
      <c r="G708">
        <f t="shared" si="33"/>
        <v>5.7863501483679523</v>
      </c>
      <c r="H708">
        <f t="shared" si="34"/>
        <v>0</v>
      </c>
      <c r="I708">
        <v>43.83</v>
      </c>
      <c r="J708">
        <f t="shared" si="35"/>
        <v>94.213649851632042</v>
      </c>
      <c r="K708">
        <v>0.85</v>
      </c>
      <c r="L708">
        <v>0.2</v>
      </c>
      <c r="M708">
        <v>0.7</v>
      </c>
      <c r="N708">
        <v>635</v>
      </c>
      <c r="O708">
        <v>39</v>
      </c>
      <c r="P708">
        <v>0</v>
      </c>
      <c r="Q708">
        <v>5.79</v>
      </c>
      <c r="R708" t="s">
        <v>380</v>
      </c>
      <c r="S708">
        <v>0.16</v>
      </c>
      <c r="U708">
        <v>88</v>
      </c>
    </row>
    <row r="709" spans="1:21" x14ac:dyDescent="0.25">
      <c r="A709" s="2">
        <v>46044.854247685187</v>
      </c>
      <c r="B709" t="s">
        <v>309</v>
      </c>
      <c r="C709" t="s">
        <v>372</v>
      </c>
      <c r="D709">
        <v>3</v>
      </c>
      <c r="E709" t="s">
        <v>179</v>
      </c>
      <c r="F709" t="s">
        <v>373</v>
      </c>
      <c r="G709">
        <f t="shared" si="33"/>
        <v>18.64406779661017</v>
      </c>
      <c r="H709">
        <f t="shared" si="34"/>
        <v>0.15408320493066258</v>
      </c>
      <c r="I709">
        <v>43.83</v>
      </c>
      <c r="J709">
        <f t="shared" si="35"/>
        <v>81.20184899845917</v>
      </c>
      <c r="K709">
        <v>0.85</v>
      </c>
      <c r="L709">
        <v>0.2</v>
      </c>
      <c r="M709">
        <v>0.7</v>
      </c>
      <c r="N709">
        <v>527</v>
      </c>
      <c r="O709">
        <v>121</v>
      </c>
      <c r="P709">
        <v>1</v>
      </c>
      <c r="Q709">
        <v>18.8</v>
      </c>
      <c r="R709" t="s">
        <v>379</v>
      </c>
      <c r="S709">
        <v>0.5</v>
      </c>
      <c r="U709">
        <v>75</v>
      </c>
    </row>
    <row r="710" spans="1:21" x14ac:dyDescent="0.25">
      <c r="A710" s="2">
        <v>46044.85460648148</v>
      </c>
      <c r="B710" t="s">
        <v>309</v>
      </c>
      <c r="C710" t="s">
        <v>372</v>
      </c>
      <c r="D710">
        <v>3</v>
      </c>
      <c r="E710" t="s">
        <v>180</v>
      </c>
      <c r="F710" t="s">
        <v>373</v>
      </c>
      <c r="G710">
        <f t="shared" si="33"/>
        <v>4.2158516020236094</v>
      </c>
      <c r="H710">
        <f t="shared" si="34"/>
        <v>0.16863406408094433</v>
      </c>
      <c r="I710">
        <v>43.83</v>
      </c>
      <c r="J710">
        <f t="shared" si="35"/>
        <v>95.615514333895447</v>
      </c>
      <c r="K710">
        <v>0.85</v>
      </c>
      <c r="L710">
        <v>0.2</v>
      </c>
      <c r="M710">
        <v>0.7</v>
      </c>
      <c r="N710">
        <v>567</v>
      </c>
      <c r="O710">
        <v>25</v>
      </c>
      <c r="P710">
        <v>1</v>
      </c>
      <c r="Q710">
        <v>4.38</v>
      </c>
      <c r="R710" t="s">
        <v>375</v>
      </c>
      <c r="S710">
        <v>0.11</v>
      </c>
      <c r="U710">
        <v>53</v>
      </c>
    </row>
    <row r="711" spans="1:21" x14ac:dyDescent="0.25">
      <c r="A711" s="2">
        <v>46044.854907407411</v>
      </c>
      <c r="B711" t="s">
        <v>309</v>
      </c>
      <c r="C711" t="s">
        <v>372</v>
      </c>
      <c r="D711">
        <v>3</v>
      </c>
      <c r="E711" t="s">
        <v>185</v>
      </c>
      <c r="F711" t="s">
        <v>373</v>
      </c>
      <c r="G711">
        <f t="shared" si="33"/>
        <v>4</v>
      </c>
      <c r="H711">
        <f t="shared" si="34"/>
        <v>0</v>
      </c>
      <c r="I711">
        <v>43.83</v>
      </c>
      <c r="J711">
        <f t="shared" si="35"/>
        <v>96</v>
      </c>
      <c r="K711">
        <v>0.85</v>
      </c>
      <c r="L711">
        <v>0.2</v>
      </c>
      <c r="M711">
        <v>0.7</v>
      </c>
      <c r="N711">
        <v>576</v>
      </c>
      <c r="O711">
        <v>24</v>
      </c>
      <c r="P711">
        <v>0</v>
      </c>
      <c r="Q711">
        <v>4</v>
      </c>
      <c r="R711" t="s">
        <v>375</v>
      </c>
      <c r="S711">
        <v>0.1</v>
      </c>
      <c r="U711">
        <v>53</v>
      </c>
    </row>
    <row r="712" spans="1:21" x14ac:dyDescent="0.25">
      <c r="A712" s="2">
        <v>46044.855208333334</v>
      </c>
      <c r="B712" t="s">
        <v>309</v>
      </c>
      <c r="C712" t="s">
        <v>372</v>
      </c>
      <c r="D712">
        <v>3</v>
      </c>
      <c r="E712" t="s">
        <v>188</v>
      </c>
      <c r="F712" t="s">
        <v>373</v>
      </c>
      <c r="G712">
        <f t="shared" si="33"/>
        <v>0.44313146233382572</v>
      </c>
      <c r="H712">
        <f t="shared" si="34"/>
        <v>0</v>
      </c>
      <c r="I712">
        <v>43.83</v>
      </c>
      <c r="J712">
        <f t="shared" si="35"/>
        <v>99.556868537666176</v>
      </c>
      <c r="K712">
        <v>0.85</v>
      </c>
      <c r="L712">
        <v>0.2</v>
      </c>
      <c r="M712">
        <v>0.7</v>
      </c>
      <c r="N712">
        <v>674</v>
      </c>
      <c r="O712">
        <v>3</v>
      </c>
      <c r="P712">
        <v>0</v>
      </c>
      <c r="Q712">
        <v>0.44</v>
      </c>
      <c r="R712" t="s">
        <v>376</v>
      </c>
      <c r="S712">
        <v>0.01</v>
      </c>
      <c r="U712">
        <v>18</v>
      </c>
    </row>
    <row r="713" spans="1:21" x14ac:dyDescent="0.25">
      <c r="A713" s="2">
        <v>46044.855497685188</v>
      </c>
      <c r="B713" t="s">
        <v>309</v>
      </c>
      <c r="C713" t="s">
        <v>372</v>
      </c>
      <c r="D713">
        <v>3</v>
      </c>
      <c r="E713" t="s">
        <v>189</v>
      </c>
      <c r="F713" t="s">
        <v>373</v>
      </c>
      <c r="G713">
        <f t="shared" si="33"/>
        <v>27.586206896551722</v>
      </c>
      <c r="H713">
        <f t="shared" si="34"/>
        <v>0</v>
      </c>
      <c r="I713">
        <v>43.83</v>
      </c>
      <c r="J713">
        <f t="shared" si="35"/>
        <v>72.41379310344827</v>
      </c>
      <c r="K713">
        <v>0.85</v>
      </c>
      <c r="L713">
        <v>0.2</v>
      </c>
      <c r="M713">
        <v>0.7</v>
      </c>
      <c r="N713">
        <v>462</v>
      </c>
      <c r="O713">
        <v>176</v>
      </c>
      <c r="P713">
        <v>0</v>
      </c>
      <c r="Q713">
        <v>27.59</v>
      </c>
      <c r="R713" t="s">
        <v>375</v>
      </c>
      <c r="S713">
        <v>0.67</v>
      </c>
      <c r="U713">
        <v>72</v>
      </c>
    </row>
    <row r="714" spans="1:21" x14ac:dyDescent="0.25">
      <c r="A714" s="2">
        <v>46044.855810185189</v>
      </c>
      <c r="B714" t="s">
        <v>309</v>
      </c>
      <c r="C714" t="s">
        <v>372</v>
      </c>
      <c r="D714">
        <v>3</v>
      </c>
      <c r="E714" t="s">
        <v>327</v>
      </c>
      <c r="F714" t="s">
        <v>373</v>
      </c>
      <c r="G714">
        <f t="shared" si="33"/>
        <v>37.837837837837839</v>
      </c>
      <c r="H714">
        <f t="shared" si="34"/>
        <v>0.1589825119236884</v>
      </c>
      <c r="I714">
        <v>43.83</v>
      </c>
      <c r="J714">
        <f t="shared" si="35"/>
        <v>62.003179650238472</v>
      </c>
      <c r="K714">
        <v>0.85</v>
      </c>
      <c r="L714">
        <v>0.2</v>
      </c>
      <c r="M714">
        <v>0.7</v>
      </c>
      <c r="N714">
        <v>390</v>
      </c>
      <c r="O714">
        <v>238</v>
      </c>
      <c r="P714">
        <v>1</v>
      </c>
      <c r="Q714">
        <v>38</v>
      </c>
      <c r="R714" t="s">
        <v>379</v>
      </c>
      <c r="S714">
        <v>1.06</v>
      </c>
      <c r="U714">
        <v>67</v>
      </c>
    </row>
    <row r="715" spans="1:21" x14ac:dyDescent="0.25">
      <c r="A715" s="2">
        <v>46044.856157407405</v>
      </c>
      <c r="B715" t="s">
        <v>309</v>
      </c>
      <c r="C715" t="s">
        <v>372</v>
      </c>
      <c r="D715">
        <v>3</v>
      </c>
      <c r="E715" t="s">
        <v>190</v>
      </c>
      <c r="F715" t="s">
        <v>373</v>
      </c>
      <c r="G715">
        <f t="shared" si="33"/>
        <v>13.407821229050279</v>
      </c>
      <c r="H715">
        <f t="shared" si="34"/>
        <v>0.13966480446927373</v>
      </c>
      <c r="I715">
        <v>43.83</v>
      </c>
      <c r="J715">
        <f t="shared" si="35"/>
        <v>86.452513966480453</v>
      </c>
      <c r="K715">
        <v>0.85</v>
      </c>
      <c r="L715">
        <v>0.2</v>
      </c>
      <c r="M715">
        <v>0.7</v>
      </c>
      <c r="N715">
        <v>619</v>
      </c>
      <c r="O715">
        <v>96</v>
      </c>
      <c r="P715">
        <v>1</v>
      </c>
      <c r="Q715">
        <v>13.55</v>
      </c>
      <c r="R715" t="s">
        <v>383</v>
      </c>
      <c r="S715">
        <v>0.38</v>
      </c>
      <c r="U715">
        <v>25</v>
      </c>
    </row>
    <row r="716" spans="1:21" x14ac:dyDescent="0.25">
      <c r="A716" s="2">
        <v>46044.856493055559</v>
      </c>
      <c r="B716" t="s">
        <v>309</v>
      </c>
      <c r="C716" t="s">
        <v>372</v>
      </c>
      <c r="D716">
        <v>3</v>
      </c>
      <c r="E716" t="s">
        <v>193</v>
      </c>
      <c r="F716" t="s">
        <v>373</v>
      </c>
      <c r="G716">
        <f t="shared" si="33"/>
        <v>9.0301003344481607</v>
      </c>
      <c r="H716">
        <f t="shared" si="34"/>
        <v>0</v>
      </c>
      <c r="I716">
        <v>43.83</v>
      </c>
      <c r="J716">
        <f t="shared" si="35"/>
        <v>90.969899665551836</v>
      </c>
      <c r="K716">
        <v>0.85</v>
      </c>
      <c r="L716">
        <v>0.2</v>
      </c>
      <c r="M716">
        <v>0.7</v>
      </c>
      <c r="N716">
        <v>544</v>
      </c>
      <c r="O716">
        <v>54</v>
      </c>
      <c r="P716">
        <v>0</v>
      </c>
      <c r="Q716">
        <v>9.0299999999999994</v>
      </c>
      <c r="R716" t="s">
        <v>380</v>
      </c>
      <c r="S716">
        <v>0.23</v>
      </c>
      <c r="U716">
        <v>46</v>
      </c>
    </row>
    <row r="717" spans="1:21" x14ac:dyDescent="0.25">
      <c r="A717" s="2">
        <v>46044.856817129628</v>
      </c>
      <c r="B717" t="s">
        <v>309</v>
      </c>
      <c r="C717" t="s">
        <v>372</v>
      </c>
      <c r="D717">
        <v>3</v>
      </c>
      <c r="E717" t="s">
        <v>194</v>
      </c>
      <c r="F717" t="s">
        <v>373</v>
      </c>
      <c r="G717">
        <f t="shared" si="33"/>
        <v>39.897260273972599</v>
      </c>
      <c r="H717">
        <f t="shared" si="34"/>
        <v>0.17123287671232876</v>
      </c>
      <c r="I717">
        <v>43.83</v>
      </c>
      <c r="J717">
        <f t="shared" si="35"/>
        <v>59.931506849315063</v>
      </c>
      <c r="K717">
        <v>0.85</v>
      </c>
      <c r="L717">
        <v>0.2</v>
      </c>
      <c r="M717">
        <v>0.7</v>
      </c>
      <c r="N717">
        <v>350</v>
      </c>
      <c r="O717">
        <v>233</v>
      </c>
      <c r="P717">
        <v>1</v>
      </c>
      <c r="Q717">
        <v>40.07</v>
      </c>
      <c r="R717" t="s">
        <v>384</v>
      </c>
      <c r="S717">
        <v>1.04</v>
      </c>
      <c r="U717">
        <v>78</v>
      </c>
    </row>
    <row r="718" spans="1:21" x14ac:dyDescent="0.25">
      <c r="A718" s="2">
        <v>46044.857175925928</v>
      </c>
      <c r="B718" t="s">
        <v>309</v>
      </c>
      <c r="C718" t="s">
        <v>372</v>
      </c>
      <c r="D718">
        <v>3</v>
      </c>
      <c r="E718" t="s">
        <v>197</v>
      </c>
      <c r="F718" t="s">
        <v>373</v>
      </c>
      <c r="G718">
        <f t="shared" si="33"/>
        <v>8.4628670120898093</v>
      </c>
      <c r="H718">
        <f t="shared" si="34"/>
        <v>0.17271157167530224</v>
      </c>
      <c r="I718">
        <v>43.83</v>
      </c>
      <c r="J718">
        <f t="shared" si="35"/>
        <v>91.36442141623489</v>
      </c>
      <c r="K718">
        <v>0.85</v>
      </c>
      <c r="L718">
        <v>0.2</v>
      </c>
      <c r="M718">
        <v>0.7</v>
      </c>
      <c r="N718">
        <v>529</v>
      </c>
      <c r="O718">
        <v>49</v>
      </c>
      <c r="P718">
        <v>1</v>
      </c>
      <c r="Q718">
        <v>8.64</v>
      </c>
      <c r="R718" t="s">
        <v>380</v>
      </c>
      <c r="S718">
        <v>0.22</v>
      </c>
      <c r="U718">
        <v>88</v>
      </c>
    </row>
    <row r="719" spans="1:21" x14ac:dyDescent="0.25">
      <c r="A719" s="2">
        <v>46044.857499999998</v>
      </c>
      <c r="B719" t="s">
        <v>309</v>
      </c>
      <c r="C719" t="s">
        <v>372</v>
      </c>
      <c r="D719">
        <v>3</v>
      </c>
      <c r="E719" t="s">
        <v>198</v>
      </c>
      <c r="F719" t="s">
        <v>373</v>
      </c>
      <c r="G719">
        <f t="shared" si="33"/>
        <v>92.919075144508668</v>
      </c>
      <c r="H719">
        <f t="shared" si="34"/>
        <v>5.6358381502890174</v>
      </c>
      <c r="I719">
        <v>43.83</v>
      </c>
      <c r="J719">
        <f t="shared" si="35"/>
        <v>1.4450867052023122</v>
      </c>
      <c r="K719">
        <v>0.85</v>
      </c>
      <c r="L719">
        <v>0.2</v>
      </c>
      <c r="M719">
        <v>0.7</v>
      </c>
      <c r="N719">
        <v>10</v>
      </c>
      <c r="O719">
        <v>643</v>
      </c>
      <c r="P719">
        <v>39</v>
      </c>
      <c r="Q719">
        <v>98.55</v>
      </c>
      <c r="R719" t="s">
        <v>386</v>
      </c>
      <c r="S719">
        <v>3.16</v>
      </c>
      <c r="U719">
        <v>8</v>
      </c>
    </row>
    <row r="720" spans="1:21" x14ac:dyDescent="0.25">
      <c r="A720" s="2">
        <v>46044.857939814814</v>
      </c>
      <c r="B720" t="s">
        <v>309</v>
      </c>
      <c r="C720" t="s">
        <v>372</v>
      </c>
      <c r="D720">
        <v>3</v>
      </c>
      <c r="E720" t="s">
        <v>200</v>
      </c>
      <c r="F720" t="s">
        <v>373</v>
      </c>
      <c r="G720">
        <f t="shared" si="33"/>
        <v>14.678899082568808</v>
      </c>
      <c r="H720">
        <f t="shared" si="34"/>
        <v>0.1529051987767584</v>
      </c>
      <c r="I720">
        <v>43.83</v>
      </c>
      <c r="J720">
        <f t="shared" si="35"/>
        <v>85.168195718654431</v>
      </c>
      <c r="K720">
        <v>0.85</v>
      </c>
      <c r="L720">
        <v>0.2</v>
      </c>
      <c r="M720">
        <v>0.7</v>
      </c>
      <c r="N720">
        <v>557</v>
      </c>
      <c r="O720">
        <v>96</v>
      </c>
      <c r="P720">
        <v>1</v>
      </c>
      <c r="Q720">
        <v>14.83</v>
      </c>
      <c r="R720" t="s">
        <v>375</v>
      </c>
      <c r="S720">
        <v>0.42</v>
      </c>
      <c r="U720">
        <v>53</v>
      </c>
    </row>
    <row r="721" spans="1:21" x14ac:dyDescent="0.25">
      <c r="A721" s="2">
        <v>46044.858252314814</v>
      </c>
      <c r="B721" t="s">
        <v>309</v>
      </c>
      <c r="C721" t="s">
        <v>372</v>
      </c>
      <c r="D721">
        <v>3</v>
      </c>
      <c r="E721" t="s">
        <v>202</v>
      </c>
      <c r="F721" t="s">
        <v>373</v>
      </c>
      <c r="G721">
        <f t="shared" si="33"/>
        <v>77.64705882352942</v>
      </c>
      <c r="H721">
        <f t="shared" si="34"/>
        <v>4.117647058823529</v>
      </c>
      <c r="I721">
        <v>43.83</v>
      </c>
      <c r="J721">
        <f t="shared" si="35"/>
        <v>18.235294117647058</v>
      </c>
      <c r="K721">
        <v>0.85</v>
      </c>
      <c r="L721">
        <v>0.2</v>
      </c>
      <c r="M721">
        <v>0.7</v>
      </c>
      <c r="N721">
        <v>124</v>
      </c>
      <c r="O721">
        <v>528</v>
      </c>
      <c r="P721">
        <v>28</v>
      </c>
      <c r="Q721">
        <v>81.760000000000005</v>
      </c>
      <c r="R721" t="s">
        <v>387</v>
      </c>
      <c r="S721">
        <v>2.48</v>
      </c>
      <c r="U721">
        <v>38</v>
      </c>
    </row>
    <row r="722" spans="1:21" x14ac:dyDescent="0.25">
      <c r="A722" s="2">
        <v>46044.858680555553</v>
      </c>
      <c r="B722" t="s">
        <v>309</v>
      </c>
      <c r="C722" t="s">
        <v>372</v>
      </c>
      <c r="D722">
        <v>3</v>
      </c>
      <c r="E722" t="s">
        <v>204</v>
      </c>
      <c r="F722" t="s">
        <v>373</v>
      </c>
      <c r="G722">
        <f t="shared" si="33"/>
        <v>1.2750455373406193</v>
      </c>
      <c r="H722">
        <f t="shared" si="34"/>
        <v>0</v>
      </c>
      <c r="I722">
        <v>43.83</v>
      </c>
      <c r="J722">
        <f t="shared" si="35"/>
        <v>98.724954462659369</v>
      </c>
      <c r="K722">
        <v>0.85</v>
      </c>
      <c r="L722">
        <v>0.2</v>
      </c>
      <c r="M722">
        <v>0.7</v>
      </c>
      <c r="N722">
        <v>542</v>
      </c>
      <c r="O722">
        <v>7</v>
      </c>
      <c r="P722">
        <v>0</v>
      </c>
      <c r="Q722">
        <v>1.28</v>
      </c>
      <c r="R722" t="s">
        <v>371</v>
      </c>
      <c r="S722">
        <v>0.03</v>
      </c>
      <c r="U722">
        <v>19</v>
      </c>
    </row>
    <row r="723" spans="1:21" x14ac:dyDescent="0.25">
      <c r="A723" s="2">
        <v>46044.858958333331</v>
      </c>
      <c r="B723" t="s">
        <v>309</v>
      </c>
      <c r="C723" t="s">
        <v>372</v>
      </c>
      <c r="D723">
        <v>3</v>
      </c>
      <c r="E723" t="s">
        <v>207</v>
      </c>
      <c r="F723" t="s">
        <v>373</v>
      </c>
      <c r="G723">
        <f t="shared" si="33"/>
        <v>6.7590987868284227</v>
      </c>
      <c r="H723">
        <f t="shared" si="34"/>
        <v>0</v>
      </c>
      <c r="I723">
        <v>43.83</v>
      </c>
      <c r="J723">
        <f t="shared" si="35"/>
        <v>93.240901213171583</v>
      </c>
      <c r="K723">
        <v>0.85</v>
      </c>
      <c r="L723">
        <v>0.2</v>
      </c>
      <c r="M723">
        <v>0.7</v>
      </c>
      <c r="N723">
        <v>538</v>
      </c>
      <c r="O723">
        <v>39</v>
      </c>
      <c r="P723">
        <v>0</v>
      </c>
      <c r="Q723">
        <v>6.76</v>
      </c>
      <c r="R723" t="s">
        <v>380</v>
      </c>
      <c r="S723">
        <v>0.18</v>
      </c>
      <c r="U723">
        <v>59</v>
      </c>
    </row>
    <row r="724" spans="1:21" x14ac:dyDescent="0.25">
      <c r="A724" s="2">
        <v>46044.859270833331</v>
      </c>
      <c r="B724" t="s">
        <v>309</v>
      </c>
      <c r="C724" t="s">
        <v>372</v>
      </c>
      <c r="D724">
        <v>3</v>
      </c>
      <c r="E724" t="s">
        <v>211</v>
      </c>
      <c r="F724" t="s">
        <v>373</v>
      </c>
      <c r="G724">
        <f t="shared" si="33"/>
        <v>2.2491349480968861</v>
      </c>
      <c r="H724">
        <f t="shared" si="34"/>
        <v>0</v>
      </c>
      <c r="I724">
        <v>43.83</v>
      </c>
      <c r="J724">
        <f t="shared" si="35"/>
        <v>97.750865051903119</v>
      </c>
      <c r="K724">
        <v>0.85</v>
      </c>
      <c r="L724">
        <v>0.2</v>
      </c>
      <c r="M724">
        <v>0.7</v>
      </c>
      <c r="N724">
        <v>565</v>
      </c>
      <c r="O724">
        <v>13</v>
      </c>
      <c r="P724">
        <v>0</v>
      </c>
      <c r="Q724">
        <v>2.25</v>
      </c>
      <c r="R724" t="s">
        <v>377</v>
      </c>
      <c r="S724">
        <v>0.06</v>
      </c>
      <c r="U724">
        <v>58</v>
      </c>
    </row>
    <row r="725" spans="1:21" x14ac:dyDescent="0.25">
      <c r="A725" s="2">
        <v>46044.859560185185</v>
      </c>
      <c r="B725" t="s">
        <v>309</v>
      </c>
      <c r="C725" t="s">
        <v>372</v>
      </c>
      <c r="D725">
        <v>3</v>
      </c>
      <c r="E725" t="s">
        <v>212</v>
      </c>
      <c r="F725" t="s">
        <v>373</v>
      </c>
      <c r="G725">
        <f t="shared" si="33"/>
        <v>42.546583850931682</v>
      </c>
      <c r="H725">
        <f t="shared" si="34"/>
        <v>1.0869565217391304</v>
      </c>
      <c r="I725">
        <v>43.83</v>
      </c>
      <c r="J725">
        <f t="shared" si="35"/>
        <v>56.366459627329192</v>
      </c>
      <c r="K725">
        <v>0.85</v>
      </c>
      <c r="L725">
        <v>0.2</v>
      </c>
      <c r="M725">
        <v>0.7</v>
      </c>
      <c r="N725">
        <v>363</v>
      </c>
      <c r="O725">
        <v>274</v>
      </c>
      <c r="P725">
        <v>7</v>
      </c>
      <c r="Q725">
        <v>43.63</v>
      </c>
      <c r="R725" t="s">
        <v>295</v>
      </c>
      <c r="S725">
        <v>1.17</v>
      </c>
      <c r="U725">
        <v>49</v>
      </c>
    </row>
    <row r="726" spans="1:21" x14ac:dyDescent="0.25">
      <c r="A726" s="2">
        <v>46045.843263888892</v>
      </c>
      <c r="B726" t="s">
        <v>309</v>
      </c>
      <c r="C726" t="s">
        <v>372</v>
      </c>
      <c r="D726">
        <v>3</v>
      </c>
      <c r="E726" t="s">
        <v>33</v>
      </c>
      <c r="F726" t="s">
        <v>388</v>
      </c>
      <c r="G726">
        <f t="shared" si="33"/>
        <v>18.995290423861853</v>
      </c>
      <c r="H726">
        <f t="shared" si="34"/>
        <v>12.558869701726843</v>
      </c>
      <c r="I726">
        <v>43.83</v>
      </c>
      <c r="J726">
        <f t="shared" si="35"/>
        <v>68.445839874411305</v>
      </c>
      <c r="K726">
        <v>0.8</v>
      </c>
      <c r="L726">
        <v>0.1</v>
      </c>
      <c r="M726">
        <v>0.7</v>
      </c>
      <c r="N726">
        <v>436</v>
      </c>
      <c r="O726">
        <v>121</v>
      </c>
      <c r="P726">
        <v>80</v>
      </c>
      <c r="Q726">
        <v>31.55</v>
      </c>
      <c r="R726" t="s">
        <v>390</v>
      </c>
      <c r="S726">
        <v>0.84</v>
      </c>
      <c r="U726">
        <v>87</v>
      </c>
    </row>
    <row r="727" spans="1:21" x14ac:dyDescent="0.25">
      <c r="A727" s="2">
        <v>46045.843634259261</v>
      </c>
      <c r="B727" t="s">
        <v>309</v>
      </c>
      <c r="C727" t="s">
        <v>372</v>
      </c>
      <c r="D727">
        <v>3</v>
      </c>
      <c r="E727" t="s">
        <v>48</v>
      </c>
      <c r="F727" t="s">
        <v>388</v>
      </c>
      <c r="G727">
        <f t="shared" si="33"/>
        <v>0.1392757660167131</v>
      </c>
      <c r="H727">
        <f t="shared" si="34"/>
        <v>0.1392757660167131</v>
      </c>
      <c r="I727">
        <v>43.83</v>
      </c>
      <c r="J727">
        <f t="shared" si="35"/>
        <v>99.721448467966582</v>
      </c>
      <c r="K727">
        <v>0.8</v>
      </c>
      <c r="L727">
        <v>0.1</v>
      </c>
      <c r="M727">
        <v>0.7</v>
      </c>
      <c r="N727">
        <v>716</v>
      </c>
      <c r="O727">
        <v>1</v>
      </c>
      <c r="P727">
        <v>1</v>
      </c>
      <c r="Q727">
        <v>0.28000000000000003</v>
      </c>
      <c r="R727" t="s">
        <v>375</v>
      </c>
      <c r="S727">
        <v>0.01</v>
      </c>
      <c r="U727">
        <v>18</v>
      </c>
    </row>
    <row r="728" spans="1:21" x14ac:dyDescent="0.25">
      <c r="A728" s="2">
        <v>46045.843946759262</v>
      </c>
      <c r="B728" t="s">
        <v>309</v>
      </c>
      <c r="C728" t="s">
        <v>372</v>
      </c>
      <c r="D728">
        <v>3</v>
      </c>
      <c r="E728" t="s">
        <v>58</v>
      </c>
      <c r="F728" t="s">
        <v>388</v>
      </c>
      <c r="G728">
        <f t="shared" si="33"/>
        <v>24.342105263157894</v>
      </c>
      <c r="H728">
        <f t="shared" si="34"/>
        <v>0.3289473684210526</v>
      </c>
      <c r="I728">
        <v>43.83</v>
      </c>
      <c r="J728">
        <f t="shared" si="35"/>
        <v>75.328947368421055</v>
      </c>
      <c r="K728">
        <v>0.8</v>
      </c>
      <c r="L728">
        <v>0.1</v>
      </c>
      <c r="M728">
        <v>0.7</v>
      </c>
      <c r="N728">
        <v>458</v>
      </c>
      <c r="O728">
        <v>148</v>
      </c>
      <c r="P728">
        <v>2</v>
      </c>
      <c r="Q728">
        <v>24.67</v>
      </c>
      <c r="R728" t="s">
        <v>382</v>
      </c>
      <c r="S728">
        <v>0.62</v>
      </c>
      <c r="U728">
        <v>69</v>
      </c>
    </row>
    <row r="729" spans="1:21" x14ac:dyDescent="0.25">
      <c r="A729" s="2">
        <v>46045.844293981485</v>
      </c>
      <c r="B729" t="s">
        <v>309</v>
      </c>
      <c r="C729" t="s">
        <v>372</v>
      </c>
      <c r="D729">
        <v>3</v>
      </c>
      <c r="E729" t="s">
        <v>73</v>
      </c>
      <c r="F729" t="s">
        <v>388</v>
      </c>
      <c r="G729">
        <f t="shared" si="33"/>
        <v>2.3064250411861615</v>
      </c>
      <c r="H729">
        <f t="shared" si="34"/>
        <v>0.32948929159802309</v>
      </c>
      <c r="I729">
        <v>43.83</v>
      </c>
      <c r="J729">
        <f t="shared" si="35"/>
        <v>97.364085667215818</v>
      </c>
      <c r="K729">
        <v>0.8</v>
      </c>
      <c r="L729">
        <v>0.1</v>
      </c>
      <c r="M729">
        <v>0.7</v>
      </c>
      <c r="N729">
        <v>591</v>
      </c>
      <c r="O729">
        <v>14</v>
      </c>
      <c r="P729">
        <v>2</v>
      </c>
      <c r="Q729">
        <v>2.64</v>
      </c>
      <c r="R729" t="s">
        <v>375</v>
      </c>
      <c r="S729">
        <v>7.0000000000000007E-2</v>
      </c>
      <c r="U729">
        <v>60</v>
      </c>
    </row>
    <row r="730" spans="1:21" x14ac:dyDescent="0.25">
      <c r="A730" s="2">
        <v>46045.844594907408</v>
      </c>
      <c r="B730" t="s">
        <v>309</v>
      </c>
      <c r="C730" t="s">
        <v>372</v>
      </c>
      <c r="D730">
        <v>3</v>
      </c>
      <c r="E730" t="s">
        <v>80</v>
      </c>
      <c r="F730" t="s">
        <v>388</v>
      </c>
      <c r="G730">
        <f t="shared" si="33"/>
        <v>9.3939393939393927</v>
      </c>
      <c r="H730">
        <f t="shared" si="34"/>
        <v>4.8484848484848486</v>
      </c>
      <c r="I730">
        <v>43.83</v>
      </c>
      <c r="J730">
        <f t="shared" si="35"/>
        <v>85.757575757575751</v>
      </c>
      <c r="K730">
        <v>0.8</v>
      </c>
      <c r="L730">
        <v>0.1</v>
      </c>
      <c r="M730">
        <v>0.7</v>
      </c>
      <c r="N730">
        <v>566</v>
      </c>
      <c r="O730">
        <v>62</v>
      </c>
      <c r="P730">
        <v>32</v>
      </c>
      <c r="Q730">
        <v>14.24</v>
      </c>
      <c r="R730" t="s">
        <v>383</v>
      </c>
      <c r="S730">
        <v>0.41</v>
      </c>
      <c r="U730">
        <v>28</v>
      </c>
    </row>
    <row r="731" spans="1:21" x14ac:dyDescent="0.25">
      <c r="A731" s="2">
        <v>46045.844930555555</v>
      </c>
      <c r="B731" t="s">
        <v>309</v>
      </c>
      <c r="C731" t="s">
        <v>372</v>
      </c>
      <c r="D731">
        <v>3</v>
      </c>
      <c r="E731" t="s">
        <v>93</v>
      </c>
      <c r="F731" t="s">
        <v>388</v>
      </c>
      <c r="G731">
        <f t="shared" si="33"/>
        <v>6.666666666666667</v>
      </c>
      <c r="H731">
        <f t="shared" si="34"/>
        <v>0</v>
      </c>
      <c r="I731">
        <v>43.83</v>
      </c>
      <c r="J731">
        <f t="shared" si="35"/>
        <v>93.333333333333329</v>
      </c>
      <c r="K731">
        <v>0.8</v>
      </c>
      <c r="L731">
        <v>0.1</v>
      </c>
      <c r="M731">
        <v>0.7</v>
      </c>
      <c r="N731">
        <v>518</v>
      </c>
      <c r="O731">
        <v>37</v>
      </c>
      <c r="P731">
        <v>0</v>
      </c>
      <c r="Q731">
        <v>6.67</v>
      </c>
      <c r="R731" t="s">
        <v>375</v>
      </c>
      <c r="S731">
        <v>0.15</v>
      </c>
      <c r="U731">
        <v>60</v>
      </c>
    </row>
    <row r="732" spans="1:21" x14ac:dyDescent="0.25">
      <c r="A732" s="2">
        <v>46045.845231481479</v>
      </c>
      <c r="B732" t="s">
        <v>309</v>
      </c>
      <c r="C732" t="s">
        <v>372</v>
      </c>
      <c r="D732">
        <v>3</v>
      </c>
      <c r="E732" t="s">
        <v>102</v>
      </c>
      <c r="F732" t="s">
        <v>388</v>
      </c>
      <c r="G732">
        <f t="shared" si="33"/>
        <v>31.04</v>
      </c>
      <c r="H732">
        <f t="shared" si="34"/>
        <v>20.32</v>
      </c>
      <c r="I732">
        <v>43.83</v>
      </c>
      <c r="J732">
        <f t="shared" si="35"/>
        <v>48.64</v>
      </c>
      <c r="K732">
        <v>0.8</v>
      </c>
      <c r="L732">
        <v>0.1</v>
      </c>
      <c r="M732">
        <v>0.7</v>
      </c>
      <c r="N732">
        <v>304</v>
      </c>
      <c r="O732">
        <v>194</v>
      </c>
      <c r="P732">
        <v>127</v>
      </c>
      <c r="Q732">
        <v>51.36</v>
      </c>
      <c r="R732" t="s">
        <v>295</v>
      </c>
      <c r="S732">
        <v>1.45</v>
      </c>
      <c r="U732">
        <v>40</v>
      </c>
    </row>
    <row r="733" spans="1:21" x14ac:dyDescent="0.25">
      <c r="A733" s="2">
        <v>46045.845625000002</v>
      </c>
      <c r="B733" t="s">
        <v>309</v>
      </c>
      <c r="C733" t="s">
        <v>372</v>
      </c>
      <c r="D733">
        <v>3</v>
      </c>
      <c r="E733" t="s">
        <v>111</v>
      </c>
      <c r="F733" t="s">
        <v>388</v>
      </c>
      <c r="G733">
        <f t="shared" si="33"/>
        <v>40.28662420382166</v>
      </c>
      <c r="H733">
        <f t="shared" si="34"/>
        <v>18.630573248407643</v>
      </c>
      <c r="I733">
        <v>43.83</v>
      </c>
      <c r="J733">
        <f t="shared" si="35"/>
        <v>41.082802547770704</v>
      </c>
      <c r="K733">
        <v>0.8</v>
      </c>
      <c r="L733">
        <v>0.1</v>
      </c>
      <c r="M733">
        <v>0.7</v>
      </c>
      <c r="N733">
        <v>258</v>
      </c>
      <c r="O733">
        <v>253</v>
      </c>
      <c r="P733">
        <v>117</v>
      </c>
      <c r="Q733">
        <v>58.92</v>
      </c>
      <c r="R733" t="s">
        <v>392</v>
      </c>
      <c r="S733">
        <v>1.52</v>
      </c>
      <c r="U733">
        <v>90</v>
      </c>
    </row>
    <row r="734" spans="1:21" x14ac:dyDescent="0.25">
      <c r="A734" s="2">
        <v>46045.846041666664</v>
      </c>
      <c r="B734" t="s">
        <v>309</v>
      </c>
      <c r="C734" t="s">
        <v>372</v>
      </c>
      <c r="D734">
        <v>3</v>
      </c>
      <c r="E734" t="s">
        <v>121</v>
      </c>
      <c r="F734" t="s">
        <v>388</v>
      </c>
      <c r="G734">
        <f t="shared" si="33"/>
        <v>30.626057529610829</v>
      </c>
      <c r="H734">
        <f t="shared" si="34"/>
        <v>15.059221658206429</v>
      </c>
      <c r="I734">
        <v>43.83</v>
      </c>
      <c r="J734">
        <f t="shared" si="35"/>
        <v>54.314720812182735</v>
      </c>
      <c r="K734">
        <v>0.8</v>
      </c>
      <c r="L734">
        <v>0.1</v>
      </c>
      <c r="M734">
        <v>0.7</v>
      </c>
      <c r="N734">
        <v>321</v>
      </c>
      <c r="O734">
        <v>181</v>
      </c>
      <c r="P734">
        <v>89</v>
      </c>
      <c r="Q734">
        <v>45.69</v>
      </c>
      <c r="R734" t="s">
        <v>390</v>
      </c>
      <c r="S734">
        <v>1.26</v>
      </c>
      <c r="U734">
        <v>36</v>
      </c>
    </row>
    <row r="735" spans="1:21" x14ac:dyDescent="0.25">
      <c r="A735" s="2">
        <v>46045.846412037034</v>
      </c>
      <c r="B735" t="s">
        <v>309</v>
      </c>
      <c r="C735" t="s">
        <v>372</v>
      </c>
      <c r="D735">
        <v>3</v>
      </c>
      <c r="E735" t="s">
        <v>151</v>
      </c>
      <c r="F735" t="s">
        <v>388</v>
      </c>
      <c r="G735">
        <f t="shared" si="33"/>
        <v>27.551020408163261</v>
      </c>
      <c r="H735">
        <f t="shared" si="34"/>
        <v>56.705539358600589</v>
      </c>
      <c r="I735">
        <v>43.83</v>
      </c>
      <c r="J735">
        <f t="shared" si="35"/>
        <v>15.743440233236154</v>
      </c>
      <c r="K735">
        <v>0.8</v>
      </c>
      <c r="L735">
        <v>0.1</v>
      </c>
      <c r="M735">
        <v>0.7</v>
      </c>
      <c r="N735">
        <v>108</v>
      </c>
      <c r="O735">
        <v>189</v>
      </c>
      <c r="P735">
        <v>389</v>
      </c>
      <c r="Q735">
        <v>84.26</v>
      </c>
      <c r="R735" t="s">
        <v>394</v>
      </c>
      <c r="S735">
        <v>2.34</v>
      </c>
      <c r="U735">
        <v>29</v>
      </c>
    </row>
    <row r="736" spans="1:21" x14ac:dyDescent="0.25">
      <c r="A736" s="2">
        <v>46045.846886574072</v>
      </c>
      <c r="B736" t="s">
        <v>309</v>
      </c>
      <c r="C736" t="s">
        <v>372</v>
      </c>
      <c r="D736">
        <v>3</v>
      </c>
      <c r="E736" t="s">
        <v>160</v>
      </c>
      <c r="F736" t="s">
        <v>388</v>
      </c>
      <c r="G736">
        <f t="shared" si="33"/>
        <v>6.5335753176043552</v>
      </c>
      <c r="H736">
        <f t="shared" si="34"/>
        <v>0.18148820326678766</v>
      </c>
      <c r="I736">
        <v>43.83</v>
      </c>
      <c r="J736">
        <f t="shared" si="35"/>
        <v>93.284936479128859</v>
      </c>
      <c r="K736">
        <v>0.8</v>
      </c>
      <c r="L736">
        <v>0.1</v>
      </c>
      <c r="M736">
        <v>0.7</v>
      </c>
      <c r="N736">
        <v>514</v>
      </c>
      <c r="O736">
        <v>36</v>
      </c>
      <c r="P736">
        <v>1</v>
      </c>
      <c r="Q736">
        <v>6.72</v>
      </c>
      <c r="R736" t="s">
        <v>376</v>
      </c>
      <c r="S736">
        <v>0.17</v>
      </c>
      <c r="U736">
        <v>21</v>
      </c>
    </row>
    <row r="737" spans="1:21" x14ac:dyDescent="0.25">
      <c r="A737" s="2">
        <v>46045.847175925926</v>
      </c>
      <c r="B737" t="s">
        <v>309</v>
      </c>
      <c r="C737" t="s">
        <v>372</v>
      </c>
      <c r="D737">
        <v>3</v>
      </c>
      <c r="E737" t="s">
        <v>326</v>
      </c>
      <c r="F737" t="s">
        <v>388</v>
      </c>
      <c r="G737">
        <f t="shared" si="33"/>
        <v>6.0653188180404358</v>
      </c>
      <c r="H737">
        <f t="shared" si="34"/>
        <v>0.46656298600311047</v>
      </c>
      <c r="I737">
        <v>43.83</v>
      </c>
      <c r="J737">
        <f t="shared" si="35"/>
        <v>93.46811819595645</v>
      </c>
      <c r="K737">
        <v>0.8</v>
      </c>
      <c r="L737">
        <v>0.1</v>
      </c>
      <c r="M737">
        <v>0.7</v>
      </c>
      <c r="N737">
        <v>601</v>
      </c>
      <c r="O737">
        <v>39</v>
      </c>
      <c r="P737">
        <v>3</v>
      </c>
      <c r="Q737">
        <v>6.53</v>
      </c>
      <c r="R737" t="s">
        <v>383</v>
      </c>
      <c r="S737">
        <v>0.17</v>
      </c>
      <c r="U737">
        <v>80</v>
      </c>
    </row>
    <row r="738" spans="1:21" x14ac:dyDescent="0.25">
      <c r="A738" s="2">
        <v>46045.847511574073</v>
      </c>
      <c r="B738" t="s">
        <v>309</v>
      </c>
      <c r="C738" t="s">
        <v>372</v>
      </c>
      <c r="D738">
        <v>3</v>
      </c>
      <c r="E738" t="s">
        <v>183</v>
      </c>
      <c r="F738" t="s">
        <v>388</v>
      </c>
      <c r="G738">
        <f t="shared" si="33"/>
        <v>4.6391752577319592</v>
      </c>
      <c r="H738">
        <f t="shared" si="34"/>
        <v>0</v>
      </c>
      <c r="I738">
        <v>43.83</v>
      </c>
      <c r="J738">
        <f t="shared" si="35"/>
        <v>95.360824742268051</v>
      </c>
      <c r="K738">
        <v>0.8</v>
      </c>
      <c r="L738">
        <v>0.1</v>
      </c>
      <c r="M738">
        <v>0.7</v>
      </c>
      <c r="N738">
        <v>555</v>
      </c>
      <c r="O738">
        <v>27</v>
      </c>
      <c r="P738">
        <v>0</v>
      </c>
      <c r="Q738">
        <v>4.6399999999999997</v>
      </c>
      <c r="R738" t="s">
        <v>375</v>
      </c>
      <c r="S738">
        <v>0.11</v>
      </c>
      <c r="U738">
        <v>71</v>
      </c>
    </row>
    <row r="739" spans="1:21" x14ac:dyDescent="0.25">
      <c r="A739" s="2">
        <v>46045.847824074073</v>
      </c>
      <c r="B739" t="s">
        <v>309</v>
      </c>
      <c r="C739" t="s">
        <v>372</v>
      </c>
      <c r="D739">
        <v>3</v>
      </c>
      <c r="E739" t="s">
        <v>192</v>
      </c>
      <c r="F739" t="s">
        <v>388</v>
      </c>
      <c r="G739">
        <f t="shared" si="33"/>
        <v>54.707792207792203</v>
      </c>
      <c r="H739">
        <f t="shared" si="34"/>
        <v>24.188311688311689</v>
      </c>
      <c r="I739">
        <v>43.83</v>
      </c>
      <c r="J739">
        <f t="shared" si="35"/>
        <v>21.103896103896101</v>
      </c>
      <c r="K739">
        <v>0.8</v>
      </c>
      <c r="L739">
        <v>0.1</v>
      </c>
      <c r="M739">
        <v>0.7</v>
      </c>
      <c r="N739">
        <v>130</v>
      </c>
      <c r="O739">
        <v>337</v>
      </c>
      <c r="P739">
        <v>149</v>
      </c>
      <c r="Q739">
        <v>78.900000000000006</v>
      </c>
      <c r="R739" t="s">
        <v>385</v>
      </c>
      <c r="S739">
        <v>2.25</v>
      </c>
      <c r="U739">
        <v>33</v>
      </c>
    </row>
    <row r="740" spans="1:21" x14ac:dyDescent="0.25">
      <c r="A740" s="2">
        <v>46045.848252314812</v>
      </c>
      <c r="B740" t="s">
        <v>309</v>
      </c>
      <c r="C740" t="s">
        <v>372</v>
      </c>
      <c r="D740">
        <v>3</v>
      </c>
      <c r="E740" t="s">
        <v>205</v>
      </c>
      <c r="F740" t="s">
        <v>388</v>
      </c>
      <c r="G740">
        <f t="shared" si="33"/>
        <v>55.322580645161288</v>
      </c>
      <c r="H740">
        <f t="shared" si="34"/>
        <v>25.483870967741932</v>
      </c>
      <c r="I740">
        <v>43.83</v>
      </c>
      <c r="J740">
        <f t="shared" si="35"/>
        <v>19.193548387096772</v>
      </c>
      <c r="K740">
        <v>0.8</v>
      </c>
      <c r="L740">
        <v>0.1</v>
      </c>
      <c r="M740">
        <v>0.7</v>
      </c>
      <c r="N740">
        <v>119</v>
      </c>
      <c r="O740">
        <v>343</v>
      </c>
      <c r="P740">
        <v>158</v>
      </c>
      <c r="Q740">
        <v>80.81</v>
      </c>
      <c r="R740" t="s">
        <v>386</v>
      </c>
      <c r="S740">
        <v>2.33</v>
      </c>
      <c r="U740">
        <v>34</v>
      </c>
    </row>
    <row r="741" spans="1:21" x14ac:dyDescent="0.25">
      <c r="A741" s="2">
        <v>46045.8437037037</v>
      </c>
      <c r="B741" t="s">
        <v>309</v>
      </c>
      <c r="C741" t="s">
        <v>372</v>
      </c>
      <c r="D741">
        <v>3</v>
      </c>
      <c r="E741" t="s">
        <v>33</v>
      </c>
      <c r="F741" t="s">
        <v>388</v>
      </c>
      <c r="G741">
        <f t="shared" si="33"/>
        <v>18.995290423861853</v>
      </c>
      <c r="H741">
        <f t="shared" si="34"/>
        <v>12.558869701726843</v>
      </c>
      <c r="I741">
        <v>43.83</v>
      </c>
      <c r="J741">
        <f t="shared" si="35"/>
        <v>68.445839874411305</v>
      </c>
      <c r="K741">
        <v>0.8</v>
      </c>
      <c r="L741">
        <v>0.1</v>
      </c>
      <c r="M741">
        <v>0.7</v>
      </c>
      <c r="N741">
        <v>436</v>
      </c>
      <c r="O741">
        <v>121</v>
      </c>
      <c r="P741">
        <v>80</v>
      </c>
      <c r="Q741">
        <v>31.55</v>
      </c>
      <c r="R741" t="s">
        <v>384</v>
      </c>
      <c r="S741">
        <v>0.84</v>
      </c>
      <c r="U741">
        <v>87</v>
      </c>
    </row>
    <row r="742" spans="1:21" x14ac:dyDescent="0.25">
      <c r="A742" s="2">
        <v>46045.8440625</v>
      </c>
      <c r="B742" t="s">
        <v>309</v>
      </c>
      <c r="C742" t="s">
        <v>372</v>
      </c>
      <c r="D742">
        <v>3</v>
      </c>
      <c r="E742" t="s">
        <v>48</v>
      </c>
      <c r="F742" t="s">
        <v>388</v>
      </c>
      <c r="G742">
        <f t="shared" si="33"/>
        <v>0.1392757660167131</v>
      </c>
      <c r="H742">
        <f t="shared" si="34"/>
        <v>0.1392757660167131</v>
      </c>
      <c r="I742">
        <v>43.83</v>
      </c>
      <c r="J742">
        <f t="shared" si="35"/>
        <v>99.721448467966582</v>
      </c>
      <c r="K742">
        <v>0.8</v>
      </c>
      <c r="L742">
        <v>0.1</v>
      </c>
      <c r="M742">
        <v>0.7</v>
      </c>
      <c r="N742">
        <v>716</v>
      </c>
      <c r="O742">
        <v>1</v>
      </c>
      <c r="P742">
        <v>1</v>
      </c>
      <c r="Q742">
        <v>0.28000000000000003</v>
      </c>
      <c r="R742" t="s">
        <v>380</v>
      </c>
      <c r="S742">
        <v>0.01</v>
      </c>
      <c r="U742">
        <v>18</v>
      </c>
    </row>
    <row r="743" spans="1:21" x14ac:dyDescent="0.25">
      <c r="A743" s="2">
        <v>46045.844386574077</v>
      </c>
      <c r="B743" t="s">
        <v>309</v>
      </c>
      <c r="C743" t="s">
        <v>372</v>
      </c>
      <c r="D743">
        <v>3</v>
      </c>
      <c r="E743" t="s">
        <v>58</v>
      </c>
      <c r="F743" t="s">
        <v>388</v>
      </c>
      <c r="G743">
        <f t="shared" si="33"/>
        <v>24.342105263157894</v>
      </c>
      <c r="H743">
        <f t="shared" si="34"/>
        <v>0.3289473684210526</v>
      </c>
      <c r="I743">
        <v>43.83</v>
      </c>
      <c r="J743">
        <f t="shared" si="35"/>
        <v>75.328947368421055</v>
      </c>
      <c r="K743">
        <v>0.8</v>
      </c>
      <c r="L743">
        <v>0.1</v>
      </c>
      <c r="M743">
        <v>0.7</v>
      </c>
      <c r="N743">
        <v>458</v>
      </c>
      <c r="O743">
        <v>148</v>
      </c>
      <c r="P743">
        <v>2</v>
      </c>
      <c r="Q743">
        <v>24.67</v>
      </c>
      <c r="R743" t="s">
        <v>382</v>
      </c>
      <c r="S743">
        <v>0.62</v>
      </c>
      <c r="U743">
        <v>69</v>
      </c>
    </row>
    <row r="744" spans="1:21" x14ac:dyDescent="0.25">
      <c r="A744" s="2">
        <v>46045.844722222224</v>
      </c>
      <c r="B744" t="s">
        <v>309</v>
      </c>
      <c r="C744" t="s">
        <v>372</v>
      </c>
      <c r="D744">
        <v>3</v>
      </c>
      <c r="E744" t="s">
        <v>73</v>
      </c>
      <c r="F744" t="s">
        <v>388</v>
      </c>
      <c r="G744">
        <f t="shared" si="33"/>
        <v>2.3064250411861615</v>
      </c>
      <c r="H744">
        <f t="shared" si="34"/>
        <v>0.32948929159802309</v>
      </c>
      <c r="I744">
        <v>43.83</v>
      </c>
      <c r="J744">
        <f t="shared" si="35"/>
        <v>97.364085667215818</v>
      </c>
      <c r="K744">
        <v>0.8</v>
      </c>
      <c r="L744">
        <v>0.1</v>
      </c>
      <c r="M744">
        <v>0.7</v>
      </c>
      <c r="N744">
        <v>591</v>
      </c>
      <c r="O744">
        <v>14</v>
      </c>
      <c r="P744">
        <v>2</v>
      </c>
      <c r="Q744">
        <v>2.64</v>
      </c>
      <c r="R744" t="s">
        <v>375</v>
      </c>
      <c r="S744">
        <v>7.0000000000000007E-2</v>
      </c>
      <c r="U744">
        <v>60</v>
      </c>
    </row>
    <row r="745" spans="1:21" x14ac:dyDescent="0.25">
      <c r="A745" s="2">
        <v>46045.845034722224</v>
      </c>
      <c r="B745" t="s">
        <v>309</v>
      </c>
      <c r="C745" t="s">
        <v>372</v>
      </c>
      <c r="D745">
        <v>3</v>
      </c>
      <c r="E745" t="s">
        <v>80</v>
      </c>
      <c r="F745" t="s">
        <v>388</v>
      </c>
      <c r="G745">
        <f t="shared" si="33"/>
        <v>9.3939393939393927</v>
      </c>
      <c r="H745">
        <f t="shared" si="34"/>
        <v>4.8484848484848486</v>
      </c>
      <c r="I745">
        <v>43.83</v>
      </c>
      <c r="J745">
        <f t="shared" si="35"/>
        <v>85.757575757575751</v>
      </c>
      <c r="K745">
        <v>0.8</v>
      </c>
      <c r="L745">
        <v>0.1</v>
      </c>
      <c r="M745">
        <v>0.7</v>
      </c>
      <c r="N745">
        <v>566</v>
      </c>
      <c r="O745">
        <v>62</v>
      </c>
      <c r="P745">
        <v>32</v>
      </c>
      <c r="Q745">
        <v>14.24</v>
      </c>
      <c r="R745" t="s">
        <v>383</v>
      </c>
      <c r="S745">
        <v>0.41</v>
      </c>
      <c r="U745">
        <v>28</v>
      </c>
    </row>
    <row r="746" spans="1:21" x14ac:dyDescent="0.25">
      <c r="A746" s="2">
        <v>46045.845370370371</v>
      </c>
      <c r="B746" t="s">
        <v>309</v>
      </c>
      <c r="C746" t="s">
        <v>372</v>
      </c>
      <c r="D746">
        <v>3</v>
      </c>
      <c r="E746" t="s">
        <v>93</v>
      </c>
      <c r="F746" t="s">
        <v>388</v>
      </c>
      <c r="G746">
        <f t="shared" si="33"/>
        <v>6.666666666666667</v>
      </c>
      <c r="H746">
        <f t="shared" si="34"/>
        <v>0</v>
      </c>
      <c r="I746">
        <v>43.83</v>
      </c>
      <c r="J746">
        <f t="shared" si="35"/>
        <v>93.333333333333329</v>
      </c>
      <c r="K746">
        <v>0.8</v>
      </c>
      <c r="L746">
        <v>0.1</v>
      </c>
      <c r="M746">
        <v>0.7</v>
      </c>
      <c r="N746">
        <v>518</v>
      </c>
      <c r="O746">
        <v>37</v>
      </c>
      <c r="P746">
        <v>0</v>
      </c>
      <c r="Q746">
        <v>6.67</v>
      </c>
      <c r="R746" t="s">
        <v>380</v>
      </c>
      <c r="S746">
        <v>0.15</v>
      </c>
      <c r="U746">
        <v>60</v>
      </c>
    </row>
    <row r="747" spans="1:21" x14ac:dyDescent="0.25">
      <c r="A747" s="2">
        <v>46045.845682870371</v>
      </c>
      <c r="B747" t="s">
        <v>309</v>
      </c>
      <c r="C747" t="s">
        <v>372</v>
      </c>
      <c r="D747">
        <v>3</v>
      </c>
      <c r="E747" t="s">
        <v>102</v>
      </c>
      <c r="F747" t="s">
        <v>388</v>
      </c>
      <c r="G747">
        <f t="shared" si="33"/>
        <v>31.2</v>
      </c>
      <c r="H747">
        <f t="shared" si="34"/>
        <v>20.16</v>
      </c>
      <c r="I747">
        <v>43.83</v>
      </c>
      <c r="J747">
        <f t="shared" si="35"/>
        <v>48.64</v>
      </c>
      <c r="K747">
        <v>0.8</v>
      </c>
      <c r="L747">
        <v>0.1</v>
      </c>
      <c r="M747">
        <v>0.7</v>
      </c>
      <c r="N747">
        <v>304</v>
      </c>
      <c r="O747">
        <v>195</v>
      </c>
      <c r="P747">
        <v>126</v>
      </c>
      <c r="Q747">
        <v>51.36</v>
      </c>
      <c r="R747" t="s">
        <v>378</v>
      </c>
      <c r="S747">
        <v>1.46</v>
      </c>
      <c r="U747">
        <v>40</v>
      </c>
    </row>
    <row r="748" spans="1:21" x14ac:dyDescent="0.25">
      <c r="A748" s="2">
        <v>46045.846087962964</v>
      </c>
      <c r="B748" t="s">
        <v>309</v>
      </c>
      <c r="C748" t="s">
        <v>372</v>
      </c>
      <c r="D748">
        <v>3</v>
      </c>
      <c r="E748" t="s">
        <v>111</v>
      </c>
      <c r="F748" t="s">
        <v>388</v>
      </c>
      <c r="G748">
        <f t="shared" si="33"/>
        <v>40.605095541401276</v>
      </c>
      <c r="H748">
        <f t="shared" si="34"/>
        <v>18.312101910828023</v>
      </c>
      <c r="I748">
        <v>43.83</v>
      </c>
      <c r="J748">
        <f t="shared" si="35"/>
        <v>41.082802547770704</v>
      </c>
      <c r="K748">
        <v>0.8</v>
      </c>
      <c r="L748">
        <v>0.1</v>
      </c>
      <c r="M748">
        <v>0.7</v>
      </c>
      <c r="N748">
        <v>258</v>
      </c>
      <c r="O748">
        <v>255</v>
      </c>
      <c r="P748">
        <v>115</v>
      </c>
      <c r="Q748">
        <v>58.92</v>
      </c>
      <c r="R748" t="s">
        <v>392</v>
      </c>
      <c r="S748">
        <v>1.52</v>
      </c>
      <c r="U748">
        <v>90</v>
      </c>
    </row>
    <row r="749" spans="1:21" x14ac:dyDescent="0.25">
      <c r="A749" s="2">
        <v>46045.846504629626</v>
      </c>
      <c r="B749" t="s">
        <v>309</v>
      </c>
      <c r="C749" t="s">
        <v>372</v>
      </c>
      <c r="D749">
        <v>3</v>
      </c>
      <c r="E749" t="s">
        <v>121</v>
      </c>
      <c r="F749" t="s">
        <v>388</v>
      </c>
      <c r="G749">
        <f t="shared" si="33"/>
        <v>30.795262267343489</v>
      </c>
      <c r="H749">
        <f t="shared" si="34"/>
        <v>14.890016920473773</v>
      </c>
      <c r="I749">
        <v>43.83</v>
      </c>
      <c r="J749">
        <f t="shared" si="35"/>
        <v>54.314720812182735</v>
      </c>
      <c r="K749">
        <v>0.8</v>
      </c>
      <c r="L749">
        <v>0.1</v>
      </c>
      <c r="M749">
        <v>0.7</v>
      </c>
      <c r="N749">
        <v>321</v>
      </c>
      <c r="O749">
        <v>182</v>
      </c>
      <c r="P749">
        <v>88</v>
      </c>
      <c r="Q749">
        <v>45.69</v>
      </c>
      <c r="R749" t="s">
        <v>295</v>
      </c>
      <c r="S749">
        <v>1.27</v>
      </c>
      <c r="U749">
        <v>36</v>
      </c>
    </row>
    <row r="750" spans="1:21" x14ac:dyDescent="0.25">
      <c r="A750" s="2">
        <v>46045.846886574072</v>
      </c>
      <c r="B750" t="s">
        <v>309</v>
      </c>
      <c r="C750" t="s">
        <v>372</v>
      </c>
      <c r="D750">
        <v>3</v>
      </c>
      <c r="E750" t="s">
        <v>151</v>
      </c>
      <c r="F750" t="s">
        <v>388</v>
      </c>
      <c r="G750">
        <f t="shared" si="33"/>
        <v>27.696793002915456</v>
      </c>
      <c r="H750">
        <f t="shared" si="34"/>
        <v>56.559766763848394</v>
      </c>
      <c r="I750">
        <v>43.83</v>
      </c>
      <c r="J750">
        <f t="shared" si="35"/>
        <v>15.743440233236154</v>
      </c>
      <c r="K750">
        <v>0.8</v>
      </c>
      <c r="L750">
        <v>0.1</v>
      </c>
      <c r="M750">
        <v>0.7</v>
      </c>
      <c r="N750">
        <v>108</v>
      </c>
      <c r="O750">
        <v>190</v>
      </c>
      <c r="P750">
        <v>388</v>
      </c>
      <c r="Q750">
        <v>84.26</v>
      </c>
      <c r="R750" t="s">
        <v>386</v>
      </c>
      <c r="S750">
        <v>2.34</v>
      </c>
      <c r="U750">
        <v>29</v>
      </c>
    </row>
    <row r="751" spans="1:21" x14ac:dyDescent="0.25">
      <c r="A751" s="2">
        <v>46045.847337962965</v>
      </c>
      <c r="B751" t="s">
        <v>309</v>
      </c>
      <c r="C751" t="s">
        <v>372</v>
      </c>
      <c r="D751">
        <v>3</v>
      </c>
      <c r="E751" t="s">
        <v>160</v>
      </c>
      <c r="F751" t="s">
        <v>388</v>
      </c>
      <c r="G751">
        <f t="shared" si="33"/>
        <v>6.5335753176043552</v>
      </c>
      <c r="H751">
        <f t="shared" si="34"/>
        <v>0.18148820326678766</v>
      </c>
      <c r="I751">
        <v>43.83</v>
      </c>
      <c r="J751">
        <f t="shared" si="35"/>
        <v>93.284936479128859</v>
      </c>
      <c r="K751">
        <v>0.8</v>
      </c>
      <c r="L751">
        <v>0.1</v>
      </c>
      <c r="M751">
        <v>0.7</v>
      </c>
      <c r="N751">
        <v>514</v>
      </c>
      <c r="O751">
        <v>36</v>
      </c>
      <c r="P751">
        <v>1</v>
      </c>
      <c r="Q751">
        <v>6.72</v>
      </c>
      <c r="R751" t="s">
        <v>375</v>
      </c>
      <c r="S751">
        <v>0.17</v>
      </c>
      <c r="U751">
        <v>21</v>
      </c>
    </row>
    <row r="752" spans="1:21" x14ac:dyDescent="0.25">
      <c r="A752" s="2">
        <v>46045.847638888888</v>
      </c>
      <c r="B752" t="s">
        <v>309</v>
      </c>
      <c r="C752" t="s">
        <v>372</v>
      </c>
      <c r="D752">
        <v>3</v>
      </c>
      <c r="E752" t="s">
        <v>326</v>
      </c>
      <c r="F752" t="s">
        <v>388</v>
      </c>
      <c r="G752">
        <f t="shared" si="33"/>
        <v>6.0653188180404358</v>
      </c>
      <c r="H752">
        <f t="shared" si="34"/>
        <v>0.46656298600311047</v>
      </c>
      <c r="I752">
        <v>43.83</v>
      </c>
      <c r="J752">
        <f t="shared" si="35"/>
        <v>93.46811819595645</v>
      </c>
      <c r="K752">
        <v>0.8</v>
      </c>
      <c r="L752">
        <v>0.1</v>
      </c>
      <c r="M752">
        <v>0.7</v>
      </c>
      <c r="N752">
        <v>601</v>
      </c>
      <c r="O752">
        <v>39</v>
      </c>
      <c r="P752">
        <v>3</v>
      </c>
      <c r="Q752">
        <v>6.53</v>
      </c>
      <c r="R752" t="s">
        <v>383</v>
      </c>
      <c r="S752">
        <v>0.17</v>
      </c>
      <c r="U752">
        <v>80</v>
      </c>
    </row>
    <row r="753" spans="1:21" x14ac:dyDescent="0.25">
      <c r="A753" s="2">
        <v>46045.847974537035</v>
      </c>
      <c r="B753" t="s">
        <v>309</v>
      </c>
      <c r="C753" t="s">
        <v>372</v>
      </c>
      <c r="D753">
        <v>3</v>
      </c>
      <c r="E753" t="s">
        <v>183</v>
      </c>
      <c r="F753" t="s">
        <v>388</v>
      </c>
      <c r="G753">
        <f t="shared" si="33"/>
        <v>4.6391752577319592</v>
      </c>
      <c r="H753">
        <f t="shared" si="34"/>
        <v>0</v>
      </c>
      <c r="I753">
        <v>43.83</v>
      </c>
      <c r="J753">
        <f t="shared" si="35"/>
        <v>95.360824742268051</v>
      </c>
      <c r="K753">
        <v>0.8</v>
      </c>
      <c r="L753">
        <v>0.1</v>
      </c>
      <c r="M753">
        <v>0.7</v>
      </c>
      <c r="N753">
        <v>555</v>
      </c>
      <c r="O753">
        <v>27</v>
      </c>
      <c r="P753">
        <v>0</v>
      </c>
      <c r="Q753">
        <v>4.6399999999999997</v>
      </c>
      <c r="R753" t="s">
        <v>382</v>
      </c>
      <c r="S753">
        <v>0.11</v>
      </c>
      <c r="U753">
        <v>71</v>
      </c>
    </row>
    <row r="754" spans="1:21" x14ac:dyDescent="0.25">
      <c r="A754" s="2">
        <v>46045.848310185182</v>
      </c>
      <c r="B754" t="s">
        <v>309</v>
      </c>
      <c r="C754" t="s">
        <v>372</v>
      </c>
      <c r="D754">
        <v>3</v>
      </c>
      <c r="E754" t="s">
        <v>192</v>
      </c>
      <c r="F754" t="s">
        <v>388</v>
      </c>
      <c r="G754">
        <f t="shared" si="33"/>
        <v>55.68181818181818</v>
      </c>
      <c r="H754">
        <f t="shared" si="34"/>
        <v>23.214285714285715</v>
      </c>
      <c r="I754">
        <v>43.83</v>
      </c>
      <c r="J754">
        <f t="shared" si="35"/>
        <v>21.103896103896101</v>
      </c>
      <c r="K754">
        <v>0.8</v>
      </c>
      <c r="L754">
        <v>0.1</v>
      </c>
      <c r="M754">
        <v>0.7</v>
      </c>
      <c r="N754">
        <v>130</v>
      </c>
      <c r="O754">
        <v>343</v>
      </c>
      <c r="P754">
        <v>143</v>
      </c>
      <c r="Q754">
        <v>78.900000000000006</v>
      </c>
      <c r="R754" t="s">
        <v>386</v>
      </c>
      <c r="S754">
        <v>2.2599999999999998</v>
      </c>
      <c r="U754">
        <v>33</v>
      </c>
    </row>
    <row r="755" spans="1:21" x14ac:dyDescent="0.25">
      <c r="A755" s="2">
        <v>46045.848749999997</v>
      </c>
      <c r="B755" t="s">
        <v>309</v>
      </c>
      <c r="C755" t="s">
        <v>372</v>
      </c>
      <c r="D755">
        <v>3</v>
      </c>
      <c r="E755" t="s">
        <v>205</v>
      </c>
      <c r="F755" t="s">
        <v>388</v>
      </c>
      <c r="G755">
        <f t="shared" si="33"/>
        <v>55.806451612903231</v>
      </c>
      <c r="H755">
        <f t="shared" si="34"/>
        <v>25</v>
      </c>
      <c r="I755">
        <v>43.83</v>
      </c>
      <c r="J755">
        <f t="shared" si="35"/>
        <v>19.193548387096772</v>
      </c>
      <c r="K755">
        <v>0.8</v>
      </c>
      <c r="L755">
        <v>0.1</v>
      </c>
      <c r="M755">
        <v>0.7</v>
      </c>
      <c r="N755">
        <v>119</v>
      </c>
      <c r="O755">
        <v>346</v>
      </c>
      <c r="P755">
        <v>155</v>
      </c>
      <c r="Q755">
        <v>80.81</v>
      </c>
      <c r="R755" t="s">
        <v>385</v>
      </c>
      <c r="S755">
        <v>2.33</v>
      </c>
      <c r="U755">
        <v>34</v>
      </c>
    </row>
    <row r="756" spans="1:21" x14ac:dyDescent="0.25">
      <c r="A756" s="2">
        <v>46045.84878472222</v>
      </c>
      <c r="B756" t="s">
        <v>309</v>
      </c>
      <c r="C756" t="s">
        <v>372</v>
      </c>
      <c r="D756">
        <v>3</v>
      </c>
      <c r="E756" t="s">
        <v>33</v>
      </c>
      <c r="F756" t="s">
        <v>388</v>
      </c>
      <c r="G756">
        <f t="shared" si="33"/>
        <v>19.15227629513344</v>
      </c>
      <c r="H756">
        <f t="shared" si="34"/>
        <v>12.401883830455258</v>
      </c>
      <c r="I756">
        <v>43.83</v>
      </c>
      <c r="J756">
        <f t="shared" si="35"/>
        <v>68.445839874411305</v>
      </c>
      <c r="K756">
        <v>0.8</v>
      </c>
      <c r="L756">
        <v>0.1</v>
      </c>
      <c r="M756">
        <v>0.7</v>
      </c>
      <c r="N756">
        <v>436</v>
      </c>
      <c r="O756">
        <v>122</v>
      </c>
      <c r="P756">
        <v>79</v>
      </c>
      <c r="Q756">
        <v>31.55</v>
      </c>
      <c r="R756" t="s">
        <v>390</v>
      </c>
      <c r="S756">
        <v>0.84</v>
      </c>
      <c r="U756">
        <v>87</v>
      </c>
    </row>
    <row r="757" spans="1:21" x14ac:dyDescent="0.25">
      <c r="A757" s="2">
        <v>46045.84915509259</v>
      </c>
      <c r="B757" t="s">
        <v>309</v>
      </c>
      <c r="C757" t="s">
        <v>372</v>
      </c>
      <c r="D757">
        <v>3</v>
      </c>
      <c r="E757" t="s">
        <v>48</v>
      </c>
      <c r="F757" t="s">
        <v>388</v>
      </c>
      <c r="G757">
        <f t="shared" si="33"/>
        <v>0.1392757660167131</v>
      </c>
      <c r="H757">
        <f t="shared" si="34"/>
        <v>0.1392757660167131</v>
      </c>
      <c r="I757">
        <v>43.83</v>
      </c>
      <c r="J757">
        <f t="shared" si="35"/>
        <v>99.721448467966582</v>
      </c>
      <c r="K757">
        <v>0.8</v>
      </c>
      <c r="L757">
        <v>0.1</v>
      </c>
      <c r="M757">
        <v>0.7</v>
      </c>
      <c r="N757">
        <v>716</v>
      </c>
      <c r="O757">
        <v>1</v>
      </c>
      <c r="P757">
        <v>1</v>
      </c>
      <c r="Q757">
        <v>0.28000000000000003</v>
      </c>
      <c r="R757" t="s">
        <v>376</v>
      </c>
      <c r="S757">
        <v>0.01</v>
      </c>
      <c r="U757">
        <v>18</v>
      </c>
    </row>
    <row r="758" spans="1:21" x14ac:dyDescent="0.25">
      <c r="A758" s="2">
        <v>46045.849456018521</v>
      </c>
      <c r="B758" t="s">
        <v>309</v>
      </c>
      <c r="C758" t="s">
        <v>372</v>
      </c>
      <c r="D758">
        <v>3</v>
      </c>
      <c r="E758" t="s">
        <v>58</v>
      </c>
      <c r="F758" t="s">
        <v>388</v>
      </c>
      <c r="G758">
        <f t="shared" si="33"/>
        <v>24.342105263157894</v>
      </c>
      <c r="H758">
        <f t="shared" si="34"/>
        <v>0.3289473684210526</v>
      </c>
      <c r="I758">
        <v>43.83</v>
      </c>
      <c r="J758">
        <f t="shared" si="35"/>
        <v>75.328947368421055</v>
      </c>
      <c r="K758">
        <v>0.8</v>
      </c>
      <c r="L758">
        <v>0.1</v>
      </c>
      <c r="M758">
        <v>0.7</v>
      </c>
      <c r="N758">
        <v>458</v>
      </c>
      <c r="O758">
        <v>148</v>
      </c>
      <c r="P758">
        <v>2</v>
      </c>
      <c r="Q758">
        <v>24.67</v>
      </c>
      <c r="R758" t="s">
        <v>379</v>
      </c>
      <c r="S758">
        <v>0.62</v>
      </c>
      <c r="U758">
        <v>69</v>
      </c>
    </row>
    <row r="759" spans="1:21" x14ac:dyDescent="0.25">
      <c r="A759" s="2">
        <v>46045.849814814814</v>
      </c>
      <c r="B759" t="s">
        <v>309</v>
      </c>
      <c r="C759" t="s">
        <v>372</v>
      </c>
      <c r="D759">
        <v>3</v>
      </c>
      <c r="E759" t="s">
        <v>73</v>
      </c>
      <c r="F759" t="s">
        <v>388</v>
      </c>
      <c r="G759">
        <f t="shared" si="33"/>
        <v>2.3064250411861615</v>
      </c>
      <c r="H759">
        <f t="shared" si="34"/>
        <v>0.32948929159802309</v>
      </c>
      <c r="I759">
        <v>43.83</v>
      </c>
      <c r="J759">
        <f t="shared" si="35"/>
        <v>97.364085667215818</v>
      </c>
      <c r="K759">
        <v>0.8</v>
      </c>
      <c r="L759">
        <v>0.1</v>
      </c>
      <c r="M759">
        <v>0.7</v>
      </c>
      <c r="N759">
        <v>591</v>
      </c>
      <c r="O759">
        <v>14</v>
      </c>
      <c r="P759">
        <v>2</v>
      </c>
      <c r="Q759">
        <v>2.64</v>
      </c>
      <c r="R759" t="s">
        <v>375</v>
      </c>
      <c r="S759">
        <v>7.0000000000000007E-2</v>
      </c>
      <c r="U759">
        <v>60</v>
      </c>
    </row>
    <row r="760" spans="1:21" x14ac:dyDescent="0.25">
      <c r="A760" s="2">
        <v>46045.850127314814</v>
      </c>
      <c r="B760" t="s">
        <v>309</v>
      </c>
      <c r="C760" t="s">
        <v>372</v>
      </c>
      <c r="D760">
        <v>3</v>
      </c>
      <c r="E760" t="s">
        <v>80</v>
      </c>
      <c r="F760" t="s">
        <v>388</v>
      </c>
      <c r="G760">
        <f t="shared" si="33"/>
        <v>9.3939393939393927</v>
      </c>
      <c r="H760">
        <f t="shared" si="34"/>
        <v>4.8484848484848486</v>
      </c>
      <c r="I760">
        <v>43.83</v>
      </c>
      <c r="J760">
        <f t="shared" si="35"/>
        <v>85.757575757575751</v>
      </c>
      <c r="K760">
        <v>0.8</v>
      </c>
      <c r="L760">
        <v>0.1</v>
      </c>
      <c r="M760">
        <v>0.7</v>
      </c>
      <c r="N760">
        <v>566</v>
      </c>
      <c r="O760">
        <v>62</v>
      </c>
      <c r="P760">
        <v>32</v>
      </c>
      <c r="Q760">
        <v>14.24</v>
      </c>
      <c r="R760" t="s">
        <v>382</v>
      </c>
      <c r="S760">
        <v>0.41</v>
      </c>
      <c r="U760">
        <v>28</v>
      </c>
    </row>
    <row r="761" spans="1:21" x14ac:dyDescent="0.25">
      <c r="A761" s="2">
        <v>46045.850462962961</v>
      </c>
      <c r="B761" t="s">
        <v>309</v>
      </c>
      <c r="C761" t="s">
        <v>372</v>
      </c>
      <c r="D761">
        <v>3</v>
      </c>
      <c r="E761" t="s">
        <v>93</v>
      </c>
      <c r="F761" t="s">
        <v>388</v>
      </c>
      <c r="G761">
        <f t="shared" si="33"/>
        <v>6.666666666666667</v>
      </c>
      <c r="H761">
        <f t="shared" si="34"/>
        <v>0</v>
      </c>
      <c r="I761">
        <v>43.83</v>
      </c>
      <c r="J761">
        <f t="shared" si="35"/>
        <v>93.333333333333329</v>
      </c>
      <c r="K761">
        <v>0.8</v>
      </c>
      <c r="L761">
        <v>0.1</v>
      </c>
      <c r="M761">
        <v>0.7</v>
      </c>
      <c r="N761">
        <v>518</v>
      </c>
      <c r="O761">
        <v>37</v>
      </c>
      <c r="P761">
        <v>0</v>
      </c>
      <c r="Q761">
        <v>6.67</v>
      </c>
      <c r="R761" t="s">
        <v>375</v>
      </c>
      <c r="S761">
        <v>0.15</v>
      </c>
      <c r="U761">
        <v>60</v>
      </c>
    </row>
    <row r="762" spans="1:21" x14ac:dyDescent="0.25">
      <c r="A762" s="2">
        <v>46045.850775462961</v>
      </c>
      <c r="B762" t="s">
        <v>309</v>
      </c>
      <c r="C762" t="s">
        <v>372</v>
      </c>
      <c r="D762">
        <v>3</v>
      </c>
      <c r="E762" t="s">
        <v>102</v>
      </c>
      <c r="F762" t="s">
        <v>388</v>
      </c>
      <c r="G762">
        <f t="shared" si="33"/>
        <v>31.891025641025639</v>
      </c>
      <c r="H762">
        <f t="shared" si="34"/>
        <v>19.391025641025642</v>
      </c>
      <c r="I762">
        <v>43.83</v>
      </c>
      <c r="J762">
        <f t="shared" si="35"/>
        <v>48.717948717948715</v>
      </c>
      <c r="K762">
        <v>0.8</v>
      </c>
      <c r="L762">
        <v>0.1</v>
      </c>
      <c r="M762">
        <v>0.7</v>
      </c>
      <c r="N762">
        <v>304</v>
      </c>
      <c r="O762">
        <v>199</v>
      </c>
      <c r="P762">
        <v>121</v>
      </c>
      <c r="Q762">
        <v>51.28</v>
      </c>
      <c r="R762" t="s">
        <v>295</v>
      </c>
      <c r="S762">
        <v>1.46</v>
      </c>
      <c r="U762">
        <v>41</v>
      </c>
    </row>
    <row r="763" spans="1:21" x14ac:dyDescent="0.25">
      <c r="A763" s="2">
        <v>46045.851157407407</v>
      </c>
      <c r="B763" t="s">
        <v>309</v>
      </c>
      <c r="C763" t="s">
        <v>372</v>
      </c>
      <c r="D763">
        <v>3</v>
      </c>
      <c r="E763" t="s">
        <v>111</v>
      </c>
      <c r="F763" t="s">
        <v>388</v>
      </c>
      <c r="G763">
        <f t="shared" si="33"/>
        <v>41.945773524720892</v>
      </c>
      <c r="H763">
        <f t="shared" si="34"/>
        <v>16.905901116427433</v>
      </c>
      <c r="I763">
        <v>43.83</v>
      </c>
      <c r="J763">
        <f t="shared" si="35"/>
        <v>41.148325358851672</v>
      </c>
      <c r="K763">
        <v>0.8</v>
      </c>
      <c r="L763">
        <v>0.1</v>
      </c>
      <c r="M763">
        <v>0.7</v>
      </c>
      <c r="N763">
        <v>258</v>
      </c>
      <c r="O763">
        <v>263</v>
      </c>
      <c r="P763">
        <v>106</v>
      </c>
      <c r="Q763">
        <v>58.85</v>
      </c>
      <c r="R763" t="s">
        <v>392</v>
      </c>
      <c r="S763">
        <v>1.51</v>
      </c>
      <c r="U763">
        <v>91</v>
      </c>
    </row>
    <row r="764" spans="1:21" x14ac:dyDescent="0.25">
      <c r="A764" s="2">
        <v>46045.851574074077</v>
      </c>
      <c r="B764" t="s">
        <v>309</v>
      </c>
      <c r="C764" t="s">
        <v>372</v>
      </c>
      <c r="D764">
        <v>3</v>
      </c>
      <c r="E764" t="s">
        <v>121</v>
      </c>
      <c r="F764" t="s">
        <v>388</v>
      </c>
      <c r="G764">
        <f t="shared" si="33"/>
        <v>31.133671742808801</v>
      </c>
      <c r="H764">
        <f t="shared" si="34"/>
        <v>14.551607445008461</v>
      </c>
      <c r="I764">
        <v>43.83</v>
      </c>
      <c r="J764">
        <f t="shared" si="35"/>
        <v>54.314720812182735</v>
      </c>
      <c r="K764">
        <v>0.8</v>
      </c>
      <c r="L764">
        <v>0.1</v>
      </c>
      <c r="M764">
        <v>0.7</v>
      </c>
      <c r="N764">
        <v>321</v>
      </c>
      <c r="O764">
        <v>184</v>
      </c>
      <c r="P764">
        <v>86</v>
      </c>
      <c r="Q764">
        <v>45.69</v>
      </c>
      <c r="R764" t="s">
        <v>390</v>
      </c>
      <c r="S764">
        <v>1.27</v>
      </c>
      <c r="U764">
        <v>36</v>
      </c>
    </row>
    <row r="765" spans="1:21" x14ac:dyDescent="0.25">
      <c r="A765" s="2">
        <v>46045.851944444446</v>
      </c>
      <c r="B765" t="s">
        <v>309</v>
      </c>
      <c r="C765" t="s">
        <v>372</v>
      </c>
      <c r="D765">
        <v>3</v>
      </c>
      <c r="E765" t="s">
        <v>151</v>
      </c>
      <c r="F765" t="s">
        <v>388</v>
      </c>
      <c r="G765">
        <f t="shared" si="33"/>
        <v>28.425655976676385</v>
      </c>
      <c r="H765">
        <f t="shared" si="34"/>
        <v>55.830903790087461</v>
      </c>
      <c r="I765">
        <v>43.83</v>
      </c>
      <c r="J765">
        <f t="shared" si="35"/>
        <v>15.743440233236154</v>
      </c>
      <c r="K765">
        <v>0.8</v>
      </c>
      <c r="L765">
        <v>0.1</v>
      </c>
      <c r="M765">
        <v>0.7</v>
      </c>
      <c r="N765">
        <v>108</v>
      </c>
      <c r="O765">
        <v>195</v>
      </c>
      <c r="P765">
        <v>383</v>
      </c>
      <c r="Q765">
        <v>84.26</v>
      </c>
      <c r="R765" t="s">
        <v>393</v>
      </c>
      <c r="S765">
        <v>2.35</v>
      </c>
      <c r="U765">
        <v>29</v>
      </c>
    </row>
    <row r="766" spans="1:21" x14ac:dyDescent="0.25">
      <c r="A766" s="2">
        <v>46045.852430555555</v>
      </c>
      <c r="B766" t="s">
        <v>309</v>
      </c>
      <c r="C766" t="s">
        <v>372</v>
      </c>
      <c r="D766">
        <v>3</v>
      </c>
      <c r="E766" t="s">
        <v>160</v>
      </c>
      <c r="F766" t="s">
        <v>388</v>
      </c>
      <c r="G766">
        <f t="shared" si="33"/>
        <v>6.5335753176043552</v>
      </c>
      <c r="H766">
        <f t="shared" si="34"/>
        <v>0.18148820326678766</v>
      </c>
      <c r="I766">
        <v>43.83</v>
      </c>
      <c r="J766">
        <f t="shared" si="35"/>
        <v>93.284936479128859</v>
      </c>
      <c r="K766">
        <v>0.8</v>
      </c>
      <c r="L766">
        <v>0.1</v>
      </c>
      <c r="M766">
        <v>0.7</v>
      </c>
      <c r="N766">
        <v>514</v>
      </c>
      <c r="O766">
        <v>36</v>
      </c>
      <c r="P766">
        <v>1</v>
      </c>
      <c r="Q766">
        <v>6.72</v>
      </c>
      <c r="R766" t="s">
        <v>376</v>
      </c>
      <c r="S766">
        <v>0.17</v>
      </c>
      <c r="U766">
        <v>21</v>
      </c>
    </row>
    <row r="767" spans="1:21" x14ac:dyDescent="0.25">
      <c r="A767" s="2">
        <v>46045.852719907409</v>
      </c>
      <c r="B767" t="s">
        <v>309</v>
      </c>
      <c r="C767" t="s">
        <v>372</v>
      </c>
      <c r="D767">
        <v>3</v>
      </c>
      <c r="E767" t="s">
        <v>326</v>
      </c>
      <c r="F767" t="s">
        <v>388</v>
      </c>
      <c r="G767">
        <f t="shared" si="33"/>
        <v>6.0653188180404358</v>
      </c>
      <c r="H767">
        <f t="shared" si="34"/>
        <v>0.46656298600311047</v>
      </c>
      <c r="I767">
        <v>43.83</v>
      </c>
      <c r="J767">
        <f t="shared" si="35"/>
        <v>93.46811819595645</v>
      </c>
      <c r="K767">
        <v>0.8</v>
      </c>
      <c r="L767">
        <v>0.1</v>
      </c>
      <c r="M767">
        <v>0.7</v>
      </c>
      <c r="N767">
        <v>601</v>
      </c>
      <c r="O767">
        <v>39</v>
      </c>
      <c r="P767">
        <v>3</v>
      </c>
      <c r="Q767">
        <v>6.53</v>
      </c>
      <c r="R767" t="s">
        <v>382</v>
      </c>
      <c r="S767">
        <v>0.17</v>
      </c>
      <c r="U767">
        <v>80</v>
      </c>
    </row>
    <row r="768" spans="1:21" x14ac:dyDescent="0.25">
      <c r="A768" s="2">
        <v>46045.853055555555</v>
      </c>
      <c r="B768" t="s">
        <v>309</v>
      </c>
      <c r="C768" t="s">
        <v>372</v>
      </c>
      <c r="D768">
        <v>3</v>
      </c>
      <c r="E768" t="s">
        <v>183</v>
      </c>
      <c r="F768" t="s">
        <v>388</v>
      </c>
      <c r="G768">
        <f t="shared" si="33"/>
        <v>4.6391752577319592</v>
      </c>
      <c r="H768">
        <f t="shared" si="34"/>
        <v>0</v>
      </c>
      <c r="I768">
        <v>43.83</v>
      </c>
      <c r="J768">
        <f t="shared" si="35"/>
        <v>95.360824742268051</v>
      </c>
      <c r="K768">
        <v>0.8</v>
      </c>
      <c r="L768">
        <v>0.1</v>
      </c>
      <c r="M768">
        <v>0.7</v>
      </c>
      <c r="N768">
        <v>555</v>
      </c>
      <c r="O768">
        <v>27</v>
      </c>
      <c r="P768">
        <v>0</v>
      </c>
      <c r="Q768">
        <v>4.6399999999999997</v>
      </c>
      <c r="R768" t="s">
        <v>380</v>
      </c>
      <c r="S768">
        <v>0.11</v>
      </c>
      <c r="U768">
        <v>71</v>
      </c>
    </row>
    <row r="769" spans="1:21" x14ac:dyDescent="0.25">
      <c r="A769" s="2">
        <v>46045.853368055556</v>
      </c>
      <c r="B769" t="s">
        <v>309</v>
      </c>
      <c r="C769" t="s">
        <v>372</v>
      </c>
      <c r="D769">
        <v>3</v>
      </c>
      <c r="E769" t="s">
        <v>192</v>
      </c>
      <c r="F769" t="s">
        <v>388</v>
      </c>
      <c r="G769">
        <f t="shared" ref="G769:G832" si="36">(O769/(N769+O769+P769))*100</f>
        <v>56.655844155844157</v>
      </c>
      <c r="H769">
        <f t="shared" ref="H769:H832" si="37">(P769/(O769+P769+N769))*100</f>
        <v>22.240259740259742</v>
      </c>
      <c r="I769">
        <v>43.83</v>
      </c>
      <c r="J769">
        <f t="shared" ref="J769:J832" si="38">(N769/(P769+O769+N769))*100</f>
        <v>21.103896103896101</v>
      </c>
      <c r="K769">
        <v>0.8</v>
      </c>
      <c r="L769">
        <v>0.1</v>
      </c>
      <c r="M769">
        <v>0.7</v>
      </c>
      <c r="N769">
        <v>130</v>
      </c>
      <c r="O769">
        <v>349</v>
      </c>
      <c r="P769">
        <v>137</v>
      </c>
      <c r="Q769">
        <v>78.900000000000006</v>
      </c>
      <c r="R769" t="s">
        <v>385</v>
      </c>
      <c r="S769">
        <v>2.2599999999999998</v>
      </c>
      <c r="U769">
        <v>33</v>
      </c>
    </row>
    <row r="770" spans="1:21" x14ac:dyDescent="0.25">
      <c r="A770" s="2">
        <v>46045.853807870371</v>
      </c>
      <c r="B770" t="s">
        <v>309</v>
      </c>
      <c r="C770" t="s">
        <v>372</v>
      </c>
      <c r="D770">
        <v>3</v>
      </c>
      <c r="E770" t="s">
        <v>205</v>
      </c>
      <c r="F770" t="s">
        <v>388</v>
      </c>
      <c r="G770">
        <f t="shared" si="36"/>
        <v>56.451612903225815</v>
      </c>
      <c r="H770">
        <f t="shared" si="37"/>
        <v>24.35483870967742</v>
      </c>
      <c r="I770">
        <v>43.83</v>
      </c>
      <c r="J770">
        <f t="shared" si="38"/>
        <v>19.193548387096772</v>
      </c>
      <c r="K770">
        <v>0.8</v>
      </c>
      <c r="L770">
        <v>0.1</v>
      </c>
      <c r="M770">
        <v>0.7</v>
      </c>
      <c r="N770">
        <v>119</v>
      </c>
      <c r="O770">
        <v>350</v>
      </c>
      <c r="P770">
        <v>151</v>
      </c>
      <c r="Q770">
        <v>80.81</v>
      </c>
      <c r="R770" t="s">
        <v>386</v>
      </c>
      <c r="S770">
        <v>2.33</v>
      </c>
      <c r="U770">
        <v>34</v>
      </c>
    </row>
    <row r="771" spans="1:21" x14ac:dyDescent="0.25">
      <c r="A771" s="2">
        <v>46045.759189814817</v>
      </c>
      <c r="B771" t="s">
        <v>309</v>
      </c>
      <c r="C771" t="s">
        <v>372</v>
      </c>
      <c r="D771">
        <v>3</v>
      </c>
      <c r="E771" t="s">
        <v>34</v>
      </c>
      <c r="F771" t="s">
        <v>373</v>
      </c>
      <c r="G771">
        <f t="shared" si="36"/>
        <v>34.132841328413285</v>
      </c>
      <c r="H771">
        <f t="shared" si="37"/>
        <v>0.18450184501845018</v>
      </c>
      <c r="I771">
        <v>43.83</v>
      </c>
      <c r="J771">
        <f t="shared" si="38"/>
        <v>65.682656826568262</v>
      </c>
      <c r="K771">
        <v>0.8</v>
      </c>
      <c r="L771">
        <v>0.1</v>
      </c>
      <c r="M771">
        <v>0.7</v>
      </c>
      <c r="N771">
        <v>356</v>
      </c>
      <c r="O771">
        <v>185</v>
      </c>
      <c r="P771">
        <v>1</v>
      </c>
      <c r="Q771">
        <v>34.32</v>
      </c>
      <c r="R771" t="s">
        <v>387</v>
      </c>
      <c r="S771">
        <v>0.76</v>
      </c>
      <c r="U771">
        <v>121</v>
      </c>
    </row>
    <row r="772" spans="1:21" x14ac:dyDescent="0.25">
      <c r="A772" s="2">
        <v>46045.759606481479</v>
      </c>
      <c r="B772" t="s">
        <v>309</v>
      </c>
      <c r="C772" t="s">
        <v>372</v>
      </c>
      <c r="D772">
        <v>3</v>
      </c>
      <c r="E772" t="s">
        <v>36</v>
      </c>
      <c r="F772" t="s">
        <v>373</v>
      </c>
      <c r="G772">
        <f t="shared" si="36"/>
        <v>17.820324005891017</v>
      </c>
      <c r="H772">
        <f t="shared" si="37"/>
        <v>0.14727540500736377</v>
      </c>
      <c r="I772">
        <v>43.83</v>
      </c>
      <c r="J772">
        <f t="shared" si="38"/>
        <v>82.032400589101613</v>
      </c>
      <c r="K772">
        <v>0.8</v>
      </c>
      <c r="L772">
        <v>0.1</v>
      </c>
      <c r="M772">
        <v>0.7</v>
      </c>
      <c r="N772">
        <v>557</v>
      </c>
      <c r="O772">
        <v>121</v>
      </c>
      <c r="P772">
        <v>1</v>
      </c>
      <c r="Q772">
        <v>17.97</v>
      </c>
      <c r="R772" t="s">
        <v>392</v>
      </c>
      <c r="S772">
        <v>0.49</v>
      </c>
      <c r="U772">
        <v>53</v>
      </c>
    </row>
    <row r="773" spans="1:21" x14ac:dyDescent="0.25">
      <c r="A773" s="2">
        <v>46045.760023148148</v>
      </c>
      <c r="B773" t="s">
        <v>309</v>
      </c>
      <c r="C773" t="s">
        <v>372</v>
      </c>
      <c r="D773">
        <v>3</v>
      </c>
      <c r="E773" t="s">
        <v>41</v>
      </c>
      <c r="F773" t="s">
        <v>373</v>
      </c>
      <c r="G773">
        <f t="shared" si="36"/>
        <v>0.98199672667757776</v>
      </c>
      <c r="H773">
        <f t="shared" si="37"/>
        <v>0</v>
      </c>
      <c r="I773">
        <v>43.83</v>
      </c>
      <c r="J773">
        <f t="shared" si="38"/>
        <v>99.018003273322421</v>
      </c>
      <c r="K773">
        <v>0.8</v>
      </c>
      <c r="L773">
        <v>0.1</v>
      </c>
      <c r="M773">
        <v>0.7</v>
      </c>
      <c r="N773">
        <v>605</v>
      </c>
      <c r="O773">
        <v>6</v>
      </c>
      <c r="P773">
        <v>0</v>
      </c>
      <c r="Q773">
        <v>0.98</v>
      </c>
      <c r="R773" t="s">
        <v>384</v>
      </c>
      <c r="S773">
        <v>0.02</v>
      </c>
      <c r="U773">
        <v>28</v>
      </c>
    </row>
    <row r="774" spans="1:21" x14ac:dyDescent="0.25">
      <c r="A774" s="2">
        <v>46045.760381944441</v>
      </c>
      <c r="B774" t="s">
        <v>309</v>
      </c>
      <c r="C774" t="s">
        <v>372</v>
      </c>
      <c r="D774">
        <v>3</v>
      </c>
      <c r="E774" t="s">
        <v>42</v>
      </c>
      <c r="F774" t="s">
        <v>373</v>
      </c>
      <c r="G774">
        <f t="shared" si="36"/>
        <v>2.2189349112426036</v>
      </c>
      <c r="H774">
        <f t="shared" si="37"/>
        <v>0</v>
      </c>
      <c r="I774">
        <v>43.83</v>
      </c>
      <c r="J774">
        <f t="shared" si="38"/>
        <v>97.781065088757401</v>
      </c>
      <c r="K774">
        <v>0.8</v>
      </c>
      <c r="L774">
        <v>0.1</v>
      </c>
      <c r="M774">
        <v>0.7</v>
      </c>
      <c r="N774">
        <v>661</v>
      </c>
      <c r="O774">
        <v>15</v>
      </c>
      <c r="P774">
        <v>0</v>
      </c>
      <c r="Q774">
        <v>2.2200000000000002</v>
      </c>
      <c r="R774" t="s">
        <v>390</v>
      </c>
      <c r="S774">
        <v>0.06</v>
      </c>
      <c r="U774">
        <v>26</v>
      </c>
    </row>
    <row r="775" spans="1:21" x14ac:dyDescent="0.25">
      <c r="A775" s="2">
        <v>46045.760752314818</v>
      </c>
      <c r="B775" t="s">
        <v>309</v>
      </c>
      <c r="C775" t="s">
        <v>372</v>
      </c>
      <c r="D775">
        <v>3</v>
      </c>
      <c r="E775" t="s">
        <v>43</v>
      </c>
      <c r="F775" t="s">
        <v>373</v>
      </c>
      <c r="G775">
        <f t="shared" si="36"/>
        <v>15.613382899628252</v>
      </c>
      <c r="H775">
        <f t="shared" si="37"/>
        <v>0</v>
      </c>
      <c r="I775">
        <v>43.83</v>
      </c>
      <c r="J775">
        <f t="shared" si="38"/>
        <v>84.386617100371751</v>
      </c>
      <c r="K775">
        <v>0.8</v>
      </c>
      <c r="L775">
        <v>0.1</v>
      </c>
      <c r="M775">
        <v>0.7</v>
      </c>
      <c r="N775">
        <v>454</v>
      </c>
      <c r="O775">
        <v>84</v>
      </c>
      <c r="P775">
        <v>0</v>
      </c>
      <c r="Q775">
        <v>15.61</v>
      </c>
      <c r="R775" t="s">
        <v>378</v>
      </c>
      <c r="S775">
        <v>0.35</v>
      </c>
      <c r="U775">
        <v>175</v>
      </c>
    </row>
    <row r="776" spans="1:21" x14ac:dyDescent="0.25">
      <c r="A776" s="2">
        <v>46045.761157407411</v>
      </c>
      <c r="B776" t="s">
        <v>309</v>
      </c>
      <c r="C776" t="s">
        <v>372</v>
      </c>
      <c r="D776">
        <v>3</v>
      </c>
      <c r="E776" t="s">
        <v>54</v>
      </c>
      <c r="F776" t="s">
        <v>373</v>
      </c>
      <c r="G776">
        <f t="shared" si="36"/>
        <v>0.75642965204236012</v>
      </c>
      <c r="H776">
        <f t="shared" si="37"/>
        <v>0</v>
      </c>
      <c r="I776">
        <v>43.83</v>
      </c>
      <c r="J776">
        <f t="shared" si="38"/>
        <v>99.243570347957643</v>
      </c>
      <c r="K776">
        <v>0.8</v>
      </c>
      <c r="L776">
        <v>0.1</v>
      </c>
      <c r="M776">
        <v>0.7</v>
      </c>
      <c r="N776">
        <v>656</v>
      </c>
      <c r="O776">
        <v>5</v>
      </c>
      <c r="P776">
        <v>0</v>
      </c>
      <c r="Q776">
        <v>0.76</v>
      </c>
      <c r="R776" t="s">
        <v>384</v>
      </c>
      <c r="S776">
        <v>0.02</v>
      </c>
      <c r="U776">
        <v>15</v>
      </c>
    </row>
    <row r="777" spans="1:21" x14ac:dyDescent="0.25">
      <c r="A777" s="2">
        <v>46045.761516203704</v>
      </c>
      <c r="B777" t="s">
        <v>309</v>
      </c>
      <c r="C777" t="s">
        <v>372</v>
      </c>
      <c r="D777">
        <v>3</v>
      </c>
      <c r="E777" t="s">
        <v>75</v>
      </c>
      <c r="F777" t="s">
        <v>373</v>
      </c>
      <c r="G777">
        <f t="shared" si="36"/>
        <v>2.0280811232449301</v>
      </c>
      <c r="H777">
        <f t="shared" si="37"/>
        <v>0</v>
      </c>
      <c r="I777">
        <v>43.83</v>
      </c>
      <c r="J777">
        <f t="shared" si="38"/>
        <v>97.971918876755069</v>
      </c>
      <c r="K777">
        <v>0.8</v>
      </c>
      <c r="L777">
        <v>0.1</v>
      </c>
      <c r="M777">
        <v>0.7</v>
      </c>
      <c r="N777">
        <v>628</v>
      </c>
      <c r="O777">
        <v>13</v>
      </c>
      <c r="P777">
        <v>0</v>
      </c>
      <c r="Q777">
        <v>2.0299999999999998</v>
      </c>
      <c r="R777" t="s">
        <v>390</v>
      </c>
      <c r="S777">
        <v>0.05</v>
      </c>
      <c r="U777">
        <v>36</v>
      </c>
    </row>
    <row r="778" spans="1:21" x14ac:dyDescent="0.25">
      <c r="A778" s="2">
        <v>46045.76189814815</v>
      </c>
      <c r="B778" t="s">
        <v>309</v>
      </c>
      <c r="C778" t="s">
        <v>372</v>
      </c>
      <c r="D778">
        <v>3</v>
      </c>
      <c r="E778" t="s">
        <v>324</v>
      </c>
      <c r="F778" t="s">
        <v>373</v>
      </c>
      <c r="G778">
        <f t="shared" si="36"/>
        <v>42.782608695652172</v>
      </c>
      <c r="H778">
        <f t="shared" si="37"/>
        <v>0.86956521739130432</v>
      </c>
      <c r="I778">
        <v>43.83</v>
      </c>
      <c r="J778">
        <f t="shared" si="38"/>
        <v>56.347826086956523</v>
      </c>
      <c r="K778">
        <v>0.8</v>
      </c>
      <c r="L778">
        <v>0.1</v>
      </c>
      <c r="M778">
        <v>0.7</v>
      </c>
      <c r="N778">
        <v>324</v>
      </c>
      <c r="O778">
        <v>246</v>
      </c>
      <c r="P778">
        <v>5</v>
      </c>
      <c r="Q778">
        <v>43.65</v>
      </c>
      <c r="R778" t="s">
        <v>389</v>
      </c>
      <c r="S778">
        <v>1.03</v>
      </c>
      <c r="U778">
        <v>148</v>
      </c>
    </row>
    <row r="779" spans="1:21" x14ac:dyDescent="0.25">
      <c r="A779" s="2">
        <v>46045.762349537035</v>
      </c>
      <c r="B779" t="s">
        <v>309</v>
      </c>
      <c r="C779" t="s">
        <v>372</v>
      </c>
      <c r="D779">
        <v>3</v>
      </c>
      <c r="E779" t="s">
        <v>118</v>
      </c>
      <c r="F779" t="s">
        <v>373</v>
      </c>
      <c r="G779">
        <f t="shared" si="36"/>
        <v>9.3862815884476536</v>
      </c>
      <c r="H779">
        <f t="shared" si="37"/>
        <v>0.18050541516245489</v>
      </c>
      <c r="I779">
        <v>43.83</v>
      </c>
      <c r="J779">
        <f t="shared" si="38"/>
        <v>90.433212996389884</v>
      </c>
      <c r="K779">
        <v>0.8</v>
      </c>
      <c r="L779">
        <v>0.1</v>
      </c>
      <c r="M779">
        <v>0.7</v>
      </c>
      <c r="N779">
        <v>501</v>
      </c>
      <c r="O779">
        <v>52</v>
      </c>
      <c r="P779">
        <v>1</v>
      </c>
      <c r="Q779">
        <v>9.57</v>
      </c>
      <c r="R779" t="s">
        <v>295</v>
      </c>
      <c r="S779">
        <v>0.2</v>
      </c>
      <c r="U779">
        <v>161</v>
      </c>
    </row>
    <row r="780" spans="1:21" x14ac:dyDescent="0.25">
      <c r="A780" s="2">
        <v>46045.762743055559</v>
      </c>
      <c r="B780" t="s">
        <v>309</v>
      </c>
      <c r="C780" t="s">
        <v>372</v>
      </c>
      <c r="D780">
        <v>3</v>
      </c>
      <c r="E780" t="s">
        <v>137</v>
      </c>
      <c r="F780" t="s">
        <v>373</v>
      </c>
      <c r="G780">
        <f t="shared" si="36"/>
        <v>85.049365303244002</v>
      </c>
      <c r="H780">
        <f t="shared" si="37"/>
        <v>1.4104372355430184</v>
      </c>
      <c r="I780">
        <v>43.83</v>
      </c>
      <c r="J780">
        <f t="shared" si="38"/>
        <v>13.540197461212976</v>
      </c>
      <c r="K780">
        <v>0.8</v>
      </c>
      <c r="L780">
        <v>0.1</v>
      </c>
      <c r="M780">
        <v>0.7</v>
      </c>
      <c r="N780">
        <v>96</v>
      </c>
      <c r="O780">
        <v>603</v>
      </c>
      <c r="P780">
        <v>10</v>
      </c>
      <c r="Q780">
        <v>86.46</v>
      </c>
      <c r="R780" t="s">
        <v>395</v>
      </c>
      <c r="S780">
        <v>2.54</v>
      </c>
      <c r="U780">
        <v>43</v>
      </c>
    </row>
    <row r="781" spans="1:21" x14ac:dyDescent="0.25">
      <c r="A781" s="2">
        <v>46045.763298611113</v>
      </c>
      <c r="B781" t="s">
        <v>309</v>
      </c>
      <c r="C781" t="s">
        <v>372</v>
      </c>
      <c r="D781">
        <v>3</v>
      </c>
      <c r="E781" t="s">
        <v>162</v>
      </c>
      <c r="F781" t="s">
        <v>373</v>
      </c>
      <c r="G781">
        <f t="shared" si="36"/>
        <v>1.2012012012012012</v>
      </c>
      <c r="H781">
        <f t="shared" si="37"/>
        <v>0</v>
      </c>
      <c r="I781">
        <v>43.83</v>
      </c>
      <c r="J781">
        <f t="shared" si="38"/>
        <v>98.798798798798799</v>
      </c>
      <c r="K781">
        <v>0.8</v>
      </c>
      <c r="L781">
        <v>0.1</v>
      </c>
      <c r="M781">
        <v>0.7</v>
      </c>
      <c r="N781">
        <v>658</v>
      </c>
      <c r="O781">
        <v>8</v>
      </c>
      <c r="P781">
        <v>0</v>
      </c>
      <c r="Q781">
        <v>1.2</v>
      </c>
      <c r="R781" t="s">
        <v>390</v>
      </c>
      <c r="S781">
        <v>0.03</v>
      </c>
      <c r="U781">
        <v>27</v>
      </c>
    </row>
    <row r="782" spans="1:21" x14ac:dyDescent="0.25">
      <c r="A782" s="2">
        <v>46045.763668981483</v>
      </c>
      <c r="B782" t="s">
        <v>309</v>
      </c>
      <c r="C782" t="s">
        <v>372</v>
      </c>
      <c r="D782">
        <v>3</v>
      </c>
      <c r="E782" t="s">
        <v>179</v>
      </c>
      <c r="F782" t="s">
        <v>373</v>
      </c>
      <c r="G782">
        <f t="shared" si="36"/>
        <v>20.126782884310618</v>
      </c>
      <c r="H782">
        <f t="shared" si="37"/>
        <v>0.15847860538827258</v>
      </c>
      <c r="I782">
        <v>43.83</v>
      </c>
      <c r="J782">
        <f t="shared" si="38"/>
        <v>79.714738510301103</v>
      </c>
      <c r="K782">
        <v>0.8</v>
      </c>
      <c r="L782">
        <v>0.1</v>
      </c>
      <c r="M782">
        <v>0.7</v>
      </c>
      <c r="N782">
        <v>503</v>
      </c>
      <c r="O782">
        <v>127</v>
      </c>
      <c r="P782">
        <v>1</v>
      </c>
      <c r="Q782">
        <v>20.29</v>
      </c>
      <c r="R782" t="s">
        <v>392</v>
      </c>
      <c r="S782">
        <v>0.53</v>
      </c>
      <c r="U782">
        <v>93</v>
      </c>
    </row>
    <row r="783" spans="1:21" x14ac:dyDescent="0.25">
      <c r="A783" s="2">
        <v>46045.764074074075</v>
      </c>
      <c r="B783" t="s">
        <v>309</v>
      </c>
      <c r="C783" t="s">
        <v>372</v>
      </c>
      <c r="D783">
        <v>3</v>
      </c>
      <c r="E783" t="s">
        <v>204</v>
      </c>
      <c r="F783" t="s">
        <v>373</v>
      </c>
      <c r="G783">
        <f t="shared" si="36"/>
        <v>1.478743068391867</v>
      </c>
      <c r="H783">
        <f t="shared" si="37"/>
        <v>0</v>
      </c>
      <c r="I783">
        <v>43.83</v>
      </c>
      <c r="J783">
        <f t="shared" si="38"/>
        <v>98.521256931608136</v>
      </c>
      <c r="K783">
        <v>0.8</v>
      </c>
      <c r="L783">
        <v>0.1</v>
      </c>
      <c r="M783">
        <v>0.7</v>
      </c>
      <c r="N783">
        <v>533</v>
      </c>
      <c r="O783">
        <v>8</v>
      </c>
      <c r="P783">
        <v>0</v>
      </c>
      <c r="Q783">
        <v>1.48</v>
      </c>
      <c r="R783" t="s">
        <v>379</v>
      </c>
      <c r="S783">
        <v>0.04</v>
      </c>
      <c r="U783">
        <v>27</v>
      </c>
    </row>
    <row r="784" spans="1:21" x14ac:dyDescent="0.25">
      <c r="A784" s="2">
        <v>46045.764421296299</v>
      </c>
      <c r="B784" t="s">
        <v>309</v>
      </c>
      <c r="C784" t="s">
        <v>372</v>
      </c>
      <c r="D784">
        <v>3</v>
      </c>
      <c r="E784" t="s">
        <v>207</v>
      </c>
      <c r="F784" t="s">
        <v>373</v>
      </c>
      <c r="G784">
        <f t="shared" si="36"/>
        <v>7.6923076923076925</v>
      </c>
      <c r="H784">
        <f t="shared" si="37"/>
        <v>0</v>
      </c>
      <c r="I784">
        <v>43.83</v>
      </c>
      <c r="J784">
        <f t="shared" si="38"/>
        <v>92.307692307692307</v>
      </c>
      <c r="K784">
        <v>0.8</v>
      </c>
      <c r="L784">
        <v>0.1</v>
      </c>
      <c r="M784">
        <v>0.7</v>
      </c>
      <c r="N784">
        <v>504</v>
      </c>
      <c r="O784">
        <v>42</v>
      </c>
      <c r="P784">
        <v>0</v>
      </c>
      <c r="Q784">
        <v>7.69</v>
      </c>
      <c r="R784" t="s">
        <v>295</v>
      </c>
      <c r="S784">
        <v>0.2</v>
      </c>
      <c r="U784">
        <v>90</v>
      </c>
    </row>
    <row r="785" spans="1:21" x14ac:dyDescent="0.25">
      <c r="A785" s="2">
        <v>46045.764814814815</v>
      </c>
      <c r="B785" t="s">
        <v>309</v>
      </c>
      <c r="C785" t="s">
        <v>372</v>
      </c>
      <c r="D785">
        <v>3</v>
      </c>
      <c r="E785" t="s">
        <v>212</v>
      </c>
      <c r="F785" t="s">
        <v>373</v>
      </c>
      <c r="G785">
        <f t="shared" si="36"/>
        <v>44.800000000000004</v>
      </c>
      <c r="H785">
        <f t="shared" si="37"/>
        <v>0.96</v>
      </c>
      <c r="I785">
        <v>43.83</v>
      </c>
      <c r="J785">
        <f t="shared" si="38"/>
        <v>54.24</v>
      </c>
      <c r="K785">
        <v>0.8</v>
      </c>
      <c r="L785">
        <v>0.1</v>
      </c>
      <c r="M785">
        <v>0.7</v>
      </c>
      <c r="N785">
        <v>339</v>
      </c>
      <c r="O785">
        <v>280</v>
      </c>
      <c r="P785">
        <v>6</v>
      </c>
      <c r="Q785">
        <v>45.76</v>
      </c>
      <c r="R785" t="s">
        <v>385</v>
      </c>
      <c r="S785">
        <v>1.18</v>
      </c>
      <c r="U785">
        <v>68</v>
      </c>
    </row>
    <row r="786" spans="1:21" x14ac:dyDescent="0.25">
      <c r="A786" s="2">
        <v>46045.765335648146</v>
      </c>
      <c r="B786" t="s">
        <v>309</v>
      </c>
      <c r="C786" t="s">
        <v>372</v>
      </c>
      <c r="D786">
        <v>3</v>
      </c>
      <c r="E786" t="s">
        <v>34</v>
      </c>
      <c r="F786" t="s">
        <v>373</v>
      </c>
      <c r="G786">
        <f t="shared" si="36"/>
        <v>34.132841328413285</v>
      </c>
      <c r="H786">
        <f t="shared" si="37"/>
        <v>0.18450184501845018</v>
      </c>
      <c r="I786">
        <v>43.83</v>
      </c>
      <c r="J786">
        <f t="shared" si="38"/>
        <v>65.682656826568262</v>
      </c>
      <c r="K786">
        <v>0.8</v>
      </c>
      <c r="L786">
        <v>0.1</v>
      </c>
      <c r="M786">
        <v>0.7</v>
      </c>
      <c r="N786">
        <v>356</v>
      </c>
      <c r="O786">
        <v>185</v>
      </c>
      <c r="P786">
        <v>1</v>
      </c>
      <c r="Q786">
        <v>34.32</v>
      </c>
      <c r="R786" t="s">
        <v>295</v>
      </c>
      <c r="S786">
        <v>0.76</v>
      </c>
      <c r="U786">
        <v>121</v>
      </c>
    </row>
    <row r="787" spans="1:21" x14ac:dyDescent="0.25">
      <c r="A787" s="2">
        <v>46045.765717592592</v>
      </c>
      <c r="B787" t="s">
        <v>309</v>
      </c>
      <c r="C787" t="s">
        <v>372</v>
      </c>
      <c r="D787">
        <v>3</v>
      </c>
      <c r="E787" t="s">
        <v>36</v>
      </c>
      <c r="F787" t="s">
        <v>373</v>
      </c>
      <c r="G787">
        <f t="shared" si="36"/>
        <v>17.820324005891017</v>
      </c>
      <c r="H787">
        <f t="shared" si="37"/>
        <v>0.14727540500736377</v>
      </c>
      <c r="I787">
        <v>43.83</v>
      </c>
      <c r="J787">
        <f t="shared" si="38"/>
        <v>82.032400589101613</v>
      </c>
      <c r="K787">
        <v>0.8</v>
      </c>
      <c r="L787">
        <v>0.1</v>
      </c>
      <c r="M787">
        <v>0.7</v>
      </c>
      <c r="N787">
        <v>557</v>
      </c>
      <c r="O787">
        <v>121</v>
      </c>
      <c r="P787">
        <v>1</v>
      </c>
      <c r="Q787">
        <v>17.97</v>
      </c>
      <c r="R787" t="s">
        <v>378</v>
      </c>
      <c r="S787">
        <v>0.49</v>
      </c>
      <c r="U787">
        <v>53</v>
      </c>
    </row>
    <row r="788" spans="1:21" x14ac:dyDescent="0.25">
      <c r="A788" s="2">
        <v>46045.766111111108</v>
      </c>
      <c r="B788" t="s">
        <v>309</v>
      </c>
      <c r="C788" t="s">
        <v>372</v>
      </c>
      <c r="D788">
        <v>3</v>
      </c>
      <c r="E788" t="s">
        <v>41</v>
      </c>
      <c r="F788" t="s">
        <v>373</v>
      </c>
      <c r="G788">
        <f t="shared" si="36"/>
        <v>0.98199672667757776</v>
      </c>
      <c r="H788">
        <f t="shared" si="37"/>
        <v>0</v>
      </c>
      <c r="I788">
        <v>43.83</v>
      </c>
      <c r="J788">
        <f t="shared" si="38"/>
        <v>99.018003273322421</v>
      </c>
      <c r="K788">
        <v>0.8</v>
      </c>
      <c r="L788">
        <v>0.1</v>
      </c>
      <c r="M788">
        <v>0.7</v>
      </c>
      <c r="N788">
        <v>605</v>
      </c>
      <c r="O788">
        <v>6</v>
      </c>
      <c r="P788">
        <v>0</v>
      </c>
      <c r="Q788">
        <v>0.98</v>
      </c>
      <c r="R788" t="s">
        <v>379</v>
      </c>
      <c r="S788">
        <v>0.02</v>
      </c>
      <c r="U788">
        <v>28</v>
      </c>
    </row>
    <row r="789" spans="1:21" x14ac:dyDescent="0.25">
      <c r="A789" s="2">
        <v>46045.766469907408</v>
      </c>
      <c r="B789" t="s">
        <v>309</v>
      </c>
      <c r="C789" t="s">
        <v>372</v>
      </c>
      <c r="D789">
        <v>3</v>
      </c>
      <c r="E789" t="s">
        <v>42</v>
      </c>
      <c r="F789" t="s">
        <v>373</v>
      </c>
      <c r="G789">
        <f t="shared" si="36"/>
        <v>2.2189349112426036</v>
      </c>
      <c r="H789">
        <f t="shared" si="37"/>
        <v>0</v>
      </c>
      <c r="I789">
        <v>43.83</v>
      </c>
      <c r="J789">
        <f t="shared" si="38"/>
        <v>97.781065088757401</v>
      </c>
      <c r="K789">
        <v>0.8</v>
      </c>
      <c r="L789">
        <v>0.1</v>
      </c>
      <c r="M789">
        <v>0.7</v>
      </c>
      <c r="N789">
        <v>661</v>
      </c>
      <c r="O789">
        <v>15</v>
      </c>
      <c r="P789">
        <v>0</v>
      </c>
      <c r="Q789">
        <v>2.2200000000000002</v>
      </c>
      <c r="R789" t="s">
        <v>384</v>
      </c>
      <c r="S789">
        <v>0.06</v>
      </c>
      <c r="U789">
        <v>26</v>
      </c>
    </row>
    <row r="790" spans="1:21" x14ac:dyDescent="0.25">
      <c r="A790" s="2">
        <v>46045.766828703701</v>
      </c>
      <c r="B790" t="s">
        <v>309</v>
      </c>
      <c r="C790" t="s">
        <v>372</v>
      </c>
      <c r="D790">
        <v>3</v>
      </c>
      <c r="E790" t="s">
        <v>43</v>
      </c>
      <c r="F790" t="s">
        <v>373</v>
      </c>
      <c r="G790">
        <f t="shared" si="36"/>
        <v>15.613382899628252</v>
      </c>
      <c r="H790">
        <f t="shared" si="37"/>
        <v>0</v>
      </c>
      <c r="I790">
        <v>43.83</v>
      </c>
      <c r="J790">
        <f t="shared" si="38"/>
        <v>84.386617100371751</v>
      </c>
      <c r="K790">
        <v>0.8</v>
      </c>
      <c r="L790">
        <v>0.1</v>
      </c>
      <c r="M790">
        <v>0.7</v>
      </c>
      <c r="N790">
        <v>454</v>
      </c>
      <c r="O790">
        <v>84</v>
      </c>
      <c r="P790">
        <v>0</v>
      </c>
      <c r="Q790">
        <v>15.61</v>
      </c>
      <c r="R790" t="s">
        <v>390</v>
      </c>
      <c r="S790">
        <v>0.35</v>
      </c>
      <c r="U790">
        <v>175</v>
      </c>
    </row>
    <row r="791" spans="1:21" x14ac:dyDescent="0.25">
      <c r="A791" s="2">
        <v>46045.767210648148</v>
      </c>
      <c r="B791" t="s">
        <v>309</v>
      </c>
      <c r="C791" t="s">
        <v>372</v>
      </c>
      <c r="D791">
        <v>3</v>
      </c>
      <c r="E791" t="s">
        <v>54</v>
      </c>
      <c r="F791" t="s">
        <v>373</v>
      </c>
      <c r="G791">
        <f t="shared" si="36"/>
        <v>0.75642965204236012</v>
      </c>
      <c r="H791">
        <f t="shared" si="37"/>
        <v>0</v>
      </c>
      <c r="I791">
        <v>43.83</v>
      </c>
      <c r="J791">
        <f t="shared" si="38"/>
        <v>99.243570347957643</v>
      </c>
      <c r="K791">
        <v>0.8</v>
      </c>
      <c r="L791">
        <v>0.1</v>
      </c>
      <c r="M791">
        <v>0.7</v>
      </c>
      <c r="N791">
        <v>656</v>
      </c>
      <c r="O791">
        <v>5</v>
      </c>
      <c r="P791">
        <v>0</v>
      </c>
      <c r="Q791">
        <v>0.76</v>
      </c>
      <c r="R791" t="s">
        <v>384</v>
      </c>
      <c r="S791">
        <v>0.02</v>
      </c>
      <c r="U791">
        <v>15</v>
      </c>
    </row>
    <row r="792" spans="1:21" x14ac:dyDescent="0.25">
      <c r="A792" s="2">
        <v>46045.767569444448</v>
      </c>
      <c r="B792" t="s">
        <v>309</v>
      </c>
      <c r="C792" t="s">
        <v>372</v>
      </c>
      <c r="D792">
        <v>3</v>
      </c>
      <c r="E792" t="s">
        <v>75</v>
      </c>
      <c r="F792" t="s">
        <v>373</v>
      </c>
      <c r="G792">
        <f t="shared" si="36"/>
        <v>2.0280811232449301</v>
      </c>
      <c r="H792">
        <f t="shared" si="37"/>
        <v>0</v>
      </c>
      <c r="I792">
        <v>43.83</v>
      </c>
      <c r="J792">
        <f t="shared" si="38"/>
        <v>97.971918876755069</v>
      </c>
      <c r="K792">
        <v>0.8</v>
      </c>
      <c r="L792">
        <v>0.1</v>
      </c>
      <c r="M792">
        <v>0.7</v>
      </c>
      <c r="N792">
        <v>628</v>
      </c>
      <c r="O792">
        <v>13</v>
      </c>
      <c r="P792">
        <v>0</v>
      </c>
      <c r="Q792">
        <v>2.0299999999999998</v>
      </c>
      <c r="R792" t="s">
        <v>379</v>
      </c>
      <c r="S792">
        <v>0.05</v>
      </c>
      <c r="U792">
        <v>36</v>
      </c>
    </row>
    <row r="793" spans="1:21" x14ac:dyDescent="0.25">
      <c r="A793" s="2">
        <v>46045.767916666664</v>
      </c>
      <c r="B793" t="s">
        <v>309</v>
      </c>
      <c r="C793" t="s">
        <v>372</v>
      </c>
      <c r="D793">
        <v>3</v>
      </c>
      <c r="E793" t="s">
        <v>324</v>
      </c>
      <c r="F793" t="s">
        <v>373</v>
      </c>
      <c r="G793">
        <f t="shared" si="36"/>
        <v>43.031358885017426</v>
      </c>
      <c r="H793">
        <f t="shared" si="37"/>
        <v>0.52264808362369342</v>
      </c>
      <c r="I793">
        <v>43.83</v>
      </c>
      <c r="J793">
        <f t="shared" si="38"/>
        <v>56.445993031358888</v>
      </c>
      <c r="K793">
        <v>0.8</v>
      </c>
      <c r="L793">
        <v>0.1</v>
      </c>
      <c r="M793">
        <v>0.7</v>
      </c>
      <c r="N793">
        <v>324</v>
      </c>
      <c r="O793">
        <v>247</v>
      </c>
      <c r="P793">
        <v>3</v>
      </c>
      <c r="Q793">
        <v>43.55</v>
      </c>
      <c r="R793" t="s">
        <v>385</v>
      </c>
      <c r="S793">
        <v>1.03</v>
      </c>
      <c r="U793">
        <v>149</v>
      </c>
    </row>
    <row r="794" spans="1:21" x14ac:dyDescent="0.25">
      <c r="A794" s="2">
        <v>46045.76834490741</v>
      </c>
      <c r="B794" t="s">
        <v>309</v>
      </c>
      <c r="C794" t="s">
        <v>372</v>
      </c>
      <c r="D794">
        <v>3</v>
      </c>
      <c r="E794" t="s">
        <v>118</v>
      </c>
      <c r="F794" t="s">
        <v>373</v>
      </c>
      <c r="G794">
        <f t="shared" si="36"/>
        <v>9.3862815884476536</v>
      </c>
      <c r="H794">
        <f t="shared" si="37"/>
        <v>0.18050541516245489</v>
      </c>
      <c r="I794">
        <v>43.83</v>
      </c>
      <c r="J794">
        <f t="shared" si="38"/>
        <v>90.433212996389884</v>
      </c>
      <c r="K794">
        <v>0.8</v>
      </c>
      <c r="L794">
        <v>0.1</v>
      </c>
      <c r="M794">
        <v>0.7</v>
      </c>
      <c r="N794">
        <v>501</v>
      </c>
      <c r="O794">
        <v>52</v>
      </c>
      <c r="P794">
        <v>1</v>
      </c>
      <c r="Q794">
        <v>9.57</v>
      </c>
      <c r="R794" t="s">
        <v>390</v>
      </c>
      <c r="S794">
        <v>0.2</v>
      </c>
      <c r="U794">
        <v>161</v>
      </c>
    </row>
    <row r="795" spans="1:21" x14ac:dyDescent="0.25">
      <c r="A795" s="2">
        <v>46045.768726851849</v>
      </c>
      <c r="B795" t="s">
        <v>309</v>
      </c>
      <c r="C795" t="s">
        <v>372</v>
      </c>
      <c r="D795">
        <v>3</v>
      </c>
      <c r="E795" t="s">
        <v>137</v>
      </c>
      <c r="F795" t="s">
        <v>373</v>
      </c>
      <c r="G795">
        <f t="shared" si="36"/>
        <v>85.049365303244002</v>
      </c>
      <c r="H795">
        <f t="shared" si="37"/>
        <v>1.4104372355430184</v>
      </c>
      <c r="I795">
        <v>43.83</v>
      </c>
      <c r="J795">
        <f t="shared" si="38"/>
        <v>13.540197461212976</v>
      </c>
      <c r="K795">
        <v>0.8</v>
      </c>
      <c r="L795">
        <v>0.1</v>
      </c>
      <c r="M795">
        <v>0.7</v>
      </c>
      <c r="N795">
        <v>96</v>
      </c>
      <c r="O795">
        <v>603</v>
      </c>
      <c r="P795">
        <v>10</v>
      </c>
      <c r="Q795">
        <v>86.46</v>
      </c>
      <c r="R795" t="s">
        <v>399</v>
      </c>
      <c r="S795">
        <v>2.54</v>
      </c>
      <c r="U795">
        <v>43</v>
      </c>
    </row>
    <row r="796" spans="1:21" x14ac:dyDescent="0.25">
      <c r="A796" s="2">
        <v>46045.769247685188</v>
      </c>
      <c r="B796" t="s">
        <v>309</v>
      </c>
      <c r="C796" t="s">
        <v>372</v>
      </c>
      <c r="D796">
        <v>3</v>
      </c>
      <c r="E796" t="s">
        <v>162</v>
      </c>
      <c r="F796" t="s">
        <v>373</v>
      </c>
      <c r="G796">
        <f t="shared" si="36"/>
        <v>1.2012012012012012</v>
      </c>
      <c r="H796">
        <f t="shared" si="37"/>
        <v>0</v>
      </c>
      <c r="I796">
        <v>43.83</v>
      </c>
      <c r="J796">
        <f t="shared" si="38"/>
        <v>98.798798798798799</v>
      </c>
      <c r="K796">
        <v>0.8</v>
      </c>
      <c r="L796">
        <v>0.1</v>
      </c>
      <c r="M796">
        <v>0.7</v>
      </c>
      <c r="N796">
        <v>658</v>
      </c>
      <c r="O796">
        <v>8</v>
      </c>
      <c r="P796">
        <v>0</v>
      </c>
      <c r="Q796">
        <v>1.2</v>
      </c>
      <c r="R796" t="s">
        <v>384</v>
      </c>
      <c r="S796">
        <v>0.03</v>
      </c>
      <c r="U796">
        <v>27</v>
      </c>
    </row>
    <row r="797" spans="1:21" x14ac:dyDescent="0.25">
      <c r="A797" s="2">
        <v>46045.769606481481</v>
      </c>
      <c r="B797" t="s">
        <v>309</v>
      </c>
      <c r="C797" t="s">
        <v>372</v>
      </c>
      <c r="D797">
        <v>3</v>
      </c>
      <c r="E797" t="s">
        <v>179</v>
      </c>
      <c r="F797" t="s">
        <v>373</v>
      </c>
      <c r="G797">
        <f t="shared" si="36"/>
        <v>20.126782884310618</v>
      </c>
      <c r="H797">
        <f t="shared" si="37"/>
        <v>0.15847860538827258</v>
      </c>
      <c r="I797">
        <v>43.83</v>
      </c>
      <c r="J797">
        <f t="shared" si="38"/>
        <v>79.714738510301103</v>
      </c>
      <c r="K797">
        <v>0.8</v>
      </c>
      <c r="L797">
        <v>0.1</v>
      </c>
      <c r="M797">
        <v>0.7</v>
      </c>
      <c r="N797">
        <v>503</v>
      </c>
      <c r="O797">
        <v>127</v>
      </c>
      <c r="P797">
        <v>1</v>
      </c>
      <c r="Q797">
        <v>20.29</v>
      </c>
      <c r="R797" t="s">
        <v>378</v>
      </c>
      <c r="S797">
        <v>0.53</v>
      </c>
      <c r="U797">
        <v>93</v>
      </c>
    </row>
    <row r="798" spans="1:21" x14ac:dyDescent="0.25">
      <c r="A798" s="2">
        <v>46045.770011574074</v>
      </c>
      <c r="B798" t="s">
        <v>309</v>
      </c>
      <c r="C798" t="s">
        <v>372</v>
      </c>
      <c r="D798">
        <v>3</v>
      </c>
      <c r="E798" t="s">
        <v>204</v>
      </c>
      <c r="F798" t="s">
        <v>373</v>
      </c>
      <c r="G798">
        <f t="shared" si="36"/>
        <v>1.478743068391867</v>
      </c>
      <c r="H798">
        <f t="shared" si="37"/>
        <v>0</v>
      </c>
      <c r="I798">
        <v>43.83</v>
      </c>
      <c r="J798">
        <f t="shared" si="38"/>
        <v>98.521256931608136</v>
      </c>
      <c r="K798">
        <v>0.8</v>
      </c>
      <c r="L798">
        <v>0.1</v>
      </c>
      <c r="M798">
        <v>0.7</v>
      </c>
      <c r="N798">
        <v>533</v>
      </c>
      <c r="O798">
        <v>8</v>
      </c>
      <c r="P798">
        <v>0</v>
      </c>
      <c r="Q798">
        <v>1.48</v>
      </c>
      <c r="R798" t="s">
        <v>383</v>
      </c>
      <c r="S798">
        <v>0.04</v>
      </c>
      <c r="U798">
        <v>27</v>
      </c>
    </row>
    <row r="799" spans="1:21" x14ac:dyDescent="0.25">
      <c r="A799" s="2">
        <v>46045.77034722222</v>
      </c>
      <c r="B799" t="s">
        <v>309</v>
      </c>
      <c r="C799" t="s">
        <v>372</v>
      </c>
      <c r="D799">
        <v>3</v>
      </c>
      <c r="E799" t="s">
        <v>207</v>
      </c>
      <c r="F799" t="s">
        <v>373</v>
      </c>
      <c r="G799">
        <f t="shared" si="36"/>
        <v>7.6923076923076925</v>
      </c>
      <c r="H799">
        <f t="shared" si="37"/>
        <v>0</v>
      </c>
      <c r="I799">
        <v>43.83</v>
      </c>
      <c r="J799">
        <f t="shared" si="38"/>
        <v>92.307692307692307</v>
      </c>
      <c r="K799">
        <v>0.8</v>
      </c>
      <c r="L799">
        <v>0.1</v>
      </c>
      <c r="M799">
        <v>0.7</v>
      </c>
      <c r="N799">
        <v>504</v>
      </c>
      <c r="O799">
        <v>42</v>
      </c>
      <c r="P799">
        <v>0</v>
      </c>
      <c r="Q799">
        <v>7.69</v>
      </c>
      <c r="R799" t="s">
        <v>379</v>
      </c>
      <c r="S799">
        <v>0.2</v>
      </c>
      <c r="U799">
        <v>90</v>
      </c>
    </row>
    <row r="800" spans="1:21" x14ac:dyDescent="0.25">
      <c r="A800" s="2">
        <v>46045.77070601852</v>
      </c>
      <c r="B800" t="s">
        <v>309</v>
      </c>
      <c r="C800" t="s">
        <v>372</v>
      </c>
      <c r="D800">
        <v>3</v>
      </c>
      <c r="E800" t="s">
        <v>212</v>
      </c>
      <c r="F800" t="s">
        <v>373</v>
      </c>
      <c r="G800">
        <f t="shared" si="36"/>
        <v>44.800000000000004</v>
      </c>
      <c r="H800">
        <f t="shared" si="37"/>
        <v>0.96</v>
      </c>
      <c r="I800">
        <v>43.83</v>
      </c>
      <c r="J800">
        <f t="shared" si="38"/>
        <v>54.24</v>
      </c>
      <c r="K800">
        <v>0.8</v>
      </c>
      <c r="L800">
        <v>0.1</v>
      </c>
      <c r="M800">
        <v>0.7</v>
      </c>
      <c r="N800">
        <v>339</v>
      </c>
      <c r="O800">
        <v>280</v>
      </c>
      <c r="P800">
        <v>6</v>
      </c>
      <c r="Q800">
        <v>45.76</v>
      </c>
      <c r="R800" t="s">
        <v>387</v>
      </c>
      <c r="S800">
        <v>1.18</v>
      </c>
      <c r="U800">
        <v>68</v>
      </c>
    </row>
    <row r="801" spans="1:21" x14ac:dyDescent="0.25">
      <c r="A801" s="2">
        <v>46045.765416666669</v>
      </c>
      <c r="B801" t="s">
        <v>309</v>
      </c>
      <c r="C801" t="s">
        <v>372</v>
      </c>
      <c r="D801">
        <v>3</v>
      </c>
      <c r="E801" t="s">
        <v>34</v>
      </c>
      <c r="F801" t="s">
        <v>373</v>
      </c>
      <c r="G801">
        <f t="shared" si="36"/>
        <v>34.132841328413285</v>
      </c>
      <c r="H801">
        <f t="shared" si="37"/>
        <v>0.18450184501845018</v>
      </c>
      <c r="I801">
        <v>43.83</v>
      </c>
      <c r="J801">
        <f t="shared" si="38"/>
        <v>65.682656826568262</v>
      </c>
      <c r="K801">
        <v>0.8</v>
      </c>
      <c r="L801">
        <v>0.1</v>
      </c>
      <c r="M801">
        <v>0.7</v>
      </c>
      <c r="N801">
        <v>356</v>
      </c>
      <c r="O801">
        <v>185</v>
      </c>
      <c r="P801">
        <v>1</v>
      </c>
      <c r="Q801">
        <v>34.32</v>
      </c>
      <c r="R801" t="s">
        <v>378</v>
      </c>
      <c r="S801">
        <v>0.76</v>
      </c>
      <c r="U801">
        <v>121</v>
      </c>
    </row>
    <row r="802" spans="1:21" x14ac:dyDescent="0.25">
      <c r="A802" s="2">
        <v>46045.765821759262</v>
      </c>
      <c r="B802" t="s">
        <v>309</v>
      </c>
      <c r="C802" t="s">
        <v>372</v>
      </c>
      <c r="D802">
        <v>3</v>
      </c>
      <c r="E802" t="s">
        <v>36</v>
      </c>
      <c r="F802" t="s">
        <v>373</v>
      </c>
      <c r="G802">
        <f t="shared" si="36"/>
        <v>17.820324005891017</v>
      </c>
      <c r="H802">
        <f t="shared" si="37"/>
        <v>0.14727540500736377</v>
      </c>
      <c r="I802">
        <v>43.83</v>
      </c>
      <c r="J802">
        <f t="shared" si="38"/>
        <v>82.032400589101613</v>
      </c>
      <c r="K802">
        <v>0.8</v>
      </c>
      <c r="L802">
        <v>0.1</v>
      </c>
      <c r="M802">
        <v>0.7</v>
      </c>
      <c r="N802">
        <v>557</v>
      </c>
      <c r="O802">
        <v>121</v>
      </c>
      <c r="P802">
        <v>1</v>
      </c>
      <c r="Q802">
        <v>17.97</v>
      </c>
      <c r="R802" t="s">
        <v>295</v>
      </c>
      <c r="S802">
        <v>0.49</v>
      </c>
      <c r="U802">
        <v>53</v>
      </c>
    </row>
    <row r="803" spans="1:21" x14ac:dyDescent="0.25">
      <c r="A803" s="2">
        <v>46045.766215277778</v>
      </c>
      <c r="B803" t="s">
        <v>309</v>
      </c>
      <c r="C803" t="s">
        <v>372</v>
      </c>
      <c r="D803">
        <v>3</v>
      </c>
      <c r="E803" t="s">
        <v>41</v>
      </c>
      <c r="F803" t="s">
        <v>373</v>
      </c>
      <c r="G803">
        <f t="shared" si="36"/>
        <v>0.98199672667757776</v>
      </c>
      <c r="H803">
        <f t="shared" si="37"/>
        <v>0</v>
      </c>
      <c r="I803">
        <v>43.83</v>
      </c>
      <c r="J803">
        <f t="shared" si="38"/>
        <v>99.018003273322421</v>
      </c>
      <c r="K803">
        <v>0.8</v>
      </c>
      <c r="L803">
        <v>0.1</v>
      </c>
      <c r="M803">
        <v>0.7</v>
      </c>
      <c r="N803">
        <v>605</v>
      </c>
      <c r="O803">
        <v>6</v>
      </c>
      <c r="P803">
        <v>0</v>
      </c>
      <c r="Q803">
        <v>0.98</v>
      </c>
      <c r="R803" t="s">
        <v>379</v>
      </c>
      <c r="S803">
        <v>0.02</v>
      </c>
      <c r="U803">
        <v>28</v>
      </c>
    </row>
    <row r="804" spans="1:21" x14ac:dyDescent="0.25">
      <c r="A804" s="2">
        <v>46045.766574074078</v>
      </c>
      <c r="B804" t="s">
        <v>309</v>
      </c>
      <c r="C804" t="s">
        <v>372</v>
      </c>
      <c r="D804">
        <v>3</v>
      </c>
      <c r="E804" t="s">
        <v>42</v>
      </c>
      <c r="F804" t="s">
        <v>373</v>
      </c>
      <c r="G804">
        <f t="shared" si="36"/>
        <v>2.2189349112426036</v>
      </c>
      <c r="H804">
        <f t="shared" si="37"/>
        <v>0</v>
      </c>
      <c r="I804">
        <v>43.83</v>
      </c>
      <c r="J804">
        <f t="shared" si="38"/>
        <v>97.781065088757401</v>
      </c>
      <c r="K804">
        <v>0.8</v>
      </c>
      <c r="L804">
        <v>0.1</v>
      </c>
      <c r="M804">
        <v>0.7</v>
      </c>
      <c r="N804">
        <v>661</v>
      </c>
      <c r="O804">
        <v>15</v>
      </c>
      <c r="P804">
        <v>0</v>
      </c>
      <c r="Q804">
        <v>2.2200000000000002</v>
      </c>
      <c r="R804" t="s">
        <v>384</v>
      </c>
      <c r="S804">
        <v>0.06</v>
      </c>
      <c r="U804">
        <v>26</v>
      </c>
    </row>
    <row r="805" spans="1:21" x14ac:dyDescent="0.25">
      <c r="A805" s="2">
        <v>46045.766932870371</v>
      </c>
      <c r="B805" t="s">
        <v>309</v>
      </c>
      <c r="C805" t="s">
        <v>372</v>
      </c>
      <c r="D805">
        <v>3</v>
      </c>
      <c r="E805" t="s">
        <v>43</v>
      </c>
      <c r="F805" t="s">
        <v>373</v>
      </c>
      <c r="G805">
        <f t="shared" si="36"/>
        <v>15.613382899628252</v>
      </c>
      <c r="H805">
        <f t="shared" si="37"/>
        <v>0</v>
      </c>
      <c r="I805">
        <v>43.83</v>
      </c>
      <c r="J805">
        <f t="shared" si="38"/>
        <v>84.386617100371751</v>
      </c>
      <c r="K805">
        <v>0.8</v>
      </c>
      <c r="L805">
        <v>0.1</v>
      </c>
      <c r="M805">
        <v>0.7</v>
      </c>
      <c r="N805">
        <v>454</v>
      </c>
      <c r="O805">
        <v>84</v>
      </c>
      <c r="P805">
        <v>0</v>
      </c>
      <c r="Q805">
        <v>15.61</v>
      </c>
      <c r="R805" t="s">
        <v>390</v>
      </c>
      <c r="S805">
        <v>0.35</v>
      </c>
      <c r="U805">
        <v>175</v>
      </c>
    </row>
    <row r="806" spans="1:21" x14ac:dyDescent="0.25">
      <c r="A806" s="2">
        <v>46045.76730324074</v>
      </c>
      <c r="B806" t="s">
        <v>309</v>
      </c>
      <c r="C806" t="s">
        <v>372</v>
      </c>
      <c r="D806">
        <v>3</v>
      </c>
      <c r="E806" t="s">
        <v>54</v>
      </c>
      <c r="F806" t="s">
        <v>373</v>
      </c>
      <c r="G806">
        <f t="shared" si="36"/>
        <v>0.75642965204236012</v>
      </c>
      <c r="H806">
        <f t="shared" si="37"/>
        <v>0</v>
      </c>
      <c r="I806">
        <v>43.83</v>
      </c>
      <c r="J806">
        <f t="shared" si="38"/>
        <v>99.243570347957643</v>
      </c>
      <c r="K806">
        <v>0.8</v>
      </c>
      <c r="L806">
        <v>0.1</v>
      </c>
      <c r="M806">
        <v>0.7</v>
      </c>
      <c r="N806">
        <v>656</v>
      </c>
      <c r="O806">
        <v>5</v>
      </c>
      <c r="P806">
        <v>0</v>
      </c>
      <c r="Q806">
        <v>0.76</v>
      </c>
      <c r="R806" t="s">
        <v>384</v>
      </c>
      <c r="S806">
        <v>0.02</v>
      </c>
      <c r="U806">
        <v>15</v>
      </c>
    </row>
    <row r="807" spans="1:21" x14ac:dyDescent="0.25">
      <c r="A807" s="2">
        <v>46045.76767361111</v>
      </c>
      <c r="B807" t="s">
        <v>309</v>
      </c>
      <c r="C807" t="s">
        <v>372</v>
      </c>
      <c r="D807">
        <v>3</v>
      </c>
      <c r="E807" t="s">
        <v>75</v>
      </c>
      <c r="F807" t="s">
        <v>373</v>
      </c>
      <c r="G807">
        <f t="shared" si="36"/>
        <v>2.0280811232449301</v>
      </c>
      <c r="H807">
        <f t="shared" si="37"/>
        <v>0</v>
      </c>
      <c r="I807">
        <v>43.83</v>
      </c>
      <c r="J807">
        <f t="shared" si="38"/>
        <v>97.971918876755069</v>
      </c>
      <c r="K807">
        <v>0.8</v>
      </c>
      <c r="L807">
        <v>0.1</v>
      </c>
      <c r="M807">
        <v>0.7</v>
      </c>
      <c r="N807">
        <v>628</v>
      </c>
      <c r="O807">
        <v>13</v>
      </c>
      <c r="P807">
        <v>0</v>
      </c>
      <c r="Q807">
        <v>2.0299999999999998</v>
      </c>
      <c r="R807" t="s">
        <v>379</v>
      </c>
      <c r="S807">
        <v>0.05</v>
      </c>
      <c r="U807">
        <v>36</v>
      </c>
    </row>
    <row r="808" spans="1:21" x14ac:dyDescent="0.25">
      <c r="A808" s="2">
        <v>46045.76803240741</v>
      </c>
      <c r="B808" t="s">
        <v>309</v>
      </c>
      <c r="C808" t="s">
        <v>372</v>
      </c>
      <c r="D808">
        <v>3</v>
      </c>
      <c r="E808" t="s">
        <v>324</v>
      </c>
      <c r="F808" t="s">
        <v>373</v>
      </c>
      <c r="G808">
        <f t="shared" si="36"/>
        <v>43.031358885017426</v>
      </c>
      <c r="H808">
        <f t="shared" si="37"/>
        <v>0.52264808362369342</v>
      </c>
      <c r="I808">
        <v>43.83</v>
      </c>
      <c r="J808">
        <f t="shared" si="38"/>
        <v>56.445993031358888</v>
      </c>
      <c r="K808">
        <v>0.8</v>
      </c>
      <c r="L808">
        <v>0.1</v>
      </c>
      <c r="M808">
        <v>0.7</v>
      </c>
      <c r="N808">
        <v>324</v>
      </c>
      <c r="O808">
        <v>247</v>
      </c>
      <c r="P808">
        <v>3</v>
      </c>
      <c r="Q808">
        <v>43.55</v>
      </c>
      <c r="R808" t="s">
        <v>387</v>
      </c>
      <c r="S808">
        <v>1.03</v>
      </c>
      <c r="U808">
        <v>149</v>
      </c>
    </row>
    <row r="809" spans="1:21" x14ac:dyDescent="0.25">
      <c r="A809" s="2">
        <v>46045.768449074072</v>
      </c>
      <c r="B809" t="s">
        <v>309</v>
      </c>
      <c r="C809" t="s">
        <v>372</v>
      </c>
      <c r="D809">
        <v>3</v>
      </c>
      <c r="E809" t="s">
        <v>118</v>
      </c>
      <c r="F809" t="s">
        <v>373</v>
      </c>
      <c r="G809">
        <f t="shared" si="36"/>
        <v>9.3862815884476536</v>
      </c>
      <c r="H809">
        <f t="shared" si="37"/>
        <v>0.18050541516245489</v>
      </c>
      <c r="I809">
        <v>43.83</v>
      </c>
      <c r="J809">
        <f t="shared" si="38"/>
        <v>90.433212996389884</v>
      </c>
      <c r="K809">
        <v>0.8</v>
      </c>
      <c r="L809">
        <v>0.1</v>
      </c>
      <c r="M809">
        <v>0.7</v>
      </c>
      <c r="N809">
        <v>501</v>
      </c>
      <c r="O809">
        <v>52</v>
      </c>
      <c r="P809">
        <v>1</v>
      </c>
      <c r="Q809">
        <v>9.57</v>
      </c>
      <c r="R809" t="s">
        <v>390</v>
      </c>
      <c r="S809">
        <v>0.2</v>
      </c>
      <c r="U809">
        <v>161</v>
      </c>
    </row>
    <row r="810" spans="1:21" x14ac:dyDescent="0.25">
      <c r="A810" s="2">
        <v>46045.768819444442</v>
      </c>
      <c r="B810" t="s">
        <v>309</v>
      </c>
      <c r="C810" t="s">
        <v>372</v>
      </c>
      <c r="D810">
        <v>3</v>
      </c>
      <c r="E810" t="s">
        <v>137</v>
      </c>
      <c r="F810" t="s">
        <v>373</v>
      </c>
      <c r="G810">
        <f t="shared" si="36"/>
        <v>85.049365303244002</v>
      </c>
      <c r="H810">
        <f t="shared" si="37"/>
        <v>1.4104372355430184</v>
      </c>
      <c r="I810">
        <v>43.83</v>
      </c>
      <c r="J810">
        <f t="shared" si="38"/>
        <v>13.540197461212976</v>
      </c>
      <c r="K810">
        <v>0.8</v>
      </c>
      <c r="L810">
        <v>0.1</v>
      </c>
      <c r="M810">
        <v>0.7</v>
      </c>
      <c r="N810">
        <v>96</v>
      </c>
      <c r="O810">
        <v>603</v>
      </c>
      <c r="P810">
        <v>10</v>
      </c>
      <c r="Q810">
        <v>86.46</v>
      </c>
      <c r="R810" t="s">
        <v>400</v>
      </c>
      <c r="S810">
        <v>2.54</v>
      </c>
      <c r="U810">
        <v>43</v>
      </c>
    </row>
    <row r="811" spans="1:21" x14ac:dyDescent="0.25">
      <c r="A811" s="2">
        <v>46045.76934027778</v>
      </c>
      <c r="B811" t="s">
        <v>309</v>
      </c>
      <c r="C811" t="s">
        <v>372</v>
      </c>
      <c r="D811">
        <v>3</v>
      </c>
      <c r="E811" t="s">
        <v>162</v>
      </c>
      <c r="F811" t="s">
        <v>373</v>
      </c>
      <c r="G811">
        <f t="shared" si="36"/>
        <v>1.2012012012012012</v>
      </c>
      <c r="H811">
        <f t="shared" si="37"/>
        <v>0</v>
      </c>
      <c r="I811">
        <v>43.83</v>
      </c>
      <c r="J811">
        <f t="shared" si="38"/>
        <v>98.798798798798799</v>
      </c>
      <c r="K811">
        <v>0.8</v>
      </c>
      <c r="L811">
        <v>0.1</v>
      </c>
      <c r="M811">
        <v>0.7</v>
      </c>
      <c r="N811">
        <v>658</v>
      </c>
      <c r="O811">
        <v>8</v>
      </c>
      <c r="P811">
        <v>0</v>
      </c>
      <c r="Q811">
        <v>1.2</v>
      </c>
      <c r="R811" t="s">
        <v>384</v>
      </c>
      <c r="S811">
        <v>0.03</v>
      </c>
      <c r="U811">
        <v>27</v>
      </c>
    </row>
    <row r="812" spans="1:21" x14ac:dyDescent="0.25">
      <c r="A812" s="2">
        <v>46045.76971064815</v>
      </c>
      <c r="B812" t="s">
        <v>309</v>
      </c>
      <c r="C812" t="s">
        <v>372</v>
      </c>
      <c r="D812">
        <v>3</v>
      </c>
      <c r="E812" t="s">
        <v>179</v>
      </c>
      <c r="F812" t="s">
        <v>373</v>
      </c>
      <c r="G812">
        <f t="shared" si="36"/>
        <v>20.158730158730158</v>
      </c>
      <c r="H812">
        <f t="shared" si="37"/>
        <v>0</v>
      </c>
      <c r="I812">
        <v>43.83</v>
      </c>
      <c r="J812">
        <f t="shared" si="38"/>
        <v>79.841269841269849</v>
      </c>
      <c r="K812">
        <v>0.8</v>
      </c>
      <c r="L812">
        <v>0.1</v>
      </c>
      <c r="M812">
        <v>0.7</v>
      </c>
      <c r="N812">
        <v>503</v>
      </c>
      <c r="O812">
        <v>127</v>
      </c>
      <c r="P812">
        <v>0</v>
      </c>
      <c r="Q812">
        <v>20.16</v>
      </c>
      <c r="R812" t="s">
        <v>378</v>
      </c>
      <c r="S812">
        <v>0.52</v>
      </c>
      <c r="U812">
        <v>94</v>
      </c>
    </row>
    <row r="813" spans="1:21" x14ac:dyDescent="0.25">
      <c r="A813" s="2">
        <v>46045.770104166666</v>
      </c>
      <c r="B813" t="s">
        <v>309</v>
      </c>
      <c r="C813" t="s">
        <v>372</v>
      </c>
      <c r="D813">
        <v>3</v>
      </c>
      <c r="E813" t="s">
        <v>204</v>
      </c>
      <c r="F813" t="s">
        <v>373</v>
      </c>
      <c r="G813">
        <f t="shared" si="36"/>
        <v>1.478743068391867</v>
      </c>
      <c r="H813">
        <f t="shared" si="37"/>
        <v>0</v>
      </c>
      <c r="I813">
        <v>43.83</v>
      </c>
      <c r="J813">
        <f t="shared" si="38"/>
        <v>98.521256931608136</v>
      </c>
      <c r="K813">
        <v>0.8</v>
      </c>
      <c r="L813">
        <v>0.1</v>
      </c>
      <c r="M813">
        <v>0.7</v>
      </c>
      <c r="N813">
        <v>533</v>
      </c>
      <c r="O813">
        <v>8</v>
      </c>
      <c r="P813">
        <v>0</v>
      </c>
      <c r="Q813">
        <v>1.48</v>
      </c>
      <c r="R813" t="s">
        <v>383</v>
      </c>
      <c r="S813">
        <v>0.04</v>
      </c>
      <c r="U813">
        <v>27</v>
      </c>
    </row>
    <row r="814" spans="1:21" x14ac:dyDescent="0.25">
      <c r="A814" s="2">
        <v>46045.770439814813</v>
      </c>
      <c r="B814" t="s">
        <v>309</v>
      </c>
      <c r="C814" t="s">
        <v>372</v>
      </c>
      <c r="D814">
        <v>3</v>
      </c>
      <c r="E814" t="s">
        <v>207</v>
      </c>
      <c r="F814" t="s">
        <v>373</v>
      </c>
      <c r="G814">
        <f t="shared" si="36"/>
        <v>7.6923076923076925</v>
      </c>
      <c r="H814">
        <f t="shared" si="37"/>
        <v>0</v>
      </c>
      <c r="I814">
        <v>43.83</v>
      </c>
      <c r="J814">
        <f t="shared" si="38"/>
        <v>92.307692307692307</v>
      </c>
      <c r="K814">
        <v>0.8</v>
      </c>
      <c r="L814">
        <v>0.1</v>
      </c>
      <c r="M814">
        <v>0.7</v>
      </c>
      <c r="N814">
        <v>504</v>
      </c>
      <c r="O814">
        <v>42</v>
      </c>
      <c r="P814">
        <v>0</v>
      </c>
      <c r="Q814">
        <v>7.69</v>
      </c>
      <c r="R814" t="s">
        <v>379</v>
      </c>
      <c r="S814">
        <v>0.2</v>
      </c>
      <c r="U814">
        <v>90</v>
      </c>
    </row>
    <row r="815" spans="1:21" x14ac:dyDescent="0.25">
      <c r="A815" s="2">
        <v>46045.770798611113</v>
      </c>
      <c r="B815" t="s">
        <v>309</v>
      </c>
      <c r="C815" t="s">
        <v>372</v>
      </c>
      <c r="D815">
        <v>3</v>
      </c>
      <c r="E815" t="s">
        <v>212</v>
      </c>
      <c r="F815" t="s">
        <v>373</v>
      </c>
      <c r="G815">
        <f t="shared" si="36"/>
        <v>44.800000000000004</v>
      </c>
      <c r="H815">
        <f t="shared" si="37"/>
        <v>0.96</v>
      </c>
      <c r="I815">
        <v>43.83</v>
      </c>
      <c r="J815">
        <f t="shared" si="38"/>
        <v>54.24</v>
      </c>
      <c r="K815">
        <v>0.8</v>
      </c>
      <c r="L815">
        <v>0.1</v>
      </c>
      <c r="M815">
        <v>0.7</v>
      </c>
      <c r="N815">
        <v>339</v>
      </c>
      <c r="O815">
        <v>280</v>
      </c>
      <c r="P815">
        <v>6</v>
      </c>
      <c r="Q815">
        <v>45.76</v>
      </c>
      <c r="R815" t="s">
        <v>387</v>
      </c>
      <c r="S815">
        <v>1.18</v>
      </c>
      <c r="U815">
        <v>68</v>
      </c>
    </row>
    <row r="816" spans="1:21" x14ac:dyDescent="0.25">
      <c r="A816" s="2">
        <v>46045.789386574077</v>
      </c>
      <c r="B816" t="s">
        <v>309</v>
      </c>
      <c r="C816" t="s">
        <v>372</v>
      </c>
      <c r="D816">
        <v>3</v>
      </c>
      <c r="E816" t="s">
        <v>34</v>
      </c>
      <c r="F816" t="s">
        <v>373</v>
      </c>
      <c r="G816">
        <f t="shared" si="36"/>
        <v>32.513181019332158</v>
      </c>
      <c r="H816">
        <f t="shared" si="37"/>
        <v>0.17574692442882248</v>
      </c>
      <c r="I816">
        <v>43.83</v>
      </c>
      <c r="J816">
        <f t="shared" si="38"/>
        <v>67.311072056239013</v>
      </c>
      <c r="K816">
        <v>0.8</v>
      </c>
      <c r="L816">
        <v>0.2</v>
      </c>
      <c r="M816">
        <v>0.7</v>
      </c>
      <c r="N816">
        <v>383</v>
      </c>
      <c r="O816">
        <v>185</v>
      </c>
      <c r="P816">
        <v>1</v>
      </c>
      <c r="Q816">
        <v>32.69</v>
      </c>
      <c r="R816" t="s">
        <v>392</v>
      </c>
      <c r="S816">
        <v>0.76</v>
      </c>
      <c r="U816">
        <v>94</v>
      </c>
    </row>
    <row r="817" spans="1:21" x14ac:dyDescent="0.25">
      <c r="A817" s="2">
        <v>46045.78979166667</v>
      </c>
      <c r="B817" t="s">
        <v>309</v>
      </c>
      <c r="C817" t="s">
        <v>372</v>
      </c>
      <c r="D817">
        <v>3</v>
      </c>
      <c r="E817" t="s">
        <v>36</v>
      </c>
      <c r="F817" t="s">
        <v>373</v>
      </c>
      <c r="G817">
        <f t="shared" si="36"/>
        <v>17.410071942446042</v>
      </c>
      <c r="H817">
        <f t="shared" si="37"/>
        <v>0.14388489208633093</v>
      </c>
      <c r="I817">
        <v>43.83</v>
      </c>
      <c r="J817">
        <f t="shared" si="38"/>
        <v>82.446043165467628</v>
      </c>
      <c r="K817">
        <v>0.8</v>
      </c>
      <c r="L817">
        <v>0.2</v>
      </c>
      <c r="M817">
        <v>0.7</v>
      </c>
      <c r="N817">
        <v>573</v>
      </c>
      <c r="O817">
        <v>121</v>
      </c>
      <c r="P817">
        <v>1</v>
      </c>
      <c r="Q817">
        <v>17.55</v>
      </c>
      <c r="R817" t="s">
        <v>385</v>
      </c>
      <c r="S817">
        <v>0.49</v>
      </c>
      <c r="U817">
        <v>37</v>
      </c>
    </row>
    <row r="818" spans="1:21" x14ac:dyDescent="0.25">
      <c r="A818" s="2">
        <v>46045.790231481478</v>
      </c>
      <c r="B818" t="s">
        <v>309</v>
      </c>
      <c r="C818" t="s">
        <v>372</v>
      </c>
      <c r="D818">
        <v>3</v>
      </c>
      <c r="E818" t="s">
        <v>41</v>
      </c>
      <c r="F818" t="s">
        <v>373</v>
      </c>
      <c r="G818">
        <f t="shared" si="36"/>
        <v>0.96463022508038598</v>
      </c>
      <c r="H818">
        <f t="shared" si="37"/>
        <v>0</v>
      </c>
      <c r="I818">
        <v>43.83</v>
      </c>
      <c r="J818">
        <f t="shared" si="38"/>
        <v>99.035369774919616</v>
      </c>
      <c r="K818">
        <v>0.8</v>
      </c>
      <c r="L818">
        <v>0.2</v>
      </c>
      <c r="M818">
        <v>0.7</v>
      </c>
      <c r="N818">
        <v>616</v>
      </c>
      <c r="O818">
        <v>6</v>
      </c>
      <c r="P818">
        <v>0</v>
      </c>
      <c r="Q818">
        <v>0.96</v>
      </c>
      <c r="R818" t="s">
        <v>390</v>
      </c>
      <c r="S818">
        <v>0.02</v>
      </c>
      <c r="U818">
        <v>17</v>
      </c>
    </row>
    <row r="819" spans="1:21" x14ac:dyDescent="0.25">
      <c r="A819" s="2">
        <v>46045.790601851855</v>
      </c>
      <c r="B819" t="s">
        <v>309</v>
      </c>
      <c r="C819" t="s">
        <v>372</v>
      </c>
      <c r="D819">
        <v>3</v>
      </c>
      <c r="E819" t="s">
        <v>42</v>
      </c>
      <c r="F819" t="s">
        <v>373</v>
      </c>
      <c r="G819">
        <f t="shared" si="36"/>
        <v>2.1865889212827989</v>
      </c>
      <c r="H819">
        <f t="shared" si="37"/>
        <v>0</v>
      </c>
      <c r="I819">
        <v>43.83</v>
      </c>
      <c r="J819">
        <f t="shared" si="38"/>
        <v>97.813411078717209</v>
      </c>
      <c r="K819">
        <v>0.8</v>
      </c>
      <c r="L819">
        <v>0.2</v>
      </c>
      <c r="M819">
        <v>0.7</v>
      </c>
      <c r="N819">
        <v>671</v>
      </c>
      <c r="O819">
        <v>15</v>
      </c>
      <c r="P819">
        <v>0</v>
      </c>
      <c r="Q819">
        <v>2.19</v>
      </c>
      <c r="R819" t="s">
        <v>390</v>
      </c>
      <c r="S819">
        <v>0.06</v>
      </c>
      <c r="U819">
        <v>16</v>
      </c>
    </row>
    <row r="820" spans="1:21" x14ac:dyDescent="0.25">
      <c r="A820" s="2">
        <v>46045.790983796294</v>
      </c>
      <c r="B820" t="s">
        <v>309</v>
      </c>
      <c r="C820" t="s">
        <v>372</v>
      </c>
      <c r="D820">
        <v>3</v>
      </c>
      <c r="E820" t="s">
        <v>43</v>
      </c>
      <c r="F820" t="s">
        <v>373</v>
      </c>
      <c r="G820">
        <f t="shared" si="36"/>
        <v>14.261460101867574</v>
      </c>
      <c r="H820">
        <f t="shared" si="37"/>
        <v>0</v>
      </c>
      <c r="I820">
        <v>43.83</v>
      </c>
      <c r="J820">
        <f t="shared" si="38"/>
        <v>85.73853989813243</v>
      </c>
      <c r="K820">
        <v>0.8</v>
      </c>
      <c r="L820">
        <v>0.2</v>
      </c>
      <c r="M820">
        <v>0.7</v>
      </c>
      <c r="N820">
        <v>505</v>
      </c>
      <c r="O820">
        <v>84</v>
      </c>
      <c r="P820">
        <v>0</v>
      </c>
      <c r="Q820">
        <v>14.26</v>
      </c>
      <c r="R820" t="s">
        <v>378</v>
      </c>
      <c r="S820">
        <v>0.35</v>
      </c>
      <c r="U820">
        <v>124</v>
      </c>
    </row>
    <row r="821" spans="1:21" x14ac:dyDescent="0.25">
      <c r="A821" s="2">
        <v>46045.791377314818</v>
      </c>
      <c r="B821" t="s">
        <v>309</v>
      </c>
      <c r="C821" t="s">
        <v>372</v>
      </c>
      <c r="D821">
        <v>3</v>
      </c>
      <c r="E821" t="s">
        <v>54</v>
      </c>
      <c r="F821" t="s">
        <v>373</v>
      </c>
      <c r="G821">
        <f t="shared" si="36"/>
        <v>0.74404761904761896</v>
      </c>
      <c r="H821">
        <f t="shared" si="37"/>
        <v>0</v>
      </c>
      <c r="I821">
        <v>43.83</v>
      </c>
      <c r="J821">
        <f t="shared" si="38"/>
        <v>99.25595238095238</v>
      </c>
      <c r="K821">
        <v>0.8</v>
      </c>
      <c r="L821">
        <v>0.2</v>
      </c>
      <c r="M821">
        <v>0.7</v>
      </c>
      <c r="N821">
        <v>667</v>
      </c>
      <c r="O821">
        <v>5</v>
      </c>
      <c r="P821">
        <v>0</v>
      </c>
      <c r="Q821">
        <v>0.74</v>
      </c>
      <c r="R821" t="s">
        <v>384</v>
      </c>
      <c r="S821">
        <v>0.02</v>
      </c>
      <c r="U821">
        <v>4</v>
      </c>
    </row>
    <row r="822" spans="1:21" x14ac:dyDescent="0.25">
      <c r="A822" s="2">
        <v>46045.791747685187</v>
      </c>
      <c r="B822" t="s">
        <v>309</v>
      </c>
      <c r="C822" t="s">
        <v>372</v>
      </c>
      <c r="D822">
        <v>3</v>
      </c>
      <c r="E822" t="s">
        <v>75</v>
      </c>
      <c r="F822" t="s">
        <v>373</v>
      </c>
      <c r="G822">
        <f t="shared" si="36"/>
        <v>1.9969278033794162</v>
      </c>
      <c r="H822">
        <f t="shared" si="37"/>
        <v>0</v>
      </c>
      <c r="I822">
        <v>43.83</v>
      </c>
      <c r="J822">
        <f t="shared" si="38"/>
        <v>98.003072196620593</v>
      </c>
      <c r="K822">
        <v>0.8</v>
      </c>
      <c r="L822">
        <v>0.2</v>
      </c>
      <c r="M822">
        <v>0.7</v>
      </c>
      <c r="N822">
        <v>638</v>
      </c>
      <c r="O822">
        <v>13</v>
      </c>
      <c r="P822">
        <v>0</v>
      </c>
      <c r="Q822">
        <v>2</v>
      </c>
      <c r="R822" t="s">
        <v>384</v>
      </c>
      <c r="S822">
        <v>0.05</v>
      </c>
      <c r="U822">
        <v>26</v>
      </c>
    </row>
    <row r="823" spans="1:21" x14ac:dyDescent="0.25">
      <c r="A823" s="2">
        <v>46045.79210648148</v>
      </c>
      <c r="B823" t="s">
        <v>309</v>
      </c>
      <c r="C823" t="s">
        <v>372</v>
      </c>
      <c r="D823">
        <v>3</v>
      </c>
      <c r="E823" t="s">
        <v>324</v>
      </c>
      <c r="F823" t="s">
        <v>373</v>
      </c>
      <c r="G823">
        <f t="shared" si="36"/>
        <v>40.460526315789473</v>
      </c>
      <c r="H823">
        <f t="shared" si="37"/>
        <v>0.82236842105263153</v>
      </c>
      <c r="I823">
        <v>43.83</v>
      </c>
      <c r="J823">
        <f t="shared" si="38"/>
        <v>58.717105263157897</v>
      </c>
      <c r="K823">
        <v>0.8</v>
      </c>
      <c r="L823">
        <v>0.2</v>
      </c>
      <c r="M823">
        <v>0.7</v>
      </c>
      <c r="N823">
        <v>357</v>
      </c>
      <c r="O823">
        <v>246</v>
      </c>
      <c r="P823">
        <v>5</v>
      </c>
      <c r="Q823">
        <v>41.28</v>
      </c>
      <c r="R823" t="s">
        <v>385</v>
      </c>
      <c r="S823">
        <v>1.03</v>
      </c>
      <c r="U823">
        <v>115</v>
      </c>
    </row>
    <row r="824" spans="1:21" x14ac:dyDescent="0.25">
      <c r="A824" s="2">
        <v>46045.792546296296</v>
      </c>
      <c r="B824" t="s">
        <v>309</v>
      </c>
      <c r="C824" t="s">
        <v>372</v>
      </c>
      <c r="D824">
        <v>3</v>
      </c>
      <c r="E824" t="s">
        <v>118</v>
      </c>
      <c r="F824" t="s">
        <v>373</v>
      </c>
      <c r="G824">
        <f t="shared" si="36"/>
        <v>8.346709470304976</v>
      </c>
      <c r="H824">
        <f t="shared" si="37"/>
        <v>0.16051364365971107</v>
      </c>
      <c r="I824">
        <v>43.83</v>
      </c>
      <c r="J824">
        <f t="shared" si="38"/>
        <v>91.492776886035315</v>
      </c>
      <c r="K824">
        <v>0.8</v>
      </c>
      <c r="L824">
        <v>0.2</v>
      </c>
      <c r="M824">
        <v>0.7</v>
      </c>
      <c r="N824">
        <v>570</v>
      </c>
      <c r="O824">
        <v>52</v>
      </c>
      <c r="P824">
        <v>1</v>
      </c>
      <c r="Q824">
        <v>8.51</v>
      </c>
      <c r="R824" t="s">
        <v>390</v>
      </c>
      <c r="S824">
        <v>0.2</v>
      </c>
      <c r="U824">
        <v>92</v>
      </c>
    </row>
    <row r="825" spans="1:21" x14ac:dyDescent="0.25">
      <c r="A825" s="2">
        <v>46045.792928240742</v>
      </c>
      <c r="B825" t="s">
        <v>309</v>
      </c>
      <c r="C825" t="s">
        <v>372</v>
      </c>
      <c r="D825">
        <v>3</v>
      </c>
      <c r="E825" t="s">
        <v>137</v>
      </c>
      <c r="F825" t="s">
        <v>373</v>
      </c>
      <c r="G825">
        <f t="shared" si="36"/>
        <v>83.75</v>
      </c>
      <c r="H825">
        <f t="shared" si="37"/>
        <v>1.3888888888888888</v>
      </c>
      <c r="I825">
        <v>43.83</v>
      </c>
      <c r="J825">
        <f t="shared" si="38"/>
        <v>14.861111111111111</v>
      </c>
      <c r="K825">
        <v>0.8</v>
      </c>
      <c r="L825">
        <v>0.2</v>
      </c>
      <c r="M825">
        <v>0.7</v>
      </c>
      <c r="N825">
        <v>107</v>
      </c>
      <c r="O825">
        <v>603</v>
      </c>
      <c r="P825">
        <v>10</v>
      </c>
      <c r="Q825">
        <v>85.14</v>
      </c>
      <c r="R825" t="s">
        <v>399</v>
      </c>
      <c r="S825">
        <v>2.54</v>
      </c>
      <c r="U825">
        <v>32</v>
      </c>
    </row>
    <row r="826" spans="1:21" x14ac:dyDescent="0.25">
      <c r="A826" s="2">
        <v>46045.793449074074</v>
      </c>
      <c r="B826" t="s">
        <v>309</v>
      </c>
      <c r="C826" t="s">
        <v>372</v>
      </c>
      <c r="D826">
        <v>3</v>
      </c>
      <c r="E826" t="s">
        <v>162</v>
      </c>
      <c r="F826" t="s">
        <v>373</v>
      </c>
      <c r="G826">
        <f t="shared" si="36"/>
        <v>1.1869436201780417</v>
      </c>
      <c r="H826">
        <f t="shared" si="37"/>
        <v>0</v>
      </c>
      <c r="I826">
        <v>43.83</v>
      </c>
      <c r="J826">
        <f t="shared" si="38"/>
        <v>98.813056379821958</v>
      </c>
      <c r="K826">
        <v>0.8</v>
      </c>
      <c r="L826">
        <v>0.2</v>
      </c>
      <c r="M826">
        <v>0.7</v>
      </c>
      <c r="N826">
        <v>666</v>
      </c>
      <c r="O826">
        <v>8</v>
      </c>
      <c r="P826">
        <v>0</v>
      </c>
      <c r="Q826">
        <v>1.19</v>
      </c>
      <c r="R826" t="s">
        <v>390</v>
      </c>
      <c r="S826">
        <v>0.03</v>
      </c>
      <c r="U826">
        <v>19</v>
      </c>
    </row>
    <row r="827" spans="1:21" x14ac:dyDescent="0.25">
      <c r="A827" s="2">
        <v>46045.793819444443</v>
      </c>
      <c r="B827" t="s">
        <v>309</v>
      </c>
      <c r="C827" t="s">
        <v>372</v>
      </c>
      <c r="D827">
        <v>3</v>
      </c>
      <c r="E827" t="s">
        <v>179</v>
      </c>
      <c r="F827" t="s">
        <v>373</v>
      </c>
      <c r="G827">
        <f t="shared" si="36"/>
        <v>19.389312977099237</v>
      </c>
      <c r="H827">
        <f t="shared" si="37"/>
        <v>0.15267175572519084</v>
      </c>
      <c r="I827">
        <v>43.83</v>
      </c>
      <c r="J827">
        <f t="shared" si="38"/>
        <v>80.458015267175568</v>
      </c>
      <c r="K827">
        <v>0.8</v>
      </c>
      <c r="L827">
        <v>0.2</v>
      </c>
      <c r="M827">
        <v>0.7</v>
      </c>
      <c r="N827">
        <v>527</v>
      </c>
      <c r="O827">
        <v>127</v>
      </c>
      <c r="P827">
        <v>1</v>
      </c>
      <c r="Q827">
        <v>19.54</v>
      </c>
      <c r="R827" t="s">
        <v>392</v>
      </c>
      <c r="S827">
        <v>0.53</v>
      </c>
      <c r="U827">
        <v>69</v>
      </c>
    </row>
    <row r="828" spans="1:21" x14ac:dyDescent="0.25">
      <c r="A828" s="2">
        <v>46045.794224537036</v>
      </c>
      <c r="B828" t="s">
        <v>309</v>
      </c>
      <c r="C828" t="s">
        <v>372</v>
      </c>
      <c r="D828">
        <v>3</v>
      </c>
      <c r="E828" t="s">
        <v>204</v>
      </c>
      <c r="F828" t="s">
        <v>373</v>
      </c>
      <c r="G828">
        <f t="shared" si="36"/>
        <v>1.4545454545454546</v>
      </c>
      <c r="H828">
        <f t="shared" si="37"/>
        <v>0</v>
      </c>
      <c r="I828">
        <v>43.83</v>
      </c>
      <c r="J828">
        <f t="shared" si="38"/>
        <v>98.545454545454547</v>
      </c>
      <c r="K828">
        <v>0.8</v>
      </c>
      <c r="L828">
        <v>0.2</v>
      </c>
      <c r="M828">
        <v>0.7</v>
      </c>
      <c r="N828">
        <v>542</v>
      </c>
      <c r="O828">
        <v>8</v>
      </c>
      <c r="P828">
        <v>0</v>
      </c>
      <c r="Q828">
        <v>1.45</v>
      </c>
      <c r="R828" t="s">
        <v>379</v>
      </c>
      <c r="S828">
        <v>0.04</v>
      </c>
      <c r="U828">
        <v>18</v>
      </c>
    </row>
    <row r="829" spans="1:21" x14ac:dyDescent="0.25">
      <c r="A829" s="2">
        <v>46045.794583333336</v>
      </c>
      <c r="B829" t="s">
        <v>309</v>
      </c>
      <c r="C829" t="s">
        <v>372</v>
      </c>
      <c r="D829">
        <v>3</v>
      </c>
      <c r="E829" t="s">
        <v>207</v>
      </c>
      <c r="F829" t="s">
        <v>373</v>
      </c>
      <c r="G829">
        <f t="shared" si="36"/>
        <v>7.2413793103448283</v>
      </c>
      <c r="H829">
        <f t="shared" si="37"/>
        <v>0</v>
      </c>
      <c r="I829">
        <v>43.83</v>
      </c>
      <c r="J829">
        <f t="shared" si="38"/>
        <v>92.758620689655174</v>
      </c>
      <c r="K829">
        <v>0.8</v>
      </c>
      <c r="L829">
        <v>0.2</v>
      </c>
      <c r="M829">
        <v>0.7</v>
      </c>
      <c r="N829">
        <v>538</v>
      </c>
      <c r="O829">
        <v>42</v>
      </c>
      <c r="P829">
        <v>0</v>
      </c>
      <c r="Q829">
        <v>7.24</v>
      </c>
      <c r="R829" t="s">
        <v>384</v>
      </c>
      <c r="S829">
        <v>0.2</v>
      </c>
      <c r="U829">
        <v>56</v>
      </c>
    </row>
    <row r="830" spans="1:21" x14ac:dyDescent="0.25">
      <c r="A830" s="2">
        <v>46045.794953703706</v>
      </c>
      <c r="B830" t="s">
        <v>309</v>
      </c>
      <c r="C830" t="s">
        <v>372</v>
      </c>
      <c r="D830">
        <v>3</v>
      </c>
      <c r="E830" t="s">
        <v>212</v>
      </c>
      <c r="F830" t="s">
        <v>373</v>
      </c>
      <c r="G830">
        <f t="shared" si="36"/>
        <v>43.143297380585516</v>
      </c>
      <c r="H830">
        <f t="shared" si="37"/>
        <v>0.92449922958397546</v>
      </c>
      <c r="I830">
        <v>43.83</v>
      </c>
      <c r="J830">
        <f t="shared" si="38"/>
        <v>55.932203389830505</v>
      </c>
      <c r="K830">
        <v>0.8</v>
      </c>
      <c r="L830">
        <v>0.2</v>
      </c>
      <c r="M830">
        <v>0.7</v>
      </c>
      <c r="N830">
        <v>363</v>
      </c>
      <c r="O830">
        <v>280</v>
      </c>
      <c r="P830">
        <v>6</v>
      </c>
      <c r="Q830">
        <v>44.07</v>
      </c>
      <c r="R830" t="s">
        <v>385</v>
      </c>
      <c r="S830">
        <v>1.18</v>
      </c>
      <c r="U830">
        <v>44</v>
      </c>
    </row>
    <row r="831" spans="1:21" x14ac:dyDescent="0.25">
      <c r="A831" s="2">
        <v>46045.789444444446</v>
      </c>
      <c r="B831" t="s">
        <v>309</v>
      </c>
      <c r="C831" t="s">
        <v>372</v>
      </c>
      <c r="D831">
        <v>3</v>
      </c>
      <c r="E831" t="s">
        <v>34</v>
      </c>
      <c r="F831" t="s">
        <v>373</v>
      </c>
      <c r="G831">
        <f t="shared" si="36"/>
        <v>32.513181019332158</v>
      </c>
      <c r="H831">
        <f t="shared" si="37"/>
        <v>0.17574692442882248</v>
      </c>
      <c r="I831">
        <v>43.83</v>
      </c>
      <c r="J831">
        <f t="shared" si="38"/>
        <v>67.311072056239013</v>
      </c>
      <c r="K831">
        <v>0.8</v>
      </c>
      <c r="L831">
        <v>0.2</v>
      </c>
      <c r="M831">
        <v>0.7</v>
      </c>
      <c r="N831">
        <v>383</v>
      </c>
      <c r="O831">
        <v>185</v>
      </c>
      <c r="P831">
        <v>1</v>
      </c>
      <c r="Q831">
        <v>32.69</v>
      </c>
      <c r="R831" t="s">
        <v>387</v>
      </c>
      <c r="S831">
        <v>0.76</v>
      </c>
      <c r="U831">
        <v>94</v>
      </c>
    </row>
    <row r="832" spans="1:21" x14ac:dyDescent="0.25">
      <c r="A832" s="2">
        <v>46045.789861111109</v>
      </c>
      <c r="B832" t="s">
        <v>309</v>
      </c>
      <c r="C832" t="s">
        <v>372</v>
      </c>
      <c r="D832">
        <v>3</v>
      </c>
      <c r="E832" t="s">
        <v>36</v>
      </c>
      <c r="F832" t="s">
        <v>373</v>
      </c>
      <c r="G832">
        <f t="shared" si="36"/>
        <v>17.410071942446042</v>
      </c>
      <c r="H832">
        <f t="shared" si="37"/>
        <v>0.14388489208633093</v>
      </c>
      <c r="I832">
        <v>43.83</v>
      </c>
      <c r="J832">
        <f t="shared" si="38"/>
        <v>82.446043165467628</v>
      </c>
      <c r="K832">
        <v>0.8</v>
      </c>
      <c r="L832">
        <v>0.2</v>
      </c>
      <c r="M832">
        <v>0.7</v>
      </c>
      <c r="N832">
        <v>573</v>
      </c>
      <c r="O832">
        <v>121</v>
      </c>
      <c r="P832">
        <v>1</v>
      </c>
      <c r="Q832">
        <v>17.55</v>
      </c>
      <c r="R832" t="s">
        <v>385</v>
      </c>
      <c r="S832">
        <v>0.49</v>
      </c>
      <c r="U832">
        <v>37</v>
      </c>
    </row>
    <row r="833" spans="1:21" x14ac:dyDescent="0.25">
      <c r="A833" s="2">
        <v>46045.790300925924</v>
      </c>
      <c r="B833" t="s">
        <v>309</v>
      </c>
      <c r="C833" t="s">
        <v>372</v>
      </c>
      <c r="D833">
        <v>3</v>
      </c>
      <c r="E833" t="s">
        <v>41</v>
      </c>
      <c r="F833" t="s">
        <v>373</v>
      </c>
      <c r="G833">
        <f t="shared" ref="G833:G896" si="39">(O833/(N833+O833+P833))*100</f>
        <v>0.96463022508038598</v>
      </c>
      <c r="H833">
        <f t="shared" ref="H833:H896" si="40">(P833/(O833+P833+N833))*100</f>
        <v>0</v>
      </c>
      <c r="I833">
        <v>43.83</v>
      </c>
      <c r="J833">
        <f t="shared" ref="J833:J896" si="41">(N833/(P833+O833+N833))*100</f>
        <v>99.035369774919616</v>
      </c>
      <c r="K833">
        <v>0.8</v>
      </c>
      <c r="L833">
        <v>0.2</v>
      </c>
      <c r="M833">
        <v>0.7</v>
      </c>
      <c r="N833">
        <v>616</v>
      </c>
      <c r="O833">
        <v>6</v>
      </c>
      <c r="P833">
        <v>0</v>
      </c>
      <c r="Q833">
        <v>0.96</v>
      </c>
      <c r="R833" t="s">
        <v>390</v>
      </c>
      <c r="S833">
        <v>0.02</v>
      </c>
      <c r="U833">
        <v>17</v>
      </c>
    </row>
    <row r="834" spans="1:21" x14ac:dyDescent="0.25">
      <c r="A834" s="2">
        <v>46045.790671296294</v>
      </c>
      <c r="B834" t="s">
        <v>309</v>
      </c>
      <c r="C834" t="s">
        <v>372</v>
      </c>
      <c r="D834">
        <v>3</v>
      </c>
      <c r="E834" t="s">
        <v>42</v>
      </c>
      <c r="F834" t="s">
        <v>373</v>
      </c>
      <c r="G834">
        <f t="shared" si="39"/>
        <v>2.1865889212827989</v>
      </c>
      <c r="H834">
        <f t="shared" si="40"/>
        <v>0</v>
      </c>
      <c r="I834">
        <v>43.83</v>
      </c>
      <c r="J834">
        <f t="shared" si="41"/>
        <v>97.813411078717209</v>
      </c>
      <c r="K834">
        <v>0.8</v>
      </c>
      <c r="L834">
        <v>0.2</v>
      </c>
      <c r="M834">
        <v>0.7</v>
      </c>
      <c r="N834">
        <v>671</v>
      </c>
      <c r="O834">
        <v>15</v>
      </c>
      <c r="P834">
        <v>0</v>
      </c>
      <c r="Q834">
        <v>2.19</v>
      </c>
      <c r="R834" t="s">
        <v>390</v>
      </c>
      <c r="S834">
        <v>0.06</v>
      </c>
      <c r="U834">
        <v>16</v>
      </c>
    </row>
    <row r="835" spans="1:21" x14ac:dyDescent="0.25">
      <c r="A835" s="2">
        <v>46045.791041666664</v>
      </c>
      <c r="B835" t="s">
        <v>309</v>
      </c>
      <c r="C835" t="s">
        <v>372</v>
      </c>
      <c r="D835">
        <v>3</v>
      </c>
      <c r="E835" t="s">
        <v>43</v>
      </c>
      <c r="F835" t="s">
        <v>373</v>
      </c>
      <c r="G835">
        <f t="shared" si="39"/>
        <v>14.261460101867574</v>
      </c>
      <c r="H835">
        <f t="shared" si="40"/>
        <v>0</v>
      </c>
      <c r="I835">
        <v>43.83</v>
      </c>
      <c r="J835">
        <f t="shared" si="41"/>
        <v>85.73853989813243</v>
      </c>
      <c r="K835">
        <v>0.8</v>
      </c>
      <c r="L835">
        <v>0.2</v>
      </c>
      <c r="M835">
        <v>0.7</v>
      </c>
      <c r="N835">
        <v>505</v>
      </c>
      <c r="O835">
        <v>84</v>
      </c>
      <c r="P835">
        <v>0</v>
      </c>
      <c r="Q835">
        <v>14.26</v>
      </c>
      <c r="R835" t="s">
        <v>378</v>
      </c>
      <c r="S835">
        <v>0.35</v>
      </c>
      <c r="U835">
        <v>124</v>
      </c>
    </row>
    <row r="836" spans="1:21" x14ac:dyDescent="0.25">
      <c r="A836" s="2">
        <v>46045.791446759256</v>
      </c>
      <c r="B836" t="s">
        <v>309</v>
      </c>
      <c r="C836" t="s">
        <v>372</v>
      </c>
      <c r="D836">
        <v>3</v>
      </c>
      <c r="E836" t="s">
        <v>54</v>
      </c>
      <c r="F836" t="s">
        <v>373</v>
      </c>
      <c r="G836">
        <f t="shared" si="39"/>
        <v>0.74404761904761896</v>
      </c>
      <c r="H836">
        <f t="shared" si="40"/>
        <v>0</v>
      </c>
      <c r="I836">
        <v>43.83</v>
      </c>
      <c r="J836">
        <f t="shared" si="41"/>
        <v>99.25595238095238</v>
      </c>
      <c r="K836">
        <v>0.8</v>
      </c>
      <c r="L836">
        <v>0.2</v>
      </c>
      <c r="M836">
        <v>0.7</v>
      </c>
      <c r="N836">
        <v>667</v>
      </c>
      <c r="O836">
        <v>5</v>
      </c>
      <c r="P836">
        <v>0</v>
      </c>
      <c r="Q836">
        <v>0.74</v>
      </c>
      <c r="R836" t="s">
        <v>390</v>
      </c>
      <c r="S836">
        <v>0.02</v>
      </c>
      <c r="U836">
        <v>4</v>
      </c>
    </row>
    <row r="837" spans="1:21" x14ac:dyDescent="0.25">
      <c r="A837" s="2">
        <v>46045.791817129626</v>
      </c>
      <c r="B837" t="s">
        <v>309</v>
      </c>
      <c r="C837" t="s">
        <v>372</v>
      </c>
      <c r="D837">
        <v>3</v>
      </c>
      <c r="E837" t="s">
        <v>75</v>
      </c>
      <c r="F837" t="s">
        <v>373</v>
      </c>
      <c r="G837">
        <f t="shared" si="39"/>
        <v>1.9969278033794162</v>
      </c>
      <c r="H837">
        <f t="shared" si="40"/>
        <v>0</v>
      </c>
      <c r="I837">
        <v>43.83</v>
      </c>
      <c r="J837">
        <f t="shared" si="41"/>
        <v>98.003072196620593</v>
      </c>
      <c r="K837">
        <v>0.8</v>
      </c>
      <c r="L837">
        <v>0.2</v>
      </c>
      <c r="M837">
        <v>0.7</v>
      </c>
      <c r="N837">
        <v>638</v>
      </c>
      <c r="O837">
        <v>13</v>
      </c>
      <c r="P837">
        <v>0</v>
      </c>
      <c r="Q837">
        <v>2</v>
      </c>
      <c r="R837" t="s">
        <v>384</v>
      </c>
      <c r="S837">
        <v>0.05</v>
      </c>
      <c r="U837">
        <v>26</v>
      </c>
    </row>
    <row r="838" spans="1:21" x14ac:dyDescent="0.25">
      <c r="A838" s="2">
        <v>46045.792175925926</v>
      </c>
      <c r="B838" t="s">
        <v>309</v>
      </c>
      <c r="C838" t="s">
        <v>372</v>
      </c>
      <c r="D838">
        <v>3</v>
      </c>
      <c r="E838" t="s">
        <v>324</v>
      </c>
      <c r="F838" t="s">
        <v>373</v>
      </c>
      <c r="G838">
        <f t="shared" si="39"/>
        <v>40.691927512355846</v>
      </c>
      <c r="H838">
        <f t="shared" si="40"/>
        <v>0.49423393739703458</v>
      </c>
      <c r="I838">
        <v>43.83</v>
      </c>
      <c r="J838">
        <f t="shared" si="41"/>
        <v>58.813838550247119</v>
      </c>
      <c r="K838">
        <v>0.8</v>
      </c>
      <c r="L838">
        <v>0.2</v>
      </c>
      <c r="M838">
        <v>0.7</v>
      </c>
      <c r="N838">
        <v>357</v>
      </c>
      <c r="O838">
        <v>247</v>
      </c>
      <c r="P838">
        <v>3</v>
      </c>
      <c r="Q838">
        <v>41.19</v>
      </c>
      <c r="R838" t="s">
        <v>385</v>
      </c>
      <c r="S838">
        <v>1.03</v>
      </c>
      <c r="U838">
        <v>116</v>
      </c>
    </row>
    <row r="839" spans="1:21" x14ac:dyDescent="0.25">
      <c r="A839" s="2">
        <v>46045.792615740742</v>
      </c>
      <c r="B839" t="s">
        <v>309</v>
      </c>
      <c r="C839" t="s">
        <v>372</v>
      </c>
      <c r="D839">
        <v>3</v>
      </c>
      <c r="E839" t="s">
        <v>118</v>
      </c>
      <c r="F839" t="s">
        <v>373</v>
      </c>
      <c r="G839">
        <f t="shared" si="39"/>
        <v>8.346709470304976</v>
      </c>
      <c r="H839">
        <f t="shared" si="40"/>
        <v>0.16051364365971107</v>
      </c>
      <c r="I839">
        <v>43.83</v>
      </c>
      <c r="J839">
        <f t="shared" si="41"/>
        <v>91.492776886035315</v>
      </c>
      <c r="K839">
        <v>0.8</v>
      </c>
      <c r="L839">
        <v>0.2</v>
      </c>
      <c r="M839">
        <v>0.7</v>
      </c>
      <c r="N839">
        <v>570</v>
      </c>
      <c r="O839">
        <v>52</v>
      </c>
      <c r="P839">
        <v>1</v>
      </c>
      <c r="Q839">
        <v>8.51</v>
      </c>
      <c r="R839" t="s">
        <v>390</v>
      </c>
      <c r="S839">
        <v>0.2</v>
      </c>
      <c r="U839">
        <v>92</v>
      </c>
    </row>
    <row r="840" spans="1:21" x14ac:dyDescent="0.25">
      <c r="A840" s="2">
        <v>46045.792986111112</v>
      </c>
      <c r="B840" t="s">
        <v>309</v>
      </c>
      <c r="C840" t="s">
        <v>372</v>
      </c>
      <c r="D840">
        <v>3</v>
      </c>
      <c r="E840" t="s">
        <v>137</v>
      </c>
      <c r="F840" t="s">
        <v>373</v>
      </c>
      <c r="G840">
        <f t="shared" si="39"/>
        <v>83.75</v>
      </c>
      <c r="H840">
        <f t="shared" si="40"/>
        <v>1.3888888888888888</v>
      </c>
      <c r="I840">
        <v>43.83</v>
      </c>
      <c r="J840">
        <f t="shared" si="41"/>
        <v>14.861111111111111</v>
      </c>
      <c r="K840">
        <v>0.8</v>
      </c>
      <c r="L840">
        <v>0.2</v>
      </c>
      <c r="M840">
        <v>0.7</v>
      </c>
      <c r="N840">
        <v>107</v>
      </c>
      <c r="O840">
        <v>603</v>
      </c>
      <c r="P840">
        <v>10</v>
      </c>
      <c r="Q840">
        <v>85.14</v>
      </c>
      <c r="R840" t="s">
        <v>399</v>
      </c>
      <c r="S840">
        <v>2.54</v>
      </c>
      <c r="U840">
        <v>32</v>
      </c>
    </row>
    <row r="841" spans="1:21" x14ac:dyDescent="0.25">
      <c r="A841" s="2">
        <v>46045.79351851852</v>
      </c>
      <c r="B841" t="s">
        <v>309</v>
      </c>
      <c r="C841" t="s">
        <v>372</v>
      </c>
      <c r="D841">
        <v>3</v>
      </c>
      <c r="E841" t="s">
        <v>162</v>
      </c>
      <c r="F841" t="s">
        <v>373</v>
      </c>
      <c r="G841">
        <f t="shared" si="39"/>
        <v>1.1869436201780417</v>
      </c>
      <c r="H841">
        <f t="shared" si="40"/>
        <v>0</v>
      </c>
      <c r="I841">
        <v>43.83</v>
      </c>
      <c r="J841">
        <f t="shared" si="41"/>
        <v>98.813056379821958</v>
      </c>
      <c r="K841">
        <v>0.8</v>
      </c>
      <c r="L841">
        <v>0.2</v>
      </c>
      <c r="M841">
        <v>0.7</v>
      </c>
      <c r="N841">
        <v>666</v>
      </c>
      <c r="O841">
        <v>8</v>
      </c>
      <c r="P841">
        <v>0</v>
      </c>
      <c r="Q841">
        <v>1.19</v>
      </c>
      <c r="R841" t="s">
        <v>390</v>
      </c>
      <c r="S841">
        <v>0.03</v>
      </c>
      <c r="U841">
        <v>19</v>
      </c>
    </row>
    <row r="842" spans="1:21" x14ac:dyDescent="0.25">
      <c r="A842" s="2">
        <v>46045.793888888889</v>
      </c>
      <c r="B842" t="s">
        <v>309</v>
      </c>
      <c r="C842" t="s">
        <v>372</v>
      </c>
      <c r="D842">
        <v>3</v>
      </c>
      <c r="E842" t="s">
        <v>179</v>
      </c>
      <c r="F842" t="s">
        <v>373</v>
      </c>
      <c r="G842">
        <f t="shared" si="39"/>
        <v>19.389312977099237</v>
      </c>
      <c r="H842">
        <f t="shared" si="40"/>
        <v>0.15267175572519084</v>
      </c>
      <c r="I842">
        <v>43.83</v>
      </c>
      <c r="J842">
        <f t="shared" si="41"/>
        <v>80.458015267175568</v>
      </c>
      <c r="K842">
        <v>0.8</v>
      </c>
      <c r="L842">
        <v>0.2</v>
      </c>
      <c r="M842">
        <v>0.7</v>
      </c>
      <c r="N842">
        <v>527</v>
      </c>
      <c r="O842">
        <v>127</v>
      </c>
      <c r="P842">
        <v>1</v>
      </c>
      <c r="Q842">
        <v>19.54</v>
      </c>
      <c r="R842" t="s">
        <v>378</v>
      </c>
      <c r="S842">
        <v>0.53</v>
      </c>
      <c r="U842">
        <v>69</v>
      </c>
    </row>
    <row r="843" spans="1:21" x14ac:dyDescent="0.25">
      <c r="A843" s="2">
        <v>46045.794293981482</v>
      </c>
      <c r="B843" t="s">
        <v>309</v>
      </c>
      <c r="C843" t="s">
        <v>372</v>
      </c>
      <c r="D843">
        <v>3</v>
      </c>
      <c r="E843" t="s">
        <v>204</v>
      </c>
      <c r="F843" t="s">
        <v>373</v>
      </c>
      <c r="G843">
        <f t="shared" si="39"/>
        <v>1.4545454545454546</v>
      </c>
      <c r="H843">
        <f t="shared" si="40"/>
        <v>0</v>
      </c>
      <c r="I843">
        <v>43.83</v>
      </c>
      <c r="J843">
        <f t="shared" si="41"/>
        <v>98.545454545454547</v>
      </c>
      <c r="K843">
        <v>0.8</v>
      </c>
      <c r="L843">
        <v>0.2</v>
      </c>
      <c r="M843">
        <v>0.7</v>
      </c>
      <c r="N843">
        <v>542</v>
      </c>
      <c r="O843">
        <v>8</v>
      </c>
      <c r="P843">
        <v>0</v>
      </c>
      <c r="Q843">
        <v>1.45</v>
      </c>
      <c r="R843" t="s">
        <v>379</v>
      </c>
      <c r="S843">
        <v>0.04</v>
      </c>
      <c r="U843">
        <v>18</v>
      </c>
    </row>
    <row r="844" spans="1:21" x14ac:dyDescent="0.25">
      <c r="A844" s="2">
        <v>46045.794652777775</v>
      </c>
      <c r="B844" t="s">
        <v>309</v>
      </c>
      <c r="C844" t="s">
        <v>372</v>
      </c>
      <c r="D844">
        <v>3</v>
      </c>
      <c r="E844" t="s">
        <v>207</v>
      </c>
      <c r="F844" t="s">
        <v>373</v>
      </c>
      <c r="G844">
        <f t="shared" si="39"/>
        <v>7.2413793103448283</v>
      </c>
      <c r="H844">
        <f t="shared" si="40"/>
        <v>0</v>
      </c>
      <c r="I844">
        <v>43.83</v>
      </c>
      <c r="J844">
        <f t="shared" si="41"/>
        <v>92.758620689655174</v>
      </c>
      <c r="K844">
        <v>0.8</v>
      </c>
      <c r="L844">
        <v>0.2</v>
      </c>
      <c r="M844">
        <v>0.7</v>
      </c>
      <c r="N844">
        <v>538</v>
      </c>
      <c r="O844">
        <v>42</v>
      </c>
      <c r="P844">
        <v>0</v>
      </c>
      <c r="Q844">
        <v>7.24</v>
      </c>
      <c r="R844" t="s">
        <v>384</v>
      </c>
      <c r="S844">
        <v>0.2</v>
      </c>
      <c r="U844">
        <v>56</v>
      </c>
    </row>
    <row r="845" spans="1:21" x14ac:dyDescent="0.25">
      <c r="A845" s="2">
        <v>46045.795023148145</v>
      </c>
      <c r="B845" t="s">
        <v>309</v>
      </c>
      <c r="C845" t="s">
        <v>372</v>
      </c>
      <c r="D845">
        <v>3</v>
      </c>
      <c r="E845" t="s">
        <v>212</v>
      </c>
      <c r="F845" t="s">
        <v>373</v>
      </c>
      <c r="G845">
        <f t="shared" si="39"/>
        <v>43.143297380585516</v>
      </c>
      <c r="H845">
        <f t="shared" si="40"/>
        <v>0.92449922958397546</v>
      </c>
      <c r="I845">
        <v>43.83</v>
      </c>
      <c r="J845">
        <f t="shared" si="41"/>
        <v>55.932203389830505</v>
      </c>
      <c r="K845">
        <v>0.8</v>
      </c>
      <c r="L845">
        <v>0.2</v>
      </c>
      <c r="M845">
        <v>0.7</v>
      </c>
      <c r="N845">
        <v>363</v>
      </c>
      <c r="O845">
        <v>280</v>
      </c>
      <c r="P845">
        <v>6</v>
      </c>
      <c r="Q845">
        <v>44.07</v>
      </c>
      <c r="R845" t="s">
        <v>385</v>
      </c>
      <c r="S845">
        <v>1.18</v>
      </c>
      <c r="U845">
        <v>44</v>
      </c>
    </row>
    <row r="846" spans="1:21" x14ac:dyDescent="0.25">
      <c r="A846" s="2">
        <v>46045.795567129629</v>
      </c>
      <c r="B846" t="s">
        <v>309</v>
      </c>
      <c r="C846" t="s">
        <v>372</v>
      </c>
      <c r="D846">
        <v>3</v>
      </c>
      <c r="E846" t="s">
        <v>34</v>
      </c>
      <c r="F846" t="s">
        <v>373</v>
      </c>
      <c r="G846">
        <f t="shared" si="39"/>
        <v>32.513181019332158</v>
      </c>
      <c r="H846">
        <f t="shared" si="40"/>
        <v>0.17574692442882248</v>
      </c>
      <c r="I846">
        <v>43.83</v>
      </c>
      <c r="J846">
        <f t="shared" si="41"/>
        <v>67.311072056239013</v>
      </c>
      <c r="K846">
        <v>0.8</v>
      </c>
      <c r="L846">
        <v>0.2</v>
      </c>
      <c r="M846">
        <v>0.7</v>
      </c>
      <c r="N846">
        <v>383</v>
      </c>
      <c r="O846">
        <v>185</v>
      </c>
      <c r="P846">
        <v>1</v>
      </c>
      <c r="Q846">
        <v>32.69</v>
      </c>
      <c r="R846" t="s">
        <v>387</v>
      </c>
      <c r="S846">
        <v>0.76</v>
      </c>
      <c r="U846">
        <v>94</v>
      </c>
    </row>
    <row r="847" spans="1:21" x14ac:dyDescent="0.25">
      <c r="A847" s="2">
        <v>46045.795983796299</v>
      </c>
      <c r="B847" t="s">
        <v>309</v>
      </c>
      <c r="C847" t="s">
        <v>372</v>
      </c>
      <c r="D847">
        <v>3</v>
      </c>
      <c r="E847" t="s">
        <v>36</v>
      </c>
      <c r="F847" t="s">
        <v>373</v>
      </c>
      <c r="G847">
        <f t="shared" si="39"/>
        <v>17.410071942446042</v>
      </c>
      <c r="H847">
        <f t="shared" si="40"/>
        <v>0.14388489208633093</v>
      </c>
      <c r="I847">
        <v>43.83</v>
      </c>
      <c r="J847">
        <f t="shared" si="41"/>
        <v>82.446043165467628</v>
      </c>
      <c r="K847">
        <v>0.8</v>
      </c>
      <c r="L847">
        <v>0.2</v>
      </c>
      <c r="M847">
        <v>0.7</v>
      </c>
      <c r="N847">
        <v>573</v>
      </c>
      <c r="O847">
        <v>121</v>
      </c>
      <c r="P847">
        <v>1</v>
      </c>
      <c r="Q847">
        <v>17.55</v>
      </c>
      <c r="R847" t="s">
        <v>387</v>
      </c>
      <c r="S847">
        <v>0.49</v>
      </c>
      <c r="U847">
        <v>37</v>
      </c>
    </row>
    <row r="848" spans="1:21" x14ac:dyDescent="0.25">
      <c r="A848" s="2">
        <v>46045.796400462961</v>
      </c>
      <c r="B848" t="s">
        <v>309</v>
      </c>
      <c r="C848" t="s">
        <v>372</v>
      </c>
      <c r="D848">
        <v>3</v>
      </c>
      <c r="E848" t="s">
        <v>41</v>
      </c>
      <c r="F848" t="s">
        <v>373</v>
      </c>
      <c r="G848">
        <f t="shared" si="39"/>
        <v>0.96463022508038598</v>
      </c>
      <c r="H848">
        <f t="shared" si="40"/>
        <v>0</v>
      </c>
      <c r="I848">
        <v>43.83</v>
      </c>
      <c r="J848">
        <f t="shared" si="41"/>
        <v>99.035369774919616</v>
      </c>
      <c r="K848">
        <v>0.8</v>
      </c>
      <c r="L848">
        <v>0.2</v>
      </c>
      <c r="M848">
        <v>0.7</v>
      </c>
      <c r="N848">
        <v>616</v>
      </c>
      <c r="O848">
        <v>6</v>
      </c>
      <c r="P848">
        <v>0</v>
      </c>
      <c r="Q848">
        <v>0.96</v>
      </c>
      <c r="R848" t="s">
        <v>390</v>
      </c>
      <c r="S848">
        <v>0.02</v>
      </c>
      <c r="U848">
        <v>17</v>
      </c>
    </row>
    <row r="849" spans="1:21" x14ac:dyDescent="0.25">
      <c r="A849" s="2">
        <v>46045.796782407408</v>
      </c>
      <c r="B849" t="s">
        <v>309</v>
      </c>
      <c r="C849" t="s">
        <v>372</v>
      </c>
      <c r="D849">
        <v>3</v>
      </c>
      <c r="E849" t="s">
        <v>42</v>
      </c>
      <c r="F849" t="s">
        <v>373</v>
      </c>
      <c r="G849">
        <f t="shared" si="39"/>
        <v>2.1865889212827989</v>
      </c>
      <c r="H849">
        <f t="shared" si="40"/>
        <v>0</v>
      </c>
      <c r="I849">
        <v>43.83</v>
      </c>
      <c r="J849">
        <f t="shared" si="41"/>
        <v>97.813411078717209</v>
      </c>
      <c r="K849">
        <v>0.8</v>
      </c>
      <c r="L849">
        <v>0.2</v>
      </c>
      <c r="M849">
        <v>0.7</v>
      </c>
      <c r="N849">
        <v>671</v>
      </c>
      <c r="O849">
        <v>15</v>
      </c>
      <c r="P849">
        <v>0</v>
      </c>
      <c r="Q849">
        <v>2.19</v>
      </c>
      <c r="R849" t="s">
        <v>390</v>
      </c>
      <c r="S849">
        <v>0.06</v>
      </c>
      <c r="U849">
        <v>16</v>
      </c>
    </row>
    <row r="850" spans="1:21" x14ac:dyDescent="0.25">
      <c r="A850" s="2">
        <v>46045.797164351854</v>
      </c>
      <c r="B850" t="s">
        <v>309</v>
      </c>
      <c r="C850" t="s">
        <v>372</v>
      </c>
      <c r="D850">
        <v>3</v>
      </c>
      <c r="E850" t="s">
        <v>43</v>
      </c>
      <c r="F850" t="s">
        <v>373</v>
      </c>
      <c r="G850">
        <f t="shared" si="39"/>
        <v>14.261460101867574</v>
      </c>
      <c r="H850">
        <f t="shared" si="40"/>
        <v>0</v>
      </c>
      <c r="I850">
        <v>43.83</v>
      </c>
      <c r="J850">
        <f t="shared" si="41"/>
        <v>85.73853989813243</v>
      </c>
      <c r="K850">
        <v>0.8</v>
      </c>
      <c r="L850">
        <v>0.2</v>
      </c>
      <c r="M850">
        <v>0.7</v>
      </c>
      <c r="N850">
        <v>505</v>
      </c>
      <c r="O850">
        <v>84</v>
      </c>
      <c r="P850">
        <v>0</v>
      </c>
      <c r="Q850">
        <v>14.26</v>
      </c>
      <c r="R850" t="s">
        <v>378</v>
      </c>
      <c r="S850">
        <v>0.35</v>
      </c>
      <c r="U850">
        <v>124</v>
      </c>
    </row>
    <row r="851" spans="1:21" x14ac:dyDescent="0.25">
      <c r="A851" s="2">
        <v>46045.797569444447</v>
      </c>
      <c r="B851" t="s">
        <v>309</v>
      </c>
      <c r="C851" t="s">
        <v>372</v>
      </c>
      <c r="D851">
        <v>3</v>
      </c>
      <c r="E851" t="s">
        <v>54</v>
      </c>
      <c r="F851" t="s">
        <v>373</v>
      </c>
      <c r="G851">
        <f t="shared" si="39"/>
        <v>0.74404761904761896</v>
      </c>
      <c r="H851">
        <f t="shared" si="40"/>
        <v>0</v>
      </c>
      <c r="I851">
        <v>43.83</v>
      </c>
      <c r="J851">
        <f t="shared" si="41"/>
        <v>99.25595238095238</v>
      </c>
      <c r="K851">
        <v>0.8</v>
      </c>
      <c r="L851">
        <v>0.2</v>
      </c>
      <c r="M851">
        <v>0.7</v>
      </c>
      <c r="N851">
        <v>667</v>
      </c>
      <c r="O851">
        <v>5</v>
      </c>
      <c r="P851">
        <v>0</v>
      </c>
      <c r="Q851">
        <v>0.74</v>
      </c>
      <c r="R851" t="s">
        <v>378</v>
      </c>
      <c r="S851">
        <v>0.02</v>
      </c>
      <c r="U851">
        <v>4</v>
      </c>
    </row>
    <row r="852" spans="1:21" x14ac:dyDescent="0.25">
      <c r="A852" s="2">
        <v>46045.797962962963</v>
      </c>
      <c r="B852" t="s">
        <v>309</v>
      </c>
      <c r="C852" t="s">
        <v>372</v>
      </c>
      <c r="D852">
        <v>3</v>
      </c>
      <c r="E852" t="s">
        <v>75</v>
      </c>
      <c r="F852" t="s">
        <v>373</v>
      </c>
      <c r="G852">
        <f t="shared" si="39"/>
        <v>1.9969278033794162</v>
      </c>
      <c r="H852">
        <f t="shared" si="40"/>
        <v>0</v>
      </c>
      <c r="I852">
        <v>43.83</v>
      </c>
      <c r="J852">
        <f t="shared" si="41"/>
        <v>98.003072196620593</v>
      </c>
      <c r="K852">
        <v>0.8</v>
      </c>
      <c r="L852">
        <v>0.2</v>
      </c>
      <c r="M852">
        <v>0.7</v>
      </c>
      <c r="N852">
        <v>638</v>
      </c>
      <c r="O852">
        <v>13</v>
      </c>
      <c r="P852">
        <v>0</v>
      </c>
      <c r="Q852">
        <v>2</v>
      </c>
      <c r="R852" t="s">
        <v>295</v>
      </c>
      <c r="S852">
        <v>0.05</v>
      </c>
      <c r="U852">
        <v>26</v>
      </c>
    </row>
    <row r="853" spans="1:21" x14ac:dyDescent="0.25">
      <c r="A853" s="2">
        <v>46045.798344907409</v>
      </c>
      <c r="B853" t="s">
        <v>309</v>
      </c>
      <c r="C853" t="s">
        <v>372</v>
      </c>
      <c r="D853">
        <v>3</v>
      </c>
      <c r="E853" t="s">
        <v>324</v>
      </c>
      <c r="F853" t="s">
        <v>373</v>
      </c>
      <c r="G853">
        <f t="shared" si="39"/>
        <v>40.691927512355846</v>
      </c>
      <c r="H853">
        <f t="shared" si="40"/>
        <v>0.49423393739703458</v>
      </c>
      <c r="I853">
        <v>43.83</v>
      </c>
      <c r="J853">
        <f t="shared" si="41"/>
        <v>58.813838550247119</v>
      </c>
      <c r="K853">
        <v>0.8</v>
      </c>
      <c r="L853">
        <v>0.2</v>
      </c>
      <c r="M853">
        <v>0.7</v>
      </c>
      <c r="N853">
        <v>357</v>
      </c>
      <c r="O853">
        <v>247</v>
      </c>
      <c r="P853">
        <v>3</v>
      </c>
      <c r="Q853">
        <v>41.19</v>
      </c>
      <c r="R853" t="s">
        <v>386</v>
      </c>
      <c r="S853">
        <v>1.03</v>
      </c>
      <c r="U853">
        <v>116</v>
      </c>
    </row>
    <row r="854" spans="1:21" x14ac:dyDescent="0.25">
      <c r="A854" s="2">
        <v>46045.798796296294</v>
      </c>
      <c r="B854" t="s">
        <v>309</v>
      </c>
      <c r="C854" t="s">
        <v>372</v>
      </c>
      <c r="D854">
        <v>3</v>
      </c>
      <c r="E854" t="s">
        <v>118</v>
      </c>
      <c r="F854" t="s">
        <v>373</v>
      </c>
      <c r="G854">
        <f t="shared" si="39"/>
        <v>8.346709470304976</v>
      </c>
      <c r="H854">
        <f t="shared" si="40"/>
        <v>0.16051364365971107</v>
      </c>
      <c r="I854">
        <v>43.83</v>
      </c>
      <c r="J854">
        <f t="shared" si="41"/>
        <v>91.492776886035315</v>
      </c>
      <c r="K854">
        <v>0.8</v>
      </c>
      <c r="L854">
        <v>0.2</v>
      </c>
      <c r="M854">
        <v>0.7</v>
      </c>
      <c r="N854">
        <v>570</v>
      </c>
      <c r="O854">
        <v>52</v>
      </c>
      <c r="P854">
        <v>1</v>
      </c>
      <c r="Q854">
        <v>8.51</v>
      </c>
      <c r="R854" t="s">
        <v>295</v>
      </c>
      <c r="S854">
        <v>0.2</v>
      </c>
      <c r="U854">
        <v>92</v>
      </c>
    </row>
    <row r="855" spans="1:21" x14ac:dyDescent="0.25">
      <c r="A855" s="2">
        <v>46045.799189814818</v>
      </c>
      <c r="B855" t="s">
        <v>309</v>
      </c>
      <c r="C855" t="s">
        <v>372</v>
      </c>
      <c r="D855">
        <v>3</v>
      </c>
      <c r="E855" t="s">
        <v>137</v>
      </c>
      <c r="F855" t="s">
        <v>373</v>
      </c>
      <c r="G855">
        <f t="shared" si="39"/>
        <v>83.75</v>
      </c>
      <c r="H855">
        <f t="shared" si="40"/>
        <v>1.3888888888888888</v>
      </c>
      <c r="I855">
        <v>43.83</v>
      </c>
      <c r="J855">
        <f t="shared" si="41"/>
        <v>14.861111111111111</v>
      </c>
      <c r="K855">
        <v>0.8</v>
      </c>
      <c r="L855">
        <v>0.2</v>
      </c>
      <c r="M855">
        <v>0.7</v>
      </c>
      <c r="N855">
        <v>107</v>
      </c>
      <c r="O855">
        <v>603</v>
      </c>
      <c r="P855">
        <v>10</v>
      </c>
      <c r="Q855">
        <v>85.14</v>
      </c>
      <c r="R855" t="s">
        <v>397</v>
      </c>
      <c r="S855">
        <v>2.54</v>
      </c>
      <c r="U855">
        <v>32</v>
      </c>
    </row>
    <row r="856" spans="1:21" x14ac:dyDescent="0.25">
      <c r="A856" s="2">
        <v>46045.799733796295</v>
      </c>
      <c r="B856" t="s">
        <v>309</v>
      </c>
      <c r="C856" t="s">
        <v>372</v>
      </c>
      <c r="D856">
        <v>3</v>
      </c>
      <c r="E856" t="s">
        <v>162</v>
      </c>
      <c r="F856" t="s">
        <v>373</v>
      </c>
      <c r="G856">
        <f t="shared" si="39"/>
        <v>1.1869436201780417</v>
      </c>
      <c r="H856">
        <f t="shared" si="40"/>
        <v>0</v>
      </c>
      <c r="I856">
        <v>43.83</v>
      </c>
      <c r="J856">
        <f t="shared" si="41"/>
        <v>98.813056379821958</v>
      </c>
      <c r="K856">
        <v>0.8</v>
      </c>
      <c r="L856">
        <v>0.2</v>
      </c>
      <c r="M856">
        <v>0.7</v>
      </c>
      <c r="N856">
        <v>666</v>
      </c>
      <c r="O856">
        <v>8</v>
      </c>
      <c r="P856">
        <v>0</v>
      </c>
      <c r="Q856">
        <v>1.19</v>
      </c>
      <c r="R856" t="s">
        <v>390</v>
      </c>
      <c r="S856">
        <v>0.03</v>
      </c>
      <c r="U856">
        <v>19</v>
      </c>
    </row>
    <row r="857" spans="1:21" x14ac:dyDescent="0.25">
      <c r="A857" s="2">
        <v>46045.800104166665</v>
      </c>
      <c r="B857" t="s">
        <v>309</v>
      </c>
      <c r="C857" t="s">
        <v>372</v>
      </c>
      <c r="D857">
        <v>3</v>
      </c>
      <c r="E857" t="s">
        <v>179</v>
      </c>
      <c r="F857" t="s">
        <v>373</v>
      </c>
      <c r="G857">
        <f t="shared" si="39"/>
        <v>19.418960244648318</v>
      </c>
      <c r="H857">
        <f t="shared" si="40"/>
        <v>0</v>
      </c>
      <c r="I857">
        <v>43.83</v>
      </c>
      <c r="J857">
        <f t="shared" si="41"/>
        <v>80.581039755351682</v>
      </c>
      <c r="K857">
        <v>0.8</v>
      </c>
      <c r="L857">
        <v>0.2</v>
      </c>
      <c r="M857">
        <v>0.7</v>
      </c>
      <c r="N857">
        <v>527</v>
      </c>
      <c r="O857">
        <v>127</v>
      </c>
      <c r="P857">
        <v>0</v>
      </c>
      <c r="Q857">
        <v>19.420000000000002</v>
      </c>
      <c r="R857" t="s">
        <v>387</v>
      </c>
      <c r="S857">
        <v>0.52</v>
      </c>
      <c r="U857">
        <v>70</v>
      </c>
    </row>
    <row r="858" spans="1:21" x14ac:dyDescent="0.25">
      <c r="A858" s="2">
        <v>46045.800520833334</v>
      </c>
      <c r="B858" t="s">
        <v>309</v>
      </c>
      <c r="C858" t="s">
        <v>372</v>
      </c>
      <c r="D858">
        <v>3</v>
      </c>
      <c r="E858" t="s">
        <v>204</v>
      </c>
      <c r="F858" t="s">
        <v>373</v>
      </c>
      <c r="G858">
        <f t="shared" si="39"/>
        <v>1.4545454545454546</v>
      </c>
      <c r="H858">
        <f t="shared" si="40"/>
        <v>0</v>
      </c>
      <c r="I858">
        <v>43.83</v>
      </c>
      <c r="J858">
        <f t="shared" si="41"/>
        <v>98.545454545454547</v>
      </c>
      <c r="K858">
        <v>0.8</v>
      </c>
      <c r="L858">
        <v>0.2</v>
      </c>
      <c r="M858">
        <v>0.7</v>
      </c>
      <c r="N858">
        <v>542</v>
      </c>
      <c r="O858">
        <v>8</v>
      </c>
      <c r="P858">
        <v>0</v>
      </c>
      <c r="Q858">
        <v>1.45</v>
      </c>
      <c r="R858" t="s">
        <v>379</v>
      </c>
      <c r="S858">
        <v>0.04</v>
      </c>
      <c r="U858">
        <v>18</v>
      </c>
    </row>
    <row r="859" spans="1:21" x14ac:dyDescent="0.25">
      <c r="A859" s="2">
        <v>46045.800868055558</v>
      </c>
      <c r="B859" t="s">
        <v>309</v>
      </c>
      <c r="C859" t="s">
        <v>372</v>
      </c>
      <c r="D859">
        <v>3</v>
      </c>
      <c r="E859" t="s">
        <v>207</v>
      </c>
      <c r="F859" t="s">
        <v>373</v>
      </c>
      <c r="G859">
        <f t="shared" si="39"/>
        <v>7.2413793103448283</v>
      </c>
      <c r="H859">
        <f t="shared" si="40"/>
        <v>0</v>
      </c>
      <c r="I859">
        <v>43.83</v>
      </c>
      <c r="J859">
        <f t="shared" si="41"/>
        <v>92.758620689655174</v>
      </c>
      <c r="K859">
        <v>0.8</v>
      </c>
      <c r="L859">
        <v>0.2</v>
      </c>
      <c r="M859">
        <v>0.7</v>
      </c>
      <c r="N859">
        <v>538</v>
      </c>
      <c r="O859">
        <v>42</v>
      </c>
      <c r="P859">
        <v>0</v>
      </c>
      <c r="Q859">
        <v>7.24</v>
      </c>
      <c r="R859" t="s">
        <v>390</v>
      </c>
      <c r="S859">
        <v>0.2</v>
      </c>
      <c r="U859">
        <v>56</v>
      </c>
    </row>
    <row r="860" spans="1:21" x14ac:dyDescent="0.25">
      <c r="A860" s="2">
        <v>46045.801238425927</v>
      </c>
      <c r="B860" t="s">
        <v>309</v>
      </c>
      <c r="C860" t="s">
        <v>372</v>
      </c>
      <c r="D860">
        <v>3</v>
      </c>
      <c r="E860" t="s">
        <v>212</v>
      </c>
      <c r="F860" t="s">
        <v>373</v>
      </c>
      <c r="G860">
        <f t="shared" si="39"/>
        <v>43.143297380585516</v>
      </c>
      <c r="H860">
        <f t="shared" si="40"/>
        <v>0.92449922958397546</v>
      </c>
      <c r="I860">
        <v>43.83</v>
      </c>
      <c r="J860">
        <f t="shared" si="41"/>
        <v>55.932203389830505</v>
      </c>
      <c r="K860">
        <v>0.8</v>
      </c>
      <c r="L860">
        <v>0.2</v>
      </c>
      <c r="M860">
        <v>0.7</v>
      </c>
      <c r="N860">
        <v>363</v>
      </c>
      <c r="O860">
        <v>280</v>
      </c>
      <c r="P860">
        <v>6</v>
      </c>
      <c r="Q860">
        <v>44.07</v>
      </c>
      <c r="R860" t="s">
        <v>385</v>
      </c>
      <c r="S860">
        <v>1.18</v>
      </c>
      <c r="U860">
        <v>44</v>
      </c>
    </row>
    <row r="861" spans="1:21" x14ac:dyDescent="0.25">
      <c r="A861" s="2">
        <v>46045.81422453704</v>
      </c>
      <c r="B861" t="s">
        <v>309</v>
      </c>
      <c r="C861" t="s">
        <v>372</v>
      </c>
      <c r="D861">
        <v>3</v>
      </c>
      <c r="E861" t="s">
        <v>34</v>
      </c>
      <c r="F861" t="s">
        <v>373</v>
      </c>
      <c r="G861">
        <f t="shared" si="39"/>
        <v>31.302876480541453</v>
      </c>
      <c r="H861">
        <f t="shared" si="40"/>
        <v>0.16920473773265651</v>
      </c>
      <c r="I861">
        <v>43.83</v>
      </c>
      <c r="J861">
        <f t="shared" si="41"/>
        <v>68.527918781725887</v>
      </c>
      <c r="K861">
        <v>0.8</v>
      </c>
      <c r="L861">
        <v>0.3</v>
      </c>
      <c r="M861">
        <v>0.7</v>
      </c>
      <c r="N861">
        <v>405</v>
      </c>
      <c r="O861">
        <v>185</v>
      </c>
      <c r="P861">
        <v>1</v>
      </c>
      <c r="Q861">
        <v>31.47</v>
      </c>
      <c r="R861" t="s">
        <v>387</v>
      </c>
      <c r="S861">
        <v>0.76</v>
      </c>
      <c r="U861">
        <v>72</v>
      </c>
    </row>
    <row r="862" spans="1:21" x14ac:dyDescent="0.25">
      <c r="A862" s="2">
        <v>46045.814641203702</v>
      </c>
      <c r="B862" t="s">
        <v>309</v>
      </c>
      <c r="C862" t="s">
        <v>372</v>
      </c>
      <c r="D862">
        <v>3</v>
      </c>
      <c r="E862" t="s">
        <v>36</v>
      </c>
      <c r="F862" t="s">
        <v>373</v>
      </c>
      <c r="G862">
        <f t="shared" si="39"/>
        <v>17.310443490701001</v>
      </c>
      <c r="H862">
        <f t="shared" si="40"/>
        <v>0.14306151645207438</v>
      </c>
      <c r="I862">
        <v>43.83</v>
      </c>
      <c r="J862">
        <f t="shared" si="41"/>
        <v>82.546494992846917</v>
      </c>
      <c r="K862">
        <v>0.8</v>
      </c>
      <c r="L862">
        <v>0.3</v>
      </c>
      <c r="M862">
        <v>0.7</v>
      </c>
      <c r="N862">
        <v>577</v>
      </c>
      <c r="O862">
        <v>121</v>
      </c>
      <c r="P862">
        <v>1</v>
      </c>
      <c r="Q862">
        <v>17.45</v>
      </c>
      <c r="R862" t="s">
        <v>392</v>
      </c>
      <c r="S862">
        <v>0.49</v>
      </c>
      <c r="U862">
        <v>33</v>
      </c>
    </row>
    <row r="863" spans="1:21" x14ac:dyDescent="0.25">
      <c r="A863" s="2">
        <v>46045.815057870372</v>
      </c>
      <c r="B863" t="s">
        <v>309</v>
      </c>
      <c r="C863" t="s">
        <v>372</v>
      </c>
      <c r="D863">
        <v>3</v>
      </c>
      <c r="E863" t="s">
        <v>41</v>
      </c>
      <c r="F863" t="s">
        <v>373</v>
      </c>
      <c r="G863">
        <f t="shared" si="39"/>
        <v>0.96</v>
      </c>
      <c r="H863">
        <f t="shared" si="40"/>
        <v>0</v>
      </c>
      <c r="I863">
        <v>43.83</v>
      </c>
      <c r="J863">
        <f t="shared" si="41"/>
        <v>99.039999999999992</v>
      </c>
      <c r="K863">
        <v>0.8</v>
      </c>
      <c r="L863">
        <v>0.3</v>
      </c>
      <c r="M863">
        <v>0.7</v>
      </c>
      <c r="N863">
        <v>619</v>
      </c>
      <c r="O863">
        <v>6</v>
      </c>
      <c r="P863">
        <v>0</v>
      </c>
      <c r="Q863">
        <v>0.96</v>
      </c>
      <c r="R863" t="s">
        <v>390</v>
      </c>
      <c r="S863">
        <v>0.02</v>
      </c>
      <c r="U863">
        <v>14</v>
      </c>
    </row>
    <row r="864" spans="1:21" x14ac:dyDescent="0.25">
      <c r="A864" s="2">
        <v>46045.815428240741</v>
      </c>
      <c r="B864" t="s">
        <v>309</v>
      </c>
      <c r="C864" t="s">
        <v>372</v>
      </c>
      <c r="D864">
        <v>3</v>
      </c>
      <c r="E864" t="s">
        <v>42</v>
      </c>
      <c r="F864" t="s">
        <v>373</v>
      </c>
      <c r="G864">
        <f t="shared" si="39"/>
        <v>2.1739130434782608</v>
      </c>
      <c r="H864">
        <f t="shared" si="40"/>
        <v>0</v>
      </c>
      <c r="I864">
        <v>43.83</v>
      </c>
      <c r="J864">
        <f t="shared" si="41"/>
        <v>97.826086956521735</v>
      </c>
      <c r="K864">
        <v>0.8</v>
      </c>
      <c r="L864">
        <v>0.3</v>
      </c>
      <c r="M864">
        <v>0.7</v>
      </c>
      <c r="N864">
        <v>675</v>
      </c>
      <c r="O864">
        <v>15</v>
      </c>
      <c r="P864">
        <v>0</v>
      </c>
      <c r="Q864">
        <v>2.17</v>
      </c>
      <c r="R864" t="s">
        <v>390</v>
      </c>
      <c r="S864">
        <v>0.06</v>
      </c>
      <c r="U864">
        <v>12</v>
      </c>
    </row>
    <row r="865" spans="1:21" x14ac:dyDescent="0.25">
      <c r="A865" s="2">
        <v>46045.815810185188</v>
      </c>
      <c r="B865" t="s">
        <v>309</v>
      </c>
      <c r="C865" t="s">
        <v>372</v>
      </c>
      <c r="D865">
        <v>3</v>
      </c>
      <c r="E865" t="s">
        <v>43</v>
      </c>
      <c r="F865" t="s">
        <v>373</v>
      </c>
      <c r="G865">
        <f t="shared" si="39"/>
        <v>13.636363636363635</v>
      </c>
      <c r="H865">
        <f t="shared" si="40"/>
        <v>0</v>
      </c>
      <c r="I865">
        <v>43.83</v>
      </c>
      <c r="J865">
        <f t="shared" si="41"/>
        <v>86.36363636363636</v>
      </c>
      <c r="K865">
        <v>0.8</v>
      </c>
      <c r="L865">
        <v>0.3</v>
      </c>
      <c r="M865">
        <v>0.7</v>
      </c>
      <c r="N865">
        <v>532</v>
      </c>
      <c r="O865">
        <v>84</v>
      </c>
      <c r="P865">
        <v>0</v>
      </c>
      <c r="Q865">
        <v>13.64</v>
      </c>
      <c r="R865" t="s">
        <v>378</v>
      </c>
      <c r="S865">
        <v>0.35</v>
      </c>
      <c r="U865">
        <v>97</v>
      </c>
    </row>
    <row r="866" spans="1:21" x14ac:dyDescent="0.25">
      <c r="A866" s="2">
        <v>46045.81621527778</v>
      </c>
      <c r="B866" t="s">
        <v>309</v>
      </c>
      <c r="C866" t="s">
        <v>372</v>
      </c>
      <c r="D866">
        <v>3</v>
      </c>
      <c r="E866" t="s">
        <v>54</v>
      </c>
      <c r="F866" t="s">
        <v>373</v>
      </c>
      <c r="G866">
        <f t="shared" si="39"/>
        <v>0.74294205052005935</v>
      </c>
      <c r="H866">
        <f t="shared" si="40"/>
        <v>0</v>
      </c>
      <c r="I866">
        <v>43.83</v>
      </c>
      <c r="J866">
        <f t="shared" si="41"/>
        <v>99.257057949479943</v>
      </c>
      <c r="K866">
        <v>0.8</v>
      </c>
      <c r="L866">
        <v>0.3</v>
      </c>
      <c r="M866">
        <v>0.7</v>
      </c>
      <c r="N866">
        <v>668</v>
      </c>
      <c r="O866">
        <v>5</v>
      </c>
      <c r="P866">
        <v>0</v>
      </c>
      <c r="Q866">
        <v>0.74</v>
      </c>
      <c r="R866" t="s">
        <v>390</v>
      </c>
      <c r="S866">
        <v>0.02</v>
      </c>
      <c r="U866">
        <v>3</v>
      </c>
    </row>
    <row r="867" spans="1:21" x14ac:dyDescent="0.25">
      <c r="A867" s="2">
        <v>46045.81659722222</v>
      </c>
      <c r="B867" t="s">
        <v>309</v>
      </c>
      <c r="C867" t="s">
        <v>372</v>
      </c>
      <c r="D867">
        <v>3</v>
      </c>
      <c r="E867" t="s">
        <v>75</v>
      </c>
      <c r="F867" t="s">
        <v>373</v>
      </c>
      <c r="G867">
        <f t="shared" si="39"/>
        <v>1.9667170953101363</v>
      </c>
      <c r="H867">
        <f t="shared" si="40"/>
        <v>0</v>
      </c>
      <c r="I867">
        <v>43.83</v>
      </c>
      <c r="J867">
        <f t="shared" si="41"/>
        <v>98.033282904689869</v>
      </c>
      <c r="K867">
        <v>0.8</v>
      </c>
      <c r="L867">
        <v>0.3</v>
      </c>
      <c r="M867">
        <v>0.7</v>
      </c>
      <c r="N867">
        <v>648</v>
      </c>
      <c r="O867">
        <v>13</v>
      </c>
      <c r="P867">
        <v>0</v>
      </c>
      <c r="Q867">
        <v>1.97</v>
      </c>
      <c r="R867" t="s">
        <v>390</v>
      </c>
      <c r="S867">
        <v>0.05</v>
      </c>
      <c r="U867">
        <v>16</v>
      </c>
    </row>
    <row r="868" spans="1:21" x14ac:dyDescent="0.25">
      <c r="A868" s="2">
        <v>46045.816979166666</v>
      </c>
      <c r="B868" t="s">
        <v>309</v>
      </c>
      <c r="C868" t="s">
        <v>372</v>
      </c>
      <c r="D868">
        <v>3</v>
      </c>
      <c r="E868" t="s">
        <v>324</v>
      </c>
      <c r="F868" t="s">
        <v>373</v>
      </c>
      <c r="G868">
        <f t="shared" si="39"/>
        <v>38.557993730407524</v>
      </c>
      <c r="H868">
        <f t="shared" si="40"/>
        <v>0.7836990595611284</v>
      </c>
      <c r="I868">
        <v>43.83</v>
      </c>
      <c r="J868">
        <f t="shared" si="41"/>
        <v>60.658307210031346</v>
      </c>
      <c r="K868">
        <v>0.8</v>
      </c>
      <c r="L868">
        <v>0.3</v>
      </c>
      <c r="M868">
        <v>0.7</v>
      </c>
      <c r="N868">
        <v>387</v>
      </c>
      <c r="O868">
        <v>246</v>
      </c>
      <c r="P868">
        <v>5</v>
      </c>
      <c r="Q868">
        <v>39.340000000000003</v>
      </c>
      <c r="R868" t="s">
        <v>386</v>
      </c>
      <c r="S868">
        <v>1.03</v>
      </c>
      <c r="U868">
        <v>85</v>
      </c>
    </row>
    <row r="869" spans="1:21" x14ac:dyDescent="0.25">
      <c r="A869" s="2">
        <v>46045.817418981482</v>
      </c>
      <c r="B869" t="s">
        <v>309</v>
      </c>
      <c r="C869" t="s">
        <v>372</v>
      </c>
      <c r="D869">
        <v>3</v>
      </c>
      <c r="E869" t="s">
        <v>118</v>
      </c>
      <c r="F869" t="s">
        <v>373</v>
      </c>
      <c r="G869">
        <f t="shared" si="39"/>
        <v>8.0495356037151709</v>
      </c>
      <c r="H869">
        <f t="shared" si="40"/>
        <v>0.15479876160990713</v>
      </c>
      <c r="I869">
        <v>43.83</v>
      </c>
      <c r="J869">
        <f t="shared" si="41"/>
        <v>91.795665634674933</v>
      </c>
      <c r="K869">
        <v>0.8</v>
      </c>
      <c r="L869">
        <v>0.3</v>
      </c>
      <c r="M869">
        <v>0.7</v>
      </c>
      <c r="N869">
        <v>593</v>
      </c>
      <c r="O869">
        <v>52</v>
      </c>
      <c r="P869">
        <v>1</v>
      </c>
      <c r="Q869">
        <v>8.1999999999999993</v>
      </c>
      <c r="R869" t="s">
        <v>295</v>
      </c>
      <c r="S869">
        <v>0.2</v>
      </c>
      <c r="U869">
        <v>69</v>
      </c>
    </row>
    <row r="870" spans="1:21" x14ac:dyDescent="0.25">
      <c r="A870" s="2">
        <v>46045.817800925928</v>
      </c>
      <c r="B870" t="s">
        <v>309</v>
      </c>
      <c r="C870" t="s">
        <v>372</v>
      </c>
      <c r="D870">
        <v>3</v>
      </c>
      <c r="E870" t="s">
        <v>137</v>
      </c>
      <c r="F870" t="s">
        <v>373</v>
      </c>
      <c r="G870">
        <f t="shared" si="39"/>
        <v>82.943603851444294</v>
      </c>
      <c r="H870">
        <f t="shared" si="40"/>
        <v>1.3755158184319118</v>
      </c>
      <c r="I870">
        <v>43.83</v>
      </c>
      <c r="J870">
        <f t="shared" si="41"/>
        <v>15.680880330123797</v>
      </c>
      <c r="K870">
        <v>0.8</v>
      </c>
      <c r="L870">
        <v>0.3</v>
      </c>
      <c r="M870">
        <v>0.7</v>
      </c>
      <c r="N870">
        <v>114</v>
      </c>
      <c r="O870">
        <v>603</v>
      </c>
      <c r="P870">
        <v>10</v>
      </c>
      <c r="Q870">
        <v>84.32</v>
      </c>
      <c r="R870" t="s">
        <v>399</v>
      </c>
      <c r="S870">
        <v>2.54</v>
      </c>
      <c r="U870">
        <v>25</v>
      </c>
    </row>
    <row r="871" spans="1:21" x14ac:dyDescent="0.25">
      <c r="A871" s="2">
        <v>46045.818333333336</v>
      </c>
      <c r="B871" t="s">
        <v>309</v>
      </c>
      <c r="C871" t="s">
        <v>372</v>
      </c>
      <c r="D871">
        <v>3</v>
      </c>
      <c r="E871" t="s">
        <v>162</v>
      </c>
      <c r="F871" t="s">
        <v>373</v>
      </c>
      <c r="G871">
        <f t="shared" si="39"/>
        <v>1.1816838995568686</v>
      </c>
      <c r="H871">
        <f t="shared" si="40"/>
        <v>0</v>
      </c>
      <c r="I871">
        <v>43.83</v>
      </c>
      <c r="J871">
        <f t="shared" si="41"/>
        <v>98.818316100443127</v>
      </c>
      <c r="K871">
        <v>0.8</v>
      </c>
      <c r="L871">
        <v>0.3</v>
      </c>
      <c r="M871">
        <v>0.7</v>
      </c>
      <c r="N871">
        <v>669</v>
      </c>
      <c r="O871">
        <v>8</v>
      </c>
      <c r="P871">
        <v>0</v>
      </c>
      <c r="Q871">
        <v>1.18</v>
      </c>
      <c r="R871" t="s">
        <v>390</v>
      </c>
      <c r="S871">
        <v>0.03</v>
      </c>
      <c r="U871">
        <v>16</v>
      </c>
    </row>
    <row r="872" spans="1:21" x14ac:dyDescent="0.25">
      <c r="A872" s="2">
        <v>46045.818703703706</v>
      </c>
      <c r="B872" t="s">
        <v>309</v>
      </c>
      <c r="C872" t="s">
        <v>372</v>
      </c>
      <c r="D872">
        <v>3</v>
      </c>
      <c r="E872" t="s">
        <v>179</v>
      </c>
      <c r="F872" t="s">
        <v>373</v>
      </c>
      <c r="G872">
        <f t="shared" si="39"/>
        <v>18.898809523809522</v>
      </c>
      <c r="H872">
        <f t="shared" si="40"/>
        <v>0.14880952380952381</v>
      </c>
      <c r="I872">
        <v>43.83</v>
      </c>
      <c r="J872">
        <f t="shared" si="41"/>
        <v>80.952380952380949</v>
      </c>
      <c r="K872">
        <v>0.8</v>
      </c>
      <c r="L872">
        <v>0.3</v>
      </c>
      <c r="M872">
        <v>0.7</v>
      </c>
      <c r="N872">
        <v>544</v>
      </c>
      <c r="O872">
        <v>127</v>
      </c>
      <c r="P872">
        <v>1</v>
      </c>
      <c r="Q872">
        <v>19.05</v>
      </c>
      <c r="R872" t="s">
        <v>392</v>
      </c>
      <c r="S872">
        <v>0.53</v>
      </c>
      <c r="U872">
        <v>52</v>
      </c>
    </row>
    <row r="873" spans="1:21" x14ac:dyDescent="0.25">
      <c r="A873" s="2">
        <v>46045.819120370368</v>
      </c>
      <c r="B873" t="s">
        <v>309</v>
      </c>
      <c r="C873" t="s">
        <v>372</v>
      </c>
      <c r="D873">
        <v>3</v>
      </c>
      <c r="E873" t="s">
        <v>204</v>
      </c>
      <c r="F873" t="s">
        <v>373</v>
      </c>
      <c r="G873">
        <f t="shared" si="39"/>
        <v>1.4440433212996391</v>
      </c>
      <c r="H873">
        <f t="shared" si="40"/>
        <v>0</v>
      </c>
      <c r="I873">
        <v>43.83</v>
      </c>
      <c r="J873">
        <f t="shared" si="41"/>
        <v>98.555956678700369</v>
      </c>
      <c r="K873">
        <v>0.8</v>
      </c>
      <c r="L873">
        <v>0.3</v>
      </c>
      <c r="M873">
        <v>0.7</v>
      </c>
      <c r="N873">
        <v>546</v>
      </c>
      <c r="O873">
        <v>8</v>
      </c>
      <c r="P873">
        <v>0</v>
      </c>
      <c r="Q873">
        <v>1.44</v>
      </c>
      <c r="R873" t="s">
        <v>379</v>
      </c>
      <c r="S873">
        <v>0.04</v>
      </c>
      <c r="U873">
        <v>14</v>
      </c>
    </row>
    <row r="874" spans="1:21" x14ac:dyDescent="0.25">
      <c r="A874" s="2">
        <v>46045.819479166668</v>
      </c>
      <c r="B874" t="s">
        <v>309</v>
      </c>
      <c r="C874" t="s">
        <v>372</v>
      </c>
      <c r="D874">
        <v>3</v>
      </c>
      <c r="E874" t="s">
        <v>207</v>
      </c>
      <c r="F874" t="s">
        <v>373</v>
      </c>
      <c r="G874">
        <f t="shared" si="39"/>
        <v>7.0351758793969852</v>
      </c>
      <c r="H874">
        <f t="shared" si="40"/>
        <v>0</v>
      </c>
      <c r="I874">
        <v>43.83</v>
      </c>
      <c r="J874">
        <f t="shared" si="41"/>
        <v>92.964824120603012</v>
      </c>
      <c r="K874">
        <v>0.8</v>
      </c>
      <c r="L874">
        <v>0.3</v>
      </c>
      <c r="M874">
        <v>0.7</v>
      </c>
      <c r="N874">
        <v>555</v>
      </c>
      <c r="O874">
        <v>42</v>
      </c>
      <c r="P874">
        <v>0</v>
      </c>
      <c r="Q874">
        <v>7.04</v>
      </c>
      <c r="R874" t="s">
        <v>390</v>
      </c>
      <c r="S874">
        <v>0.2</v>
      </c>
      <c r="U874">
        <v>39</v>
      </c>
    </row>
    <row r="875" spans="1:21" x14ac:dyDescent="0.25">
      <c r="A875" s="2">
        <v>46045.819849537038</v>
      </c>
      <c r="B875" t="s">
        <v>309</v>
      </c>
      <c r="C875" t="s">
        <v>372</v>
      </c>
      <c r="D875">
        <v>3</v>
      </c>
      <c r="E875" t="s">
        <v>212</v>
      </c>
      <c r="F875" t="s">
        <v>373</v>
      </c>
      <c r="G875">
        <f t="shared" si="39"/>
        <v>42.232277526395173</v>
      </c>
      <c r="H875">
        <f t="shared" si="40"/>
        <v>0.90497737556561098</v>
      </c>
      <c r="I875">
        <v>43.83</v>
      </c>
      <c r="J875">
        <f t="shared" si="41"/>
        <v>56.862745098039213</v>
      </c>
      <c r="K875">
        <v>0.8</v>
      </c>
      <c r="L875">
        <v>0.3</v>
      </c>
      <c r="M875">
        <v>0.7</v>
      </c>
      <c r="N875">
        <v>377</v>
      </c>
      <c r="O875">
        <v>280</v>
      </c>
      <c r="P875">
        <v>6</v>
      </c>
      <c r="Q875">
        <v>43.14</v>
      </c>
      <c r="R875" t="s">
        <v>386</v>
      </c>
      <c r="S875">
        <v>1.18</v>
      </c>
      <c r="U875">
        <v>30</v>
      </c>
    </row>
    <row r="876" spans="1:21" x14ac:dyDescent="0.25">
      <c r="A876" s="2">
        <v>46045.820381944446</v>
      </c>
      <c r="B876" t="s">
        <v>309</v>
      </c>
      <c r="C876" t="s">
        <v>372</v>
      </c>
      <c r="D876">
        <v>3</v>
      </c>
      <c r="E876" t="s">
        <v>34</v>
      </c>
      <c r="F876" t="s">
        <v>373</v>
      </c>
      <c r="G876">
        <f t="shared" si="39"/>
        <v>31.302876480541453</v>
      </c>
      <c r="H876">
        <f t="shared" si="40"/>
        <v>0.16920473773265651</v>
      </c>
      <c r="I876">
        <v>43.83</v>
      </c>
      <c r="J876">
        <f t="shared" si="41"/>
        <v>68.527918781725887</v>
      </c>
      <c r="K876">
        <v>0.8</v>
      </c>
      <c r="L876">
        <v>0.3</v>
      </c>
      <c r="M876">
        <v>0.7</v>
      </c>
      <c r="N876">
        <v>405</v>
      </c>
      <c r="O876">
        <v>185</v>
      </c>
      <c r="P876">
        <v>1</v>
      </c>
      <c r="Q876">
        <v>31.47</v>
      </c>
      <c r="R876" t="s">
        <v>387</v>
      </c>
      <c r="S876">
        <v>0.76</v>
      </c>
      <c r="U876">
        <v>72</v>
      </c>
    </row>
    <row r="877" spans="1:21" x14ac:dyDescent="0.25">
      <c r="A877" s="2">
        <v>46045.820810185185</v>
      </c>
      <c r="B877" t="s">
        <v>309</v>
      </c>
      <c r="C877" t="s">
        <v>372</v>
      </c>
      <c r="D877">
        <v>3</v>
      </c>
      <c r="E877" t="s">
        <v>36</v>
      </c>
      <c r="F877" t="s">
        <v>373</v>
      </c>
      <c r="G877">
        <f t="shared" si="39"/>
        <v>17.310443490701001</v>
      </c>
      <c r="H877">
        <f t="shared" si="40"/>
        <v>0.14306151645207438</v>
      </c>
      <c r="I877">
        <v>43.83</v>
      </c>
      <c r="J877">
        <f t="shared" si="41"/>
        <v>82.546494992846917</v>
      </c>
      <c r="K877">
        <v>0.8</v>
      </c>
      <c r="L877">
        <v>0.3</v>
      </c>
      <c r="M877">
        <v>0.7</v>
      </c>
      <c r="N877">
        <v>577</v>
      </c>
      <c r="O877">
        <v>121</v>
      </c>
      <c r="P877">
        <v>1</v>
      </c>
      <c r="Q877">
        <v>17.45</v>
      </c>
      <c r="R877" t="s">
        <v>387</v>
      </c>
      <c r="S877">
        <v>0.49</v>
      </c>
      <c r="U877">
        <v>33</v>
      </c>
    </row>
    <row r="878" spans="1:21" x14ac:dyDescent="0.25">
      <c r="A878" s="2">
        <v>46045.821238425924</v>
      </c>
      <c r="B878" t="s">
        <v>309</v>
      </c>
      <c r="C878" t="s">
        <v>372</v>
      </c>
      <c r="D878">
        <v>3</v>
      </c>
      <c r="E878" t="s">
        <v>41</v>
      </c>
      <c r="F878" t="s">
        <v>373</v>
      </c>
      <c r="G878">
        <f t="shared" si="39"/>
        <v>0.96</v>
      </c>
      <c r="H878">
        <f t="shared" si="40"/>
        <v>0</v>
      </c>
      <c r="I878">
        <v>43.83</v>
      </c>
      <c r="J878">
        <f t="shared" si="41"/>
        <v>99.039999999999992</v>
      </c>
      <c r="K878">
        <v>0.8</v>
      </c>
      <c r="L878">
        <v>0.3</v>
      </c>
      <c r="M878">
        <v>0.7</v>
      </c>
      <c r="N878">
        <v>619</v>
      </c>
      <c r="O878">
        <v>6</v>
      </c>
      <c r="P878">
        <v>0</v>
      </c>
      <c r="Q878">
        <v>0.96</v>
      </c>
      <c r="R878" t="s">
        <v>384</v>
      </c>
      <c r="S878">
        <v>0.02</v>
      </c>
      <c r="U878">
        <v>14</v>
      </c>
    </row>
    <row r="879" spans="1:21" x14ac:dyDescent="0.25">
      <c r="A879" s="2">
        <v>46045.821608796294</v>
      </c>
      <c r="B879" t="s">
        <v>309</v>
      </c>
      <c r="C879" t="s">
        <v>372</v>
      </c>
      <c r="D879">
        <v>3</v>
      </c>
      <c r="E879" t="s">
        <v>42</v>
      </c>
      <c r="F879" t="s">
        <v>373</v>
      </c>
      <c r="G879">
        <f t="shared" si="39"/>
        <v>2.1739130434782608</v>
      </c>
      <c r="H879">
        <f t="shared" si="40"/>
        <v>0</v>
      </c>
      <c r="I879">
        <v>43.83</v>
      </c>
      <c r="J879">
        <f t="shared" si="41"/>
        <v>97.826086956521735</v>
      </c>
      <c r="K879">
        <v>0.8</v>
      </c>
      <c r="L879">
        <v>0.3</v>
      </c>
      <c r="M879">
        <v>0.7</v>
      </c>
      <c r="N879">
        <v>675</v>
      </c>
      <c r="O879">
        <v>15</v>
      </c>
      <c r="P879">
        <v>0</v>
      </c>
      <c r="Q879">
        <v>2.17</v>
      </c>
      <c r="R879" t="s">
        <v>390</v>
      </c>
      <c r="S879">
        <v>0.06</v>
      </c>
      <c r="U879">
        <v>12</v>
      </c>
    </row>
    <row r="880" spans="1:21" x14ac:dyDescent="0.25">
      <c r="A880" s="2">
        <v>46045.82199074074</v>
      </c>
      <c r="B880" t="s">
        <v>309</v>
      </c>
      <c r="C880" t="s">
        <v>372</v>
      </c>
      <c r="D880">
        <v>3</v>
      </c>
      <c r="E880" t="s">
        <v>43</v>
      </c>
      <c r="F880" t="s">
        <v>373</v>
      </c>
      <c r="G880">
        <f t="shared" si="39"/>
        <v>13.636363636363635</v>
      </c>
      <c r="H880">
        <f t="shared" si="40"/>
        <v>0</v>
      </c>
      <c r="I880">
        <v>43.83</v>
      </c>
      <c r="J880">
        <f t="shared" si="41"/>
        <v>86.36363636363636</v>
      </c>
      <c r="K880">
        <v>0.8</v>
      </c>
      <c r="L880">
        <v>0.3</v>
      </c>
      <c r="M880">
        <v>0.7</v>
      </c>
      <c r="N880">
        <v>532</v>
      </c>
      <c r="O880">
        <v>84</v>
      </c>
      <c r="P880">
        <v>0</v>
      </c>
      <c r="Q880">
        <v>13.64</v>
      </c>
      <c r="R880" t="s">
        <v>378</v>
      </c>
      <c r="S880">
        <v>0.35</v>
      </c>
      <c r="U880">
        <v>97</v>
      </c>
    </row>
    <row r="881" spans="1:21" x14ac:dyDescent="0.25">
      <c r="A881" s="2">
        <v>46045.822384259256</v>
      </c>
      <c r="B881" t="s">
        <v>309</v>
      </c>
      <c r="C881" t="s">
        <v>372</v>
      </c>
      <c r="D881">
        <v>3</v>
      </c>
      <c r="E881" t="s">
        <v>54</v>
      </c>
      <c r="F881" t="s">
        <v>373</v>
      </c>
      <c r="G881">
        <f t="shared" si="39"/>
        <v>0.74294205052005935</v>
      </c>
      <c r="H881">
        <f t="shared" si="40"/>
        <v>0</v>
      </c>
      <c r="I881">
        <v>43.83</v>
      </c>
      <c r="J881">
        <f t="shared" si="41"/>
        <v>99.257057949479943</v>
      </c>
      <c r="K881">
        <v>0.8</v>
      </c>
      <c r="L881">
        <v>0.3</v>
      </c>
      <c r="M881">
        <v>0.7</v>
      </c>
      <c r="N881">
        <v>668</v>
      </c>
      <c r="O881">
        <v>5</v>
      </c>
      <c r="P881">
        <v>0</v>
      </c>
      <c r="Q881">
        <v>0.74</v>
      </c>
      <c r="R881" t="s">
        <v>390</v>
      </c>
      <c r="S881">
        <v>0.02</v>
      </c>
      <c r="U881">
        <v>3</v>
      </c>
    </row>
    <row r="882" spans="1:21" x14ac:dyDescent="0.25">
      <c r="A882" s="2">
        <v>46045.822766203702</v>
      </c>
      <c r="B882" t="s">
        <v>309</v>
      </c>
      <c r="C882" t="s">
        <v>372</v>
      </c>
      <c r="D882">
        <v>3</v>
      </c>
      <c r="E882" t="s">
        <v>75</v>
      </c>
      <c r="F882" t="s">
        <v>373</v>
      </c>
      <c r="G882">
        <f t="shared" si="39"/>
        <v>1.9667170953101363</v>
      </c>
      <c r="H882">
        <f t="shared" si="40"/>
        <v>0</v>
      </c>
      <c r="I882">
        <v>43.83</v>
      </c>
      <c r="J882">
        <f t="shared" si="41"/>
        <v>98.033282904689869</v>
      </c>
      <c r="K882">
        <v>0.8</v>
      </c>
      <c r="L882">
        <v>0.3</v>
      </c>
      <c r="M882">
        <v>0.7</v>
      </c>
      <c r="N882">
        <v>648</v>
      </c>
      <c r="O882">
        <v>13</v>
      </c>
      <c r="P882">
        <v>0</v>
      </c>
      <c r="Q882">
        <v>1.97</v>
      </c>
      <c r="R882" t="s">
        <v>295</v>
      </c>
      <c r="S882">
        <v>0.05</v>
      </c>
      <c r="U882">
        <v>16</v>
      </c>
    </row>
    <row r="883" spans="1:21" x14ac:dyDescent="0.25">
      <c r="A883" s="2">
        <v>46045.823148148149</v>
      </c>
      <c r="B883" t="s">
        <v>309</v>
      </c>
      <c r="C883" t="s">
        <v>372</v>
      </c>
      <c r="D883">
        <v>3</v>
      </c>
      <c r="E883" t="s">
        <v>324</v>
      </c>
      <c r="F883" t="s">
        <v>373</v>
      </c>
      <c r="G883">
        <f t="shared" si="39"/>
        <v>38.775510204081634</v>
      </c>
      <c r="H883">
        <f t="shared" si="40"/>
        <v>0.47095761381475665</v>
      </c>
      <c r="I883">
        <v>43.83</v>
      </c>
      <c r="J883">
        <f t="shared" si="41"/>
        <v>60.753532182103612</v>
      </c>
      <c r="K883">
        <v>0.8</v>
      </c>
      <c r="L883">
        <v>0.3</v>
      </c>
      <c r="M883">
        <v>0.7</v>
      </c>
      <c r="N883">
        <v>387</v>
      </c>
      <c r="O883">
        <v>247</v>
      </c>
      <c r="P883">
        <v>3</v>
      </c>
      <c r="Q883">
        <v>39.25</v>
      </c>
      <c r="R883" t="s">
        <v>389</v>
      </c>
      <c r="S883">
        <v>1.03</v>
      </c>
      <c r="U883">
        <v>86</v>
      </c>
    </row>
    <row r="884" spans="1:21" x14ac:dyDescent="0.25">
      <c r="A884" s="2">
        <v>46045.823611111111</v>
      </c>
      <c r="B884" t="s">
        <v>309</v>
      </c>
      <c r="C884" t="s">
        <v>372</v>
      </c>
      <c r="D884">
        <v>3</v>
      </c>
      <c r="E884" t="s">
        <v>118</v>
      </c>
      <c r="F884" t="s">
        <v>373</v>
      </c>
      <c r="G884">
        <f t="shared" si="39"/>
        <v>8.0495356037151709</v>
      </c>
      <c r="H884">
        <f t="shared" si="40"/>
        <v>0.15479876160990713</v>
      </c>
      <c r="I884">
        <v>43.83</v>
      </c>
      <c r="J884">
        <f t="shared" si="41"/>
        <v>91.795665634674933</v>
      </c>
      <c r="K884">
        <v>0.8</v>
      </c>
      <c r="L884">
        <v>0.3</v>
      </c>
      <c r="M884">
        <v>0.7</v>
      </c>
      <c r="N884">
        <v>593</v>
      </c>
      <c r="O884">
        <v>52</v>
      </c>
      <c r="P884">
        <v>1</v>
      </c>
      <c r="Q884">
        <v>8.1999999999999993</v>
      </c>
      <c r="R884" t="s">
        <v>295</v>
      </c>
      <c r="S884">
        <v>0.2</v>
      </c>
      <c r="U884">
        <v>69</v>
      </c>
    </row>
    <row r="885" spans="1:21" x14ac:dyDescent="0.25">
      <c r="A885" s="2">
        <v>46045.824004629627</v>
      </c>
      <c r="B885" t="s">
        <v>309</v>
      </c>
      <c r="C885" t="s">
        <v>372</v>
      </c>
      <c r="D885">
        <v>3</v>
      </c>
      <c r="E885" t="s">
        <v>137</v>
      </c>
      <c r="F885" t="s">
        <v>373</v>
      </c>
      <c r="G885">
        <f t="shared" si="39"/>
        <v>82.943603851444294</v>
      </c>
      <c r="H885">
        <f t="shared" si="40"/>
        <v>1.3755158184319118</v>
      </c>
      <c r="I885">
        <v>43.83</v>
      </c>
      <c r="J885">
        <f t="shared" si="41"/>
        <v>15.680880330123797</v>
      </c>
      <c r="K885">
        <v>0.8</v>
      </c>
      <c r="L885">
        <v>0.3</v>
      </c>
      <c r="M885">
        <v>0.7</v>
      </c>
      <c r="N885">
        <v>114</v>
      </c>
      <c r="O885">
        <v>603</v>
      </c>
      <c r="P885">
        <v>10</v>
      </c>
      <c r="Q885">
        <v>84.32</v>
      </c>
      <c r="R885" t="s">
        <v>398</v>
      </c>
      <c r="S885">
        <v>2.54</v>
      </c>
      <c r="U885">
        <v>25</v>
      </c>
    </row>
    <row r="886" spans="1:21" x14ac:dyDescent="0.25">
      <c r="A886" s="2">
        <v>46045.824560185189</v>
      </c>
      <c r="B886" t="s">
        <v>309</v>
      </c>
      <c r="C886" t="s">
        <v>372</v>
      </c>
      <c r="D886">
        <v>3</v>
      </c>
      <c r="E886" t="s">
        <v>162</v>
      </c>
      <c r="F886" t="s">
        <v>373</v>
      </c>
      <c r="G886">
        <f t="shared" si="39"/>
        <v>1.1816838995568686</v>
      </c>
      <c r="H886">
        <f t="shared" si="40"/>
        <v>0</v>
      </c>
      <c r="I886">
        <v>43.83</v>
      </c>
      <c r="J886">
        <f t="shared" si="41"/>
        <v>98.818316100443127</v>
      </c>
      <c r="K886">
        <v>0.8</v>
      </c>
      <c r="L886">
        <v>0.3</v>
      </c>
      <c r="M886">
        <v>0.7</v>
      </c>
      <c r="N886">
        <v>669</v>
      </c>
      <c r="O886">
        <v>8</v>
      </c>
      <c r="P886">
        <v>0</v>
      </c>
      <c r="Q886">
        <v>1.18</v>
      </c>
      <c r="R886" t="s">
        <v>390</v>
      </c>
      <c r="S886">
        <v>0.03</v>
      </c>
      <c r="U886">
        <v>16</v>
      </c>
    </row>
    <row r="887" spans="1:21" x14ac:dyDescent="0.25">
      <c r="A887" s="2">
        <v>46045.824930555558</v>
      </c>
      <c r="B887" t="s">
        <v>309</v>
      </c>
      <c r="C887" t="s">
        <v>372</v>
      </c>
      <c r="D887">
        <v>3</v>
      </c>
      <c r="E887" t="s">
        <v>179</v>
      </c>
      <c r="F887" t="s">
        <v>373</v>
      </c>
      <c r="G887">
        <f t="shared" si="39"/>
        <v>18.898809523809522</v>
      </c>
      <c r="H887">
        <f t="shared" si="40"/>
        <v>0.14880952380952381</v>
      </c>
      <c r="I887">
        <v>43.83</v>
      </c>
      <c r="J887">
        <f t="shared" si="41"/>
        <v>80.952380952380949</v>
      </c>
      <c r="K887">
        <v>0.8</v>
      </c>
      <c r="L887">
        <v>0.3</v>
      </c>
      <c r="M887">
        <v>0.7</v>
      </c>
      <c r="N887">
        <v>544</v>
      </c>
      <c r="O887">
        <v>127</v>
      </c>
      <c r="P887">
        <v>1</v>
      </c>
      <c r="Q887">
        <v>19.05</v>
      </c>
      <c r="R887" t="s">
        <v>392</v>
      </c>
      <c r="S887">
        <v>0.53</v>
      </c>
      <c r="U887">
        <v>52</v>
      </c>
    </row>
    <row r="888" spans="1:21" x14ac:dyDescent="0.25">
      <c r="A888" s="2">
        <v>46045.825335648151</v>
      </c>
      <c r="B888" t="s">
        <v>309</v>
      </c>
      <c r="C888" t="s">
        <v>372</v>
      </c>
      <c r="D888">
        <v>3</v>
      </c>
      <c r="E888" t="s">
        <v>204</v>
      </c>
      <c r="F888" t="s">
        <v>373</v>
      </c>
      <c r="G888">
        <f t="shared" si="39"/>
        <v>1.4440433212996391</v>
      </c>
      <c r="H888">
        <f t="shared" si="40"/>
        <v>0</v>
      </c>
      <c r="I888">
        <v>43.83</v>
      </c>
      <c r="J888">
        <f t="shared" si="41"/>
        <v>98.555956678700369</v>
      </c>
      <c r="K888">
        <v>0.8</v>
      </c>
      <c r="L888">
        <v>0.3</v>
      </c>
      <c r="M888">
        <v>0.7</v>
      </c>
      <c r="N888">
        <v>546</v>
      </c>
      <c r="O888">
        <v>8</v>
      </c>
      <c r="P888">
        <v>0</v>
      </c>
      <c r="Q888">
        <v>1.44</v>
      </c>
      <c r="R888" t="s">
        <v>382</v>
      </c>
      <c r="S888">
        <v>0.04</v>
      </c>
      <c r="U888">
        <v>14</v>
      </c>
    </row>
    <row r="889" spans="1:21" x14ac:dyDescent="0.25">
      <c r="A889" s="2">
        <v>46045.825682870367</v>
      </c>
      <c r="B889" t="s">
        <v>309</v>
      </c>
      <c r="C889" t="s">
        <v>372</v>
      </c>
      <c r="D889">
        <v>3</v>
      </c>
      <c r="E889" t="s">
        <v>207</v>
      </c>
      <c r="F889" t="s">
        <v>373</v>
      </c>
      <c r="G889">
        <f t="shared" si="39"/>
        <v>7.0351758793969852</v>
      </c>
      <c r="H889">
        <f t="shared" si="40"/>
        <v>0</v>
      </c>
      <c r="I889">
        <v>43.83</v>
      </c>
      <c r="J889">
        <f t="shared" si="41"/>
        <v>92.964824120603012</v>
      </c>
      <c r="K889">
        <v>0.8</v>
      </c>
      <c r="L889">
        <v>0.3</v>
      </c>
      <c r="M889">
        <v>0.7</v>
      </c>
      <c r="N889">
        <v>555</v>
      </c>
      <c r="O889">
        <v>42</v>
      </c>
      <c r="P889">
        <v>0</v>
      </c>
      <c r="Q889">
        <v>7.04</v>
      </c>
      <c r="R889" t="s">
        <v>384</v>
      </c>
      <c r="S889">
        <v>0.2</v>
      </c>
      <c r="U889">
        <v>39</v>
      </c>
    </row>
    <row r="890" spans="1:21" x14ac:dyDescent="0.25">
      <c r="A890" s="2">
        <v>46045.826053240744</v>
      </c>
      <c r="B890" t="s">
        <v>309</v>
      </c>
      <c r="C890" t="s">
        <v>372</v>
      </c>
      <c r="D890">
        <v>3</v>
      </c>
      <c r="E890" t="s">
        <v>212</v>
      </c>
      <c r="F890" t="s">
        <v>373</v>
      </c>
      <c r="G890">
        <f t="shared" si="39"/>
        <v>42.232277526395173</v>
      </c>
      <c r="H890">
        <f t="shared" si="40"/>
        <v>0.90497737556561098</v>
      </c>
      <c r="I890">
        <v>43.83</v>
      </c>
      <c r="J890">
        <f t="shared" si="41"/>
        <v>56.862745098039213</v>
      </c>
      <c r="K890">
        <v>0.8</v>
      </c>
      <c r="L890">
        <v>0.3</v>
      </c>
      <c r="M890">
        <v>0.7</v>
      </c>
      <c r="N890">
        <v>377</v>
      </c>
      <c r="O890">
        <v>280</v>
      </c>
      <c r="P890">
        <v>6</v>
      </c>
      <c r="Q890">
        <v>43.14</v>
      </c>
      <c r="R890" t="s">
        <v>385</v>
      </c>
      <c r="S890">
        <v>1.18</v>
      </c>
      <c r="U890">
        <v>30</v>
      </c>
    </row>
    <row r="891" spans="1:21" x14ac:dyDescent="0.25">
      <c r="A891" s="2">
        <v>46045.820393518516</v>
      </c>
      <c r="B891" t="s">
        <v>309</v>
      </c>
      <c r="C891" t="s">
        <v>372</v>
      </c>
      <c r="D891">
        <v>3</v>
      </c>
      <c r="E891" t="s">
        <v>34</v>
      </c>
      <c r="F891" t="s">
        <v>373</v>
      </c>
      <c r="G891">
        <f t="shared" si="39"/>
        <v>31.302876480541453</v>
      </c>
      <c r="H891">
        <f t="shared" si="40"/>
        <v>0.16920473773265651</v>
      </c>
      <c r="I891">
        <v>43.83</v>
      </c>
      <c r="J891">
        <f t="shared" si="41"/>
        <v>68.527918781725887</v>
      </c>
      <c r="K891">
        <v>0.8</v>
      </c>
      <c r="L891">
        <v>0.3</v>
      </c>
      <c r="M891">
        <v>0.7</v>
      </c>
      <c r="N891">
        <v>405</v>
      </c>
      <c r="O891">
        <v>185</v>
      </c>
      <c r="P891">
        <v>1</v>
      </c>
      <c r="Q891">
        <v>31.47</v>
      </c>
      <c r="R891" t="s">
        <v>392</v>
      </c>
      <c r="S891">
        <v>0.76</v>
      </c>
      <c r="U891">
        <v>72</v>
      </c>
    </row>
    <row r="892" spans="1:21" x14ac:dyDescent="0.25">
      <c r="A892" s="2">
        <v>46045.820810185185</v>
      </c>
      <c r="B892" t="s">
        <v>309</v>
      </c>
      <c r="C892" t="s">
        <v>372</v>
      </c>
      <c r="D892">
        <v>3</v>
      </c>
      <c r="E892" t="s">
        <v>36</v>
      </c>
      <c r="F892" t="s">
        <v>373</v>
      </c>
      <c r="G892">
        <f t="shared" si="39"/>
        <v>17.310443490701001</v>
      </c>
      <c r="H892">
        <f t="shared" si="40"/>
        <v>0.14306151645207438</v>
      </c>
      <c r="I892">
        <v>43.83</v>
      </c>
      <c r="J892">
        <f t="shared" si="41"/>
        <v>82.546494992846917</v>
      </c>
      <c r="K892">
        <v>0.8</v>
      </c>
      <c r="L892">
        <v>0.3</v>
      </c>
      <c r="M892">
        <v>0.7</v>
      </c>
      <c r="N892">
        <v>577</v>
      </c>
      <c r="O892">
        <v>121</v>
      </c>
      <c r="P892">
        <v>1</v>
      </c>
      <c r="Q892">
        <v>17.45</v>
      </c>
      <c r="R892" t="s">
        <v>392</v>
      </c>
      <c r="S892">
        <v>0.49</v>
      </c>
      <c r="U892">
        <v>33</v>
      </c>
    </row>
    <row r="893" spans="1:21" x14ac:dyDescent="0.25">
      <c r="A893" s="2">
        <v>46045.821226851855</v>
      </c>
      <c r="B893" t="s">
        <v>309</v>
      </c>
      <c r="C893" t="s">
        <v>372</v>
      </c>
      <c r="D893">
        <v>3</v>
      </c>
      <c r="E893" t="s">
        <v>41</v>
      </c>
      <c r="F893" t="s">
        <v>373</v>
      </c>
      <c r="G893">
        <f t="shared" si="39"/>
        <v>0.96</v>
      </c>
      <c r="H893">
        <f t="shared" si="40"/>
        <v>0</v>
      </c>
      <c r="I893">
        <v>43.83</v>
      </c>
      <c r="J893">
        <f t="shared" si="41"/>
        <v>99.039999999999992</v>
      </c>
      <c r="K893">
        <v>0.8</v>
      </c>
      <c r="L893">
        <v>0.3</v>
      </c>
      <c r="M893">
        <v>0.7</v>
      </c>
      <c r="N893">
        <v>619</v>
      </c>
      <c r="O893">
        <v>6</v>
      </c>
      <c r="P893">
        <v>0</v>
      </c>
      <c r="Q893">
        <v>0.96</v>
      </c>
      <c r="R893" t="s">
        <v>384</v>
      </c>
      <c r="S893">
        <v>0.02</v>
      </c>
      <c r="U893">
        <v>14</v>
      </c>
    </row>
    <row r="894" spans="1:21" x14ac:dyDescent="0.25">
      <c r="A894" s="2">
        <v>46045.821597222224</v>
      </c>
      <c r="B894" t="s">
        <v>309</v>
      </c>
      <c r="C894" t="s">
        <v>372</v>
      </c>
      <c r="D894">
        <v>3</v>
      </c>
      <c r="E894" t="s">
        <v>42</v>
      </c>
      <c r="F894" t="s">
        <v>373</v>
      </c>
      <c r="G894">
        <f t="shared" si="39"/>
        <v>2.1739130434782608</v>
      </c>
      <c r="H894">
        <f t="shared" si="40"/>
        <v>0</v>
      </c>
      <c r="I894">
        <v>43.83</v>
      </c>
      <c r="J894">
        <f t="shared" si="41"/>
        <v>97.826086956521735</v>
      </c>
      <c r="K894">
        <v>0.8</v>
      </c>
      <c r="L894">
        <v>0.3</v>
      </c>
      <c r="M894">
        <v>0.7</v>
      </c>
      <c r="N894">
        <v>675</v>
      </c>
      <c r="O894">
        <v>15</v>
      </c>
      <c r="P894">
        <v>0</v>
      </c>
      <c r="Q894">
        <v>2.17</v>
      </c>
      <c r="R894" t="s">
        <v>390</v>
      </c>
      <c r="S894">
        <v>0.06</v>
      </c>
      <c r="U894">
        <v>12</v>
      </c>
    </row>
    <row r="895" spans="1:21" x14ac:dyDescent="0.25">
      <c r="A895" s="2">
        <v>46045.821979166663</v>
      </c>
      <c r="B895" t="s">
        <v>309</v>
      </c>
      <c r="C895" t="s">
        <v>372</v>
      </c>
      <c r="D895">
        <v>3</v>
      </c>
      <c r="E895" t="s">
        <v>43</v>
      </c>
      <c r="F895" t="s">
        <v>373</v>
      </c>
      <c r="G895">
        <f t="shared" si="39"/>
        <v>13.636363636363635</v>
      </c>
      <c r="H895">
        <f t="shared" si="40"/>
        <v>0</v>
      </c>
      <c r="I895">
        <v>43.83</v>
      </c>
      <c r="J895">
        <f t="shared" si="41"/>
        <v>86.36363636363636</v>
      </c>
      <c r="K895">
        <v>0.8</v>
      </c>
      <c r="L895">
        <v>0.3</v>
      </c>
      <c r="M895">
        <v>0.7</v>
      </c>
      <c r="N895">
        <v>532</v>
      </c>
      <c r="O895">
        <v>84</v>
      </c>
      <c r="P895">
        <v>0</v>
      </c>
      <c r="Q895">
        <v>13.64</v>
      </c>
      <c r="R895" t="s">
        <v>378</v>
      </c>
      <c r="S895">
        <v>0.35</v>
      </c>
      <c r="U895">
        <v>97</v>
      </c>
    </row>
    <row r="896" spans="1:21" x14ac:dyDescent="0.25">
      <c r="A896" s="2">
        <v>46045.822372685187</v>
      </c>
      <c r="B896" t="s">
        <v>309</v>
      </c>
      <c r="C896" t="s">
        <v>372</v>
      </c>
      <c r="D896">
        <v>3</v>
      </c>
      <c r="E896" t="s">
        <v>54</v>
      </c>
      <c r="F896" t="s">
        <v>373</v>
      </c>
      <c r="G896">
        <f t="shared" si="39"/>
        <v>0.74294205052005935</v>
      </c>
      <c r="H896">
        <f t="shared" si="40"/>
        <v>0</v>
      </c>
      <c r="I896">
        <v>43.83</v>
      </c>
      <c r="J896">
        <f t="shared" si="41"/>
        <v>99.257057949479943</v>
      </c>
      <c r="K896">
        <v>0.8</v>
      </c>
      <c r="L896">
        <v>0.3</v>
      </c>
      <c r="M896">
        <v>0.7</v>
      </c>
      <c r="N896">
        <v>668</v>
      </c>
      <c r="O896">
        <v>5</v>
      </c>
      <c r="P896">
        <v>0</v>
      </c>
      <c r="Q896">
        <v>0.74</v>
      </c>
      <c r="R896" t="s">
        <v>390</v>
      </c>
      <c r="S896">
        <v>0.02</v>
      </c>
      <c r="U896">
        <v>3</v>
      </c>
    </row>
    <row r="897" spans="1:21" x14ac:dyDescent="0.25">
      <c r="A897" s="2">
        <v>46045.822754629633</v>
      </c>
      <c r="B897" t="s">
        <v>309</v>
      </c>
      <c r="C897" t="s">
        <v>372</v>
      </c>
      <c r="D897">
        <v>3</v>
      </c>
      <c r="E897" t="s">
        <v>75</v>
      </c>
      <c r="F897" t="s">
        <v>373</v>
      </c>
      <c r="G897">
        <f t="shared" ref="G897:G960" si="42">(O897/(N897+O897+P897))*100</f>
        <v>1.9667170953101363</v>
      </c>
      <c r="H897">
        <f t="shared" ref="H897:H960" si="43">(P897/(O897+P897+N897))*100</f>
        <v>0</v>
      </c>
      <c r="I897">
        <v>43.83</v>
      </c>
      <c r="J897">
        <f t="shared" ref="J897:J960" si="44">(N897/(P897+O897+N897))*100</f>
        <v>98.033282904689869</v>
      </c>
      <c r="K897">
        <v>0.8</v>
      </c>
      <c r="L897">
        <v>0.3</v>
      </c>
      <c r="M897">
        <v>0.7</v>
      </c>
      <c r="N897">
        <v>648</v>
      </c>
      <c r="O897">
        <v>13</v>
      </c>
      <c r="P897">
        <v>0</v>
      </c>
      <c r="Q897">
        <v>1.97</v>
      </c>
      <c r="R897" t="s">
        <v>295</v>
      </c>
      <c r="S897">
        <v>0.05</v>
      </c>
      <c r="U897">
        <v>16</v>
      </c>
    </row>
    <row r="898" spans="1:21" x14ac:dyDescent="0.25">
      <c r="A898" s="2">
        <v>46045.823136574072</v>
      </c>
      <c r="B898" t="s">
        <v>309</v>
      </c>
      <c r="C898" t="s">
        <v>372</v>
      </c>
      <c r="D898">
        <v>3</v>
      </c>
      <c r="E898" t="s">
        <v>324</v>
      </c>
      <c r="F898" t="s">
        <v>373</v>
      </c>
      <c r="G898">
        <f t="shared" si="42"/>
        <v>38.775510204081634</v>
      </c>
      <c r="H898">
        <f t="shared" si="43"/>
        <v>0.47095761381475665</v>
      </c>
      <c r="I898">
        <v>43.83</v>
      </c>
      <c r="J898">
        <f t="shared" si="44"/>
        <v>60.753532182103612</v>
      </c>
      <c r="K898">
        <v>0.8</v>
      </c>
      <c r="L898">
        <v>0.3</v>
      </c>
      <c r="M898">
        <v>0.7</v>
      </c>
      <c r="N898">
        <v>387</v>
      </c>
      <c r="O898">
        <v>247</v>
      </c>
      <c r="P898">
        <v>3</v>
      </c>
      <c r="Q898">
        <v>39.25</v>
      </c>
      <c r="R898" t="s">
        <v>386</v>
      </c>
      <c r="S898">
        <v>1.03</v>
      </c>
      <c r="U898">
        <v>86</v>
      </c>
    </row>
    <row r="899" spans="1:21" x14ac:dyDescent="0.25">
      <c r="A899" s="2">
        <v>46045.823576388888</v>
      </c>
      <c r="B899" t="s">
        <v>309</v>
      </c>
      <c r="C899" t="s">
        <v>372</v>
      </c>
      <c r="D899">
        <v>3</v>
      </c>
      <c r="E899" t="s">
        <v>118</v>
      </c>
      <c r="F899" t="s">
        <v>373</v>
      </c>
      <c r="G899">
        <f t="shared" si="42"/>
        <v>8.0495356037151709</v>
      </c>
      <c r="H899">
        <f t="shared" si="43"/>
        <v>0.15479876160990713</v>
      </c>
      <c r="I899">
        <v>43.83</v>
      </c>
      <c r="J899">
        <f t="shared" si="44"/>
        <v>91.795665634674933</v>
      </c>
      <c r="K899">
        <v>0.8</v>
      </c>
      <c r="L899">
        <v>0.3</v>
      </c>
      <c r="M899">
        <v>0.7</v>
      </c>
      <c r="N899">
        <v>593</v>
      </c>
      <c r="O899">
        <v>52</v>
      </c>
      <c r="P899">
        <v>1</v>
      </c>
      <c r="Q899">
        <v>8.1999999999999993</v>
      </c>
      <c r="R899" t="s">
        <v>295</v>
      </c>
      <c r="S899">
        <v>0.2</v>
      </c>
      <c r="U899">
        <v>69</v>
      </c>
    </row>
    <row r="900" spans="1:21" x14ac:dyDescent="0.25">
      <c r="A900" s="2">
        <v>46045.823969907404</v>
      </c>
      <c r="B900" t="s">
        <v>309</v>
      </c>
      <c r="C900" t="s">
        <v>372</v>
      </c>
      <c r="D900">
        <v>3</v>
      </c>
      <c r="E900" t="s">
        <v>137</v>
      </c>
      <c r="F900" t="s">
        <v>373</v>
      </c>
      <c r="G900">
        <f t="shared" si="42"/>
        <v>82.943603851444294</v>
      </c>
      <c r="H900">
        <f t="shared" si="43"/>
        <v>1.3755158184319118</v>
      </c>
      <c r="I900">
        <v>43.83</v>
      </c>
      <c r="J900">
        <f t="shared" si="44"/>
        <v>15.680880330123797</v>
      </c>
      <c r="K900">
        <v>0.8</v>
      </c>
      <c r="L900">
        <v>0.3</v>
      </c>
      <c r="M900">
        <v>0.7</v>
      </c>
      <c r="N900">
        <v>114</v>
      </c>
      <c r="O900">
        <v>603</v>
      </c>
      <c r="P900">
        <v>10</v>
      </c>
      <c r="Q900">
        <v>84.32</v>
      </c>
      <c r="R900" t="s">
        <v>397</v>
      </c>
      <c r="S900">
        <v>2.54</v>
      </c>
      <c r="U900">
        <v>25</v>
      </c>
    </row>
    <row r="901" spans="1:21" x14ac:dyDescent="0.25">
      <c r="A901" s="2">
        <v>46045.824513888889</v>
      </c>
      <c r="B901" t="s">
        <v>309</v>
      </c>
      <c r="C901" t="s">
        <v>372</v>
      </c>
      <c r="D901">
        <v>3</v>
      </c>
      <c r="E901" t="s">
        <v>162</v>
      </c>
      <c r="F901" t="s">
        <v>373</v>
      </c>
      <c r="G901">
        <f t="shared" si="42"/>
        <v>1.1816838995568686</v>
      </c>
      <c r="H901">
        <f t="shared" si="43"/>
        <v>0</v>
      </c>
      <c r="I901">
        <v>43.83</v>
      </c>
      <c r="J901">
        <f t="shared" si="44"/>
        <v>98.818316100443127</v>
      </c>
      <c r="K901">
        <v>0.8</v>
      </c>
      <c r="L901">
        <v>0.3</v>
      </c>
      <c r="M901">
        <v>0.7</v>
      </c>
      <c r="N901">
        <v>669</v>
      </c>
      <c r="O901">
        <v>8</v>
      </c>
      <c r="P901">
        <v>0</v>
      </c>
      <c r="Q901">
        <v>1.18</v>
      </c>
      <c r="R901" t="s">
        <v>390</v>
      </c>
      <c r="S901">
        <v>0.03</v>
      </c>
      <c r="U901">
        <v>16</v>
      </c>
    </row>
    <row r="902" spans="1:21" x14ac:dyDescent="0.25">
      <c r="A902" s="2">
        <v>46045.824884259258</v>
      </c>
      <c r="B902" t="s">
        <v>309</v>
      </c>
      <c r="C902" t="s">
        <v>372</v>
      </c>
      <c r="D902">
        <v>3</v>
      </c>
      <c r="E902" t="s">
        <v>179</v>
      </c>
      <c r="F902" t="s">
        <v>373</v>
      </c>
      <c r="G902">
        <f t="shared" si="42"/>
        <v>18.926974664679584</v>
      </c>
      <c r="H902">
        <f t="shared" si="43"/>
        <v>0</v>
      </c>
      <c r="I902">
        <v>43.83</v>
      </c>
      <c r="J902">
        <f t="shared" si="44"/>
        <v>81.073025335320409</v>
      </c>
      <c r="K902">
        <v>0.8</v>
      </c>
      <c r="L902">
        <v>0.3</v>
      </c>
      <c r="M902">
        <v>0.7</v>
      </c>
      <c r="N902">
        <v>544</v>
      </c>
      <c r="O902">
        <v>127</v>
      </c>
      <c r="P902">
        <v>0</v>
      </c>
      <c r="Q902">
        <v>18.93</v>
      </c>
      <c r="R902" t="s">
        <v>392</v>
      </c>
      <c r="S902">
        <v>0.52</v>
      </c>
      <c r="U902">
        <v>53</v>
      </c>
    </row>
    <row r="903" spans="1:21" x14ac:dyDescent="0.25">
      <c r="A903" s="2">
        <v>46045.825289351851</v>
      </c>
      <c r="B903" t="s">
        <v>309</v>
      </c>
      <c r="C903" t="s">
        <v>372</v>
      </c>
      <c r="D903">
        <v>3</v>
      </c>
      <c r="E903" t="s">
        <v>204</v>
      </c>
      <c r="F903" t="s">
        <v>373</v>
      </c>
      <c r="G903">
        <f t="shared" si="42"/>
        <v>1.4440433212996391</v>
      </c>
      <c r="H903">
        <f t="shared" si="43"/>
        <v>0</v>
      </c>
      <c r="I903">
        <v>43.83</v>
      </c>
      <c r="J903">
        <f t="shared" si="44"/>
        <v>98.555956678700369</v>
      </c>
      <c r="K903">
        <v>0.8</v>
      </c>
      <c r="L903">
        <v>0.3</v>
      </c>
      <c r="M903">
        <v>0.7</v>
      </c>
      <c r="N903">
        <v>546</v>
      </c>
      <c r="O903">
        <v>8</v>
      </c>
      <c r="P903">
        <v>0</v>
      </c>
      <c r="Q903">
        <v>1.44</v>
      </c>
      <c r="R903" t="s">
        <v>382</v>
      </c>
      <c r="S903">
        <v>0.04</v>
      </c>
      <c r="U903">
        <v>14</v>
      </c>
    </row>
    <row r="904" spans="1:21" x14ac:dyDescent="0.25">
      <c r="A904" s="2">
        <v>46045.825636574074</v>
      </c>
      <c r="B904" t="s">
        <v>309</v>
      </c>
      <c r="C904" t="s">
        <v>372</v>
      </c>
      <c r="D904">
        <v>3</v>
      </c>
      <c r="E904" t="s">
        <v>207</v>
      </c>
      <c r="F904" t="s">
        <v>373</v>
      </c>
      <c r="G904">
        <f t="shared" si="42"/>
        <v>7.0351758793969852</v>
      </c>
      <c r="H904">
        <f t="shared" si="43"/>
        <v>0</v>
      </c>
      <c r="I904">
        <v>43.83</v>
      </c>
      <c r="J904">
        <f t="shared" si="44"/>
        <v>92.964824120603012</v>
      </c>
      <c r="K904">
        <v>0.8</v>
      </c>
      <c r="L904">
        <v>0.3</v>
      </c>
      <c r="M904">
        <v>0.7</v>
      </c>
      <c r="N904">
        <v>555</v>
      </c>
      <c r="O904">
        <v>42</v>
      </c>
      <c r="P904">
        <v>0</v>
      </c>
      <c r="Q904">
        <v>7.04</v>
      </c>
      <c r="R904" t="s">
        <v>384</v>
      </c>
      <c r="S904">
        <v>0.2</v>
      </c>
      <c r="U904">
        <v>39</v>
      </c>
    </row>
    <row r="905" spans="1:21" x14ac:dyDescent="0.25">
      <c r="A905" s="2">
        <v>46045.825995370367</v>
      </c>
      <c r="B905" t="s">
        <v>309</v>
      </c>
      <c r="C905" t="s">
        <v>372</v>
      </c>
      <c r="D905">
        <v>3</v>
      </c>
      <c r="E905" t="s">
        <v>212</v>
      </c>
      <c r="F905" t="s">
        <v>373</v>
      </c>
      <c r="G905">
        <f t="shared" si="42"/>
        <v>42.232277526395173</v>
      </c>
      <c r="H905">
        <f t="shared" si="43"/>
        <v>0.90497737556561098</v>
      </c>
      <c r="I905">
        <v>43.83</v>
      </c>
      <c r="J905">
        <f t="shared" si="44"/>
        <v>56.862745098039213</v>
      </c>
      <c r="K905">
        <v>0.8</v>
      </c>
      <c r="L905">
        <v>0.3</v>
      </c>
      <c r="M905">
        <v>0.7</v>
      </c>
      <c r="N905">
        <v>377</v>
      </c>
      <c r="O905">
        <v>280</v>
      </c>
      <c r="P905">
        <v>6</v>
      </c>
      <c r="Q905">
        <v>43.14</v>
      </c>
      <c r="R905" t="s">
        <v>385</v>
      </c>
      <c r="S905">
        <v>1.18</v>
      </c>
      <c r="U905">
        <v>30</v>
      </c>
    </row>
    <row r="906" spans="1:21" x14ac:dyDescent="0.25">
      <c r="A906" s="2">
        <v>46045.849270833336</v>
      </c>
      <c r="B906" t="s">
        <v>309</v>
      </c>
      <c r="C906" t="s">
        <v>372</v>
      </c>
      <c r="D906">
        <v>3</v>
      </c>
      <c r="E906" t="s">
        <v>33</v>
      </c>
      <c r="F906" t="s">
        <v>388</v>
      </c>
      <c r="G906">
        <f t="shared" si="42"/>
        <v>17.307692307692307</v>
      </c>
      <c r="H906">
        <f t="shared" si="43"/>
        <v>12.820512820512819</v>
      </c>
      <c r="I906">
        <v>43.83</v>
      </c>
      <c r="J906">
        <f t="shared" si="44"/>
        <v>69.871794871794862</v>
      </c>
      <c r="K906">
        <v>0.9</v>
      </c>
      <c r="L906">
        <v>0.1</v>
      </c>
      <c r="M906">
        <v>0.7</v>
      </c>
      <c r="N906">
        <v>436</v>
      </c>
      <c r="O906">
        <v>108</v>
      </c>
      <c r="P906">
        <v>80</v>
      </c>
      <c r="Q906">
        <v>30.13</v>
      </c>
      <c r="R906" t="s">
        <v>384</v>
      </c>
      <c r="S906">
        <v>0.79</v>
      </c>
      <c r="U906">
        <v>100</v>
      </c>
    </row>
    <row r="907" spans="1:21" x14ac:dyDescent="0.25">
      <c r="A907" s="2">
        <v>46045.849629629629</v>
      </c>
      <c r="B907" t="s">
        <v>309</v>
      </c>
      <c r="C907" t="s">
        <v>372</v>
      </c>
      <c r="D907">
        <v>3</v>
      </c>
      <c r="E907" t="s">
        <v>48</v>
      </c>
      <c r="F907" t="s">
        <v>388</v>
      </c>
      <c r="G907">
        <f t="shared" si="42"/>
        <v>0</v>
      </c>
      <c r="H907">
        <f t="shared" si="43"/>
        <v>0.1394700139470014</v>
      </c>
      <c r="I907">
        <v>43.83</v>
      </c>
      <c r="J907">
        <f t="shared" si="44"/>
        <v>99.86052998605301</v>
      </c>
      <c r="K907">
        <v>0.9</v>
      </c>
      <c r="L907">
        <v>0.1</v>
      </c>
      <c r="M907">
        <v>0.7</v>
      </c>
      <c r="N907">
        <v>716</v>
      </c>
      <c r="O907">
        <v>0</v>
      </c>
      <c r="P907">
        <v>1</v>
      </c>
      <c r="Q907">
        <v>0.14000000000000001</v>
      </c>
      <c r="R907" t="s">
        <v>380</v>
      </c>
      <c r="S907">
        <v>0</v>
      </c>
      <c r="U907">
        <v>19</v>
      </c>
    </row>
    <row r="908" spans="1:21" x14ac:dyDescent="0.25">
      <c r="A908" s="2">
        <v>46045.849953703706</v>
      </c>
      <c r="B908" t="s">
        <v>309</v>
      </c>
      <c r="C908" t="s">
        <v>372</v>
      </c>
      <c r="D908">
        <v>3</v>
      </c>
      <c r="E908" t="s">
        <v>58</v>
      </c>
      <c r="F908" t="s">
        <v>388</v>
      </c>
      <c r="G908">
        <f t="shared" si="42"/>
        <v>22.428330522765599</v>
      </c>
      <c r="H908">
        <f t="shared" si="43"/>
        <v>0.33726812816188867</v>
      </c>
      <c r="I908">
        <v>43.83</v>
      </c>
      <c r="J908">
        <f t="shared" si="44"/>
        <v>77.234401349072513</v>
      </c>
      <c r="K908">
        <v>0.9</v>
      </c>
      <c r="L908">
        <v>0.1</v>
      </c>
      <c r="M908">
        <v>0.7</v>
      </c>
      <c r="N908">
        <v>458</v>
      </c>
      <c r="O908">
        <v>133</v>
      </c>
      <c r="P908">
        <v>2</v>
      </c>
      <c r="Q908">
        <v>22.77</v>
      </c>
      <c r="R908" t="s">
        <v>382</v>
      </c>
      <c r="S908">
        <v>0.56000000000000005</v>
      </c>
      <c r="U908">
        <v>84</v>
      </c>
    </row>
    <row r="909" spans="1:21" x14ac:dyDescent="0.25">
      <c r="A909" s="2">
        <v>46045.850300925929</v>
      </c>
      <c r="B909" t="s">
        <v>309</v>
      </c>
      <c r="C909" t="s">
        <v>372</v>
      </c>
      <c r="D909">
        <v>3</v>
      </c>
      <c r="E909" t="s">
        <v>73</v>
      </c>
      <c r="F909" t="s">
        <v>388</v>
      </c>
      <c r="G909">
        <f t="shared" si="42"/>
        <v>1.1666666666666667</v>
      </c>
      <c r="H909">
        <f t="shared" si="43"/>
        <v>0.33333333333333337</v>
      </c>
      <c r="I909">
        <v>43.83</v>
      </c>
      <c r="J909">
        <f t="shared" si="44"/>
        <v>98.5</v>
      </c>
      <c r="K909">
        <v>0.9</v>
      </c>
      <c r="L909">
        <v>0.1</v>
      </c>
      <c r="M909">
        <v>0.7</v>
      </c>
      <c r="N909">
        <v>591</v>
      </c>
      <c r="O909">
        <v>7</v>
      </c>
      <c r="P909">
        <v>2</v>
      </c>
      <c r="Q909">
        <v>1.5</v>
      </c>
      <c r="R909" t="s">
        <v>375</v>
      </c>
      <c r="S909">
        <v>0.04</v>
      </c>
      <c r="U909">
        <v>67</v>
      </c>
    </row>
    <row r="910" spans="1:21" x14ac:dyDescent="0.25">
      <c r="A910" s="2">
        <v>46045.850613425922</v>
      </c>
      <c r="B910" t="s">
        <v>309</v>
      </c>
      <c r="C910" t="s">
        <v>372</v>
      </c>
      <c r="D910">
        <v>3</v>
      </c>
      <c r="E910" t="s">
        <v>80</v>
      </c>
      <c r="F910" t="s">
        <v>388</v>
      </c>
      <c r="G910">
        <f t="shared" si="42"/>
        <v>8.7022900763358777</v>
      </c>
      <c r="H910">
        <f t="shared" si="43"/>
        <v>4.885496183206107</v>
      </c>
      <c r="I910">
        <v>43.83</v>
      </c>
      <c r="J910">
        <f t="shared" si="44"/>
        <v>86.412213740458014</v>
      </c>
      <c r="K910">
        <v>0.9</v>
      </c>
      <c r="L910">
        <v>0.1</v>
      </c>
      <c r="M910">
        <v>0.7</v>
      </c>
      <c r="N910">
        <v>566</v>
      </c>
      <c r="O910">
        <v>57</v>
      </c>
      <c r="P910">
        <v>32</v>
      </c>
      <c r="Q910">
        <v>13.59</v>
      </c>
      <c r="R910" t="s">
        <v>383</v>
      </c>
      <c r="S910">
        <v>0.39</v>
      </c>
      <c r="U910">
        <v>33</v>
      </c>
    </row>
    <row r="911" spans="1:21" x14ac:dyDescent="0.25">
      <c r="A911" s="2">
        <v>46045.850937499999</v>
      </c>
      <c r="B911" t="s">
        <v>309</v>
      </c>
      <c r="C911" t="s">
        <v>372</v>
      </c>
      <c r="D911">
        <v>3</v>
      </c>
      <c r="E911" t="s">
        <v>93</v>
      </c>
      <c r="F911" t="s">
        <v>388</v>
      </c>
      <c r="G911">
        <f t="shared" si="42"/>
        <v>5.3016453382084094</v>
      </c>
      <c r="H911">
        <f t="shared" si="43"/>
        <v>0</v>
      </c>
      <c r="I911">
        <v>43.83</v>
      </c>
      <c r="J911">
        <f t="shared" si="44"/>
        <v>94.698354661791598</v>
      </c>
      <c r="K911">
        <v>0.9</v>
      </c>
      <c r="L911">
        <v>0.1</v>
      </c>
      <c r="M911">
        <v>0.7</v>
      </c>
      <c r="N911">
        <v>518</v>
      </c>
      <c r="O911">
        <v>29</v>
      </c>
      <c r="P911">
        <v>0</v>
      </c>
      <c r="Q911">
        <v>5.3</v>
      </c>
      <c r="R911" t="s">
        <v>380</v>
      </c>
      <c r="S911">
        <v>0.12</v>
      </c>
      <c r="U911">
        <v>68</v>
      </c>
    </row>
    <row r="912" spans="1:21" x14ac:dyDescent="0.25">
      <c r="A912" s="2">
        <v>46045.851261574076</v>
      </c>
      <c r="B912" t="s">
        <v>309</v>
      </c>
      <c r="C912" t="s">
        <v>372</v>
      </c>
      <c r="D912">
        <v>3</v>
      </c>
      <c r="E912" t="s">
        <v>102</v>
      </c>
      <c r="F912" t="s">
        <v>388</v>
      </c>
      <c r="G912">
        <f t="shared" si="42"/>
        <v>30.14586709886548</v>
      </c>
      <c r="H912">
        <f t="shared" si="43"/>
        <v>20.583468395461914</v>
      </c>
      <c r="I912">
        <v>43.83</v>
      </c>
      <c r="J912">
        <f t="shared" si="44"/>
        <v>49.270664505672606</v>
      </c>
      <c r="K912">
        <v>0.9</v>
      </c>
      <c r="L912">
        <v>0.1</v>
      </c>
      <c r="M912">
        <v>0.7</v>
      </c>
      <c r="N912">
        <v>304</v>
      </c>
      <c r="O912">
        <v>186</v>
      </c>
      <c r="P912">
        <v>127</v>
      </c>
      <c r="Q912">
        <v>50.73</v>
      </c>
      <c r="R912" t="s">
        <v>378</v>
      </c>
      <c r="S912">
        <v>1.42</v>
      </c>
      <c r="U912">
        <v>48</v>
      </c>
    </row>
    <row r="913" spans="1:21" x14ac:dyDescent="0.25">
      <c r="A913" s="2">
        <v>46045.851666666669</v>
      </c>
      <c r="B913" t="s">
        <v>309</v>
      </c>
      <c r="C913" t="s">
        <v>372</v>
      </c>
      <c r="D913">
        <v>3</v>
      </c>
      <c r="E913" t="s">
        <v>111</v>
      </c>
      <c r="F913" t="s">
        <v>388</v>
      </c>
      <c r="G913">
        <f t="shared" si="42"/>
        <v>38.925081433224754</v>
      </c>
      <c r="H913">
        <f t="shared" si="43"/>
        <v>19.055374592833875</v>
      </c>
      <c r="I913">
        <v>43.83</v>
      </c>
      <c r="J913">
        <f t="shared" si="44"/>
        <v>42.019543973941367</v>
      </c>
      <c r="K913">
        <v>0.9</v>
      </c>
      <c r="L913">
        <v>0.1</v>
      </c>
      <c r="M913">
        <v>0.7</v>
      </c>
      <c r="N913">
        <v>258</v>
      </c>
      <c r="O913">
        <v>239</v>
      </c>
      <c r="P913">
        <v>117</v>
      </c>
      <c r="Q913">
        <v>57.98</v>
      </c>
      <c r="R913" t="s">
        <v>392</v>
      </c>
      <c r="S913">
        <v>1.46</v>
      </c>
      <c r="U913">
        <v>104</v>
      </c>
    </row>
    <row r="914" spans="1:21" x14ac:dyDescent="0.25">
      <c r="A914" s="2">
        <v>46045.852071759262</v>
      </c>
      <c r="B914" t="s">
        <v>309</v>
      </c>
      <c r="C914" t="s">
        <v>372</v>
      </c>
      <c r="D914">
        <v>3</v>
      </c>
      <c r="E914" t="s">
        <v>121</v>
      </c>
      <c r="F914" t="s">
        <v>388</v>
      </c>
      <c r="G914">
        <f t="shared" si="42"/>
        <v>29.794520547945208</v>
      </c>
      <c r="H914">
        <f t="shared" si="43"/>
        <v>15.239726027397261</v>
      </c>
      <c r="I914">
        <v>43.83</v>
      </c>
      <c r="J914">
        <f t="shared" si="44"/>
        <v>54.965753424657535</v>
      </c>
      <c r="K914">
        <v>0.9</v>
      </c>
      <c r="L914">
        <v>0.1</v>
      </c>
      <c r="M914">
        <v>0.7</v>
      </c>
      <c r="N914">
        <v>321</v>
      </c>
      <c r="O914">
        <v>174</v>
      </c>
      <c r="P914">
        <v>89</v>
      </c>
      <c r="Q914">
        <v>45.03</v>
      </c>
      <c r="R914" t="s">
        <v>295</v>
      </c>
      <c r="S914">
        <v>1.24</v>
      </c>
      <c r="U914">
        <v>43</v>
      </c>
    </row>
    <row r="915" spans="1:21" x14ac:dyDescent="0.25">
      <c r="A915" s="2">
        <v>46045.852465277778</v>
      </c>
      <c r="B915" t="s">
        <v>309</v>
      </c>
      <c r="C915" t="s">
        <v>372</v>
      </c>
      <c r="D915">
        <v>3</v>
      </c>
      <c r="E915" t="s">
        <v>151</v>
      </c>
      <c r="F915" t="s">
        <v>388</v>
      </c>
      <c r="G915">
        <f t="shared" si="42"/>
        <v>26.804123711340207</v>
      </c>
      <c r="H915">
        <f t="shared" si="43"/>
        <v>57.290132547864502</v>
      </c>
      <c r="I915">
        <v>43.83</v>
      </c>
      <c r="J915">
        <f t="shared" si="44"/>
        <v>15.905743740795286</v>
      </c>
      <c r="K915">
        <v>0.9</v>
      </c>
      <c r="L915">
        <v>0.1</v>
      </c>
      <c r="M915">
        <v>0.7</v>
      </c>
      <c r="N915">
        <v>108</v>
      </c>
      <c r="O915">
        <v>182</v>
      </c>
      <c r="P915">
        <v>389</v>
      </c>
      <c r="Q915">
        <v>84.09</v>
      </c>
      <c r="R915" t="s">
        <v>386</v>
      </c>
      <c r="S915">
        <v>2.3199999999999998</v>
      </c>
      <c r="U915">
        <v>36</v>
      </c>
    </row>
    <row r="916" spans="1:21" x14ac:dyDescent="0.25">
      <c r="A916" s="2">
        <v>46045.852905092594</v>
      </c>
      <c r="B916" t="s">
        <v>309</v>
      </c>
      <c r="C916" t="s">
        <v>372</v>
      </c>
      <c r="D916">
        <v>3</v>
      </c>
      <c r="E916" t="s">
        <v>160</v>
      </c>
      <c r="F916" t="s">
        <v>388</v>
      </c>
      <c r="G916">
        <f t="shared" si="42"/>
        <v>6.1930783242258656</v>
      </c>
      <c r="H916">
        <f t="shared" si="43"/>
        <v>0.18214936247723132</v>
      </c>
      <c r="I916">
        <v>43.83</v>
      </c>
      <c r="J916">
        <f t="shared" si="44"/>
        <v>93.624772313296901</v>
      </c>
      <c r="K916">
        <v>0.9</v>
      </c>
      <c r="L916">
        <v>0.1</v>
      </c>
      <c r="M916">
        <v>0.7</v>
      </c>
      <c r="N916">
        <v>514</v>
      </c>
      <c r="O916">
        <v>34</v>
      </c>
      <c r="P916">
        <v>1</v>
      </c>
      <c r="Q916">
        <v>6.38</v>
      </c>
      <c r="R916" t="s">
        <v>375</v>
      </c>
      <c r="S916">
        <v>0.16</v>
      </c>
      <c r="U916">
        <v>23</v>
      </c>
    </row>
    <row r="917" spans="1:21" x14ac:dyDescent="0.25">
      <c r="A917" s="2">
        <v>46045.853217592594</v>
      </c>
      <c r="B917" t="s">
        <v>309</v>
      </c>
      <c r="C917" t="s">
        <v>372</v>
      </c>
      <c r="D917">
        <v>3</v>
      </c>
      <c r="E917" t="s">
        <v>326</v>
      </c>
      <c r="F917" t="s">
        <v>388</v>
      </c>
      <c r="G917">
        <f t="shared" si="42"/>
        <v>5.9190031152647977</v>
      </c>
      <c r="H917">
        <f t="shared" si="43"/>
        <v>0.46728971962616817</v>
      </c>
      <c r="I917">
        <v>43.83</v>
      </c>
      <c r="J917">
        <f t="shared" si="44"/>
        <v>93.613707165109034</v>
      </c>
      <c r="K917">
        <v>0.9</v>
      </c>
      <c r="L917">
        <v>0.1</v>
      </c>
      <c r="M917">
        <v>0.7</v>
      </c>
      <c r="N917">
        <v>601</v>
      </c>
      <c r="O917">
        <v>38</v>
      </c>
      <c r="P917">
        <v>3</v>
      </c>
      <c r="Q917">
        <v>6.39</v>
      </c>
      <c r="R917" t="s">
        <v>383</v>
      </c>
      <c r="S917">
        <v>0.16</v>
      </c>
      <c r="U917">
        <v>81</v>
      </c>
    </row>
    <row r="918" spans="1:21" x14ac:dyDescent="0.25">
      <c r="A918" s="2">
        <v>46045.853541666664</v>
      </c>
      <c r="B918" t="s">
        <v>309</v>
      </c>
      <c r="C918" t="s">
        <v>372</v>
      </c>
      <c r="D918">
        <v>3</v>
      </c>
      <c r="E918" t="s">
        <v>183</v>
      </c>
      <c r="F918" t="s">
        <v>388</v>
      </c>
      <c r="G918">
        <f t="shared" si="42"/>
        <v>3.9792387543252596</v>
      </c>
      <c r="H918">
        <f t="shared" si="43"/>
        <v>0</v>
      </c>
      <c r="I918">
        <v>43.83</v>
      </c>
      <c r="J918">
        <f t="shared" si="44"/>
        <v>96.020761245674734</v>
      </c>
      <c r="K918">
        <v>0.9</v>
      </c>
      <c r="L918">
        <v>0.1</v>
      </c>
      <c r="M918">
        <v>0.7</v>
      </c>
      <c r="N918">
        <v>555</v>
      </c>
      <c r="O918">
        <v>23</v>
      </c>
      <c r="P918">
        <v>0</v>
      </c>
      <c r="Q918">
        <v>3.98</v>
      </c>
      <c r="R918" t="s">
        <v>383</v>
      </c>
      <c r="S918">
        <v>0.09</v>
      </c>
      <c r="U918">
        <v>75</v>
      </c>
    </row>
    <row r="919" spans="1:21" x14ac:dyDescent="0.25">
      <c r="A919" s="2">
        <v>46045.853877314818</v>
      </c>
      <c r="B919" t="s">
        <v>309</v>
      </c>
      <c r="C919" t="s">
        <v>372</v>
      </c>
      <c r="D919">
        <v>3</v>
      </c>
      <c r="E919" t="s">
        <v>192</v>
      </c>
      <c r="F919" t="s">
        <v>388</v>
      </c>
      <c r="G919">
        <f t="shared" si="42"/>
        <v>54.187192118226605</v>
      </c>
      <c r="H919">
        <f t="shared" si="43"/>
        <v>24.466338259441709</v>
      </c>
      <c r="I919">
        <v>43.83</v>
      </c>
      <c r="J919">
        <f t="shared" si="44"/>
        <v>21.346469622331689</v>
      </c>
      <c r="K919">
        <v>0.9</v>
      </c>
      <c r="L919">
        <v>0.1</v>
      </c>
      <c r="M919">
        <v>0.7</v>
      </c>
      <c r="N919">
        <v>130</v>
      </c>
      <c r="O919">
        <v>330</v>
      </c>
      <c r="P919">
        <v>149</v>
      </c>
      <c r="Q919">
        <v>78.650000000000006</v>
      </c>
      <c r="R919" t="s">
        <v>386</v>
      </c>
      <c r="S919">
        <v>2.2200000000000002</v>
      </c>
      <c r="U919">
        <v>40</v>
      </c>
    </row>
    <row r="920" spans="1:21" x14ac:dyDescent="0.25">
      <c r="A920" s="2">
        <v>46045.854328703703</v>
      </c>
      <c r="B920" t="s">
        <v>309</v>
      </c>
      <c r="C920" t="s">
        <v>372</v>
      </c>
      <c r="D920">
        <v>3</v>
      </c>
      <c r="E920" t="s">
        <v>205</v>
      </c>
      <c r="F920" t="s">
        <v>388</v>
      </c>
      <c r="G920">
        <f t="shared" si="42"/>
        <v>54.515599343185549</v>
      </c>
      <c r="H920">
        <f t="shared" si="43"/>
        <v>25.94417077175698</v>
      </c>
      <c r="I920">
        <v>43.83</v>
      </c>
      <c r="J920">
        <f t="shared" si="44"/>
        <v>19.540229885057471</v>
      </c>
      <c r="K920">
        <v>0.9</v>
      </c>
      <c r="L920">
        <v>0.1</v>
      </c>
      <c r="M920">
        <v>0.7</v>
      </c>
      <c r="N920">
        <v>119</v>
      </c>
      <c r="O920">
        <v>332</v>
      </c>
      <c r="P920">
        <v>158</v>
      </c>
      <c r="Q920">
        <v>80.459999999999994</v>
      </c>
      <c r="R920" t="s">
        <v>385</v>
      </c>
      <c r="S920">
        <v>2.2799999999999998</v>
      </c>
      <c r="U920">
        <v>45</v>
      </c>
    </row>
    <row r="921" spans="1:21" x14ac:dyDescent="0.25">
      <c r="A921" s="2">
        <v>46045.771226851852</v>
      </c>
      <c r="B921" t="s">
        <v>309</v>
      </c>
      <c r="C921" t="s">
        <v>372</v>
      </c>
      <c r="D921">
        <v>3</v>
      </c>
      <c r="E921" t="s">
        <v>34</v>
      </c>
      <c r="F921" t="s">
        <v>373</v>
      </c>
      <c r="G921">
        <f t="shared" si="42"/>
        <v>31.609195402298852</v>
      </c>
      <c r="H921">
        <f t="shared" si="43"/>
        <v>0.19157088122605362</v>
      </c>
      <c r="I921">
        <v>43.83</v>
      </c>
      <c r="J921">
        <f t="shared" si="44"/>
        <v>68.199233716475092</v>
      </c>
      <c r="K921">
        <v>0.9</v>
      </c>
      <c r="L921">
        <v>0.1</v>
      </c>
      <c r="M921">
        <v>0.7</v>
      </c>
      <c r="N921">
        <v>356</v>
      </c>
      <c r="O921">
        <v>165</v>
      </c>
      <c r="P921">
        <v>1</v>
      </c>
      <c r="Q921">
        <v>31.8</v>
      </c>
      <c r="R921" t="s">
        <v>295</v>
      </c>
      <c r="S921">
        <v>0.68</v>
      </c>
      <c r="U921">
        <v>141</v>
      </c>
    </row>
    <row r="922" spans="1:21" x14ac:dyDescent="0.25">
      <c r="A922" s="2">
        <v>46045.771608796298</v>
      </c>
      <c r="B922" t="s">
        <v>309</v>
      </c>
      <c r="C922" t="s">
        <v>372</v>
      </c>
      <c r="D922">
        <v>3</v>
      </c>
      <c r="E922" t="s">
        <v>36</v>
      </c>
      <c r="F922" t="s">
        <v>373</v>
      </c>
      <c r="G922">
        <f t="shared" si="42"/>
        <v>17.210682492581604</v>
      </c>
      <c r="H922">
        <f t="shared" si="43"/>
        <v>0.14836795252225521</v>
      </c>
      <c r="I922">
        <v>43.83</v>
      </c>
      <c r="J922">
        <f t="shared" si="44"/>
        <v>82.640949554896139</v>
      </c>
      <c r="K922">
        <v>0.9</v>
      </c>
      <c r="L922">
        <v>0.1</v>
      </c>
      <c r="M922">
        <v>0.7</v>
      </c>
      <c r="N922">
        <v>557</v>
      </c>
      <c r="O922">
        <v>116</v>
      </c>
      <c r="P922">
        <v>1</v>
      </c>
      <c r="Q922">
        <v>17.36</v>
      </c>
      <c r="R922" t="s">
        <v>378</v>
      </c>
      <c r="S922">
        <v>0.47</v>
      </c>
      <c r="U922">
        <v>58</v>
      </c>
    </row>
    <row r="923" spans="1:21" x14ac:dyDescent="0.25">
      <c r="A923" s="2">
        <v>46045.772013888891</v>
      </c>
      <c r="B923" t="s">
        <v>309</v>
      </c>
      <c r="C923" t="s">
        <v>372</v>
      </c>
      <c r="D923">
        <v>3</v>
      </c>
      <c r="E923" t="s">
        <v>41</v>
      </c>
      <c r="F923" t="s">
        <v>373</v>
      </c>
      <c r="G923">
        <f t="shared" si="42"/>
        <v>0.49342105263157893</v>
      </c>
      <c r="H923">
        <f t="shared" si="43"/>
        <v>0</v>
      </c>
      <c r="I923">
        <v>43.83</v>
      </c>
      <c r="J923">
        <f t="shared" si="44"/>
        <v>99.506578947368425</v>
      </c>
      <c r="K923">
        <v>0.9</v>
      </c>
      <c r="L923">
        <v>0.1</v>
      </c>
      <c r="M923">
        <v>0.7</v>
      </c>
      <c r="N923">
        <v>605</v>
      </c>
      <c r="O923">
        <v>3</v>
      </c>
      <c r="P923">
        <v>0</v>
      </c>
      <c r="Q923">
        <v>0.49</v>
      </c>
      <c r="R923" t="s">
        <v>379</v>
      </c>
      <c r="S923">
        <v>0.01</v>
      </c>
      <c r="U923">
        <v>31</v>
      </c>
    </row>
    <row r="924" spans="1:21" x14ac:dyDescent="0.25">
      <c r="A924" s="2">
        <v>46045.772361111114</v>
      </c>
      <c r="B924" t="s">
        <v>309</v>
      </c>
      <c r="C924" t="s">
        <v>372</v>
      </c>
      <c r="D924">
        <v>3</v>
      </c>
      <c r="E924" t="s">
        <v>42</v>
      </c>
      <c r="F924" t="s">
        <v>373</v>
      </c>
      <c r="G924">
        <f t="shared" si="42"/>
        <v>1.9287833827893175</v>
      </c>
      <c r="H924">
        <f t="shared" si="43"/>
        <v>0</v>
      </c>
      <c r="I924">
        <v>43.83</v>
      </c>
      <c r="J924">
        <f t="shared" si="44"/>
        <v>98.071216617210681</v>
      </c>
      <c r="K924">
        <v>0.9</v>
      </c>
      <c r="L924">
        <v>0.1</v>
      </c>
      <c r="M924">
        <v>0.7</v>
      </c>
      <c r="N924">
        <v>661</v>
      </c>
      <c r="O924">
        <v>13</v>
      </c>
      <c r="P924">
        <v>0</v>
      </c>
      <c r="Q924">
        <v>1.93</v>
      </c>
      <c r="R924" t="s">
        <v>384</v>
      </c>
      <c r="S924">
        <v>0.05</v>
      </c>
      <c r="U924">
        <v>28</v>
      </c>
    </row>
    <row r="925" spans="1:21" x14ac:dyDescent="0.25">
      <c r="A925" s="2">
        <v>46045.772719907407</v>
      </c>
      <c r="B925" t="s">
        <v>309</v>
      </c>
      <c r="C925" t="s">
        <v>372</v>
      </c>
      <c r="D925">
        <v>3</v>
      </c>
      <c r="E925" t="s">
        <v>43</v>
      </c>
      <c r="F925" t="s">
        <v>373</v>
      </c>
      <c r="G925">
        <f t="shared" si="42"/>
        <v>11.500974658869396</v>
      </c>
      <c r="H925">
        <f t="shared" si="43"/>
        <v>0</v>
      </c>
      <c r="I925">
        <v>43.83</v>
      </c>
      <c r="J925">
        <f t="shared" si="44"/>
        <v>88.499025341130604</v>
      </c>
      <c r="K925">
        <v>0.9</v>
      </c>
      <c r="L925">
        <v>0.1</v>
      </c>
      <c r="M925">
        <v>0.7</v>
      </c>
      <c r="N925">
        <v>454</v>
      </c>
      <c r="O925">
        <v>59</v>
      </c>
      <c r="P925">
        <v>0</v>
      </c>
      <c r="Q925">
        <v>11.5</v>
      </c>
      <c r="R925" t="s">
        <v>390</v>
      </c>
      <c r="S925">
        <v>0.24</v>
      </c>
      <c r="U925">
        <v>200</v>
      </c>
    </row>
    <row r="926" spans="1:21" x14ac:dyDescent="0.25">
      <c r="A926" s="2">
        <v>46045.773101851853</v>
      </c>
      <c r="B926" t="s">
        <v>309</v>
      </c>
      <c r="C926" t="s">
        <v>372</v>
      </c>
      <c r="D926">
        <v>3</v>
      </c>
      <c r="E926" t="s">
        <v>54</v>
      </c>
      <c r="F926" t="s">
        <v>373</v>
      </c>
      <c r="G926">
        <f t="shared" si="42"/>
        <v>0.60606060606060608</v>
      </c>
      <c r="H926">
        <f t="shared" si="43"/>
        <v>0</v>
      </c>
      <c r="I926">
        <v>43.83</v>
      </c>
      <c r="J926">
        <f t="shared" si="44"/>
        <v>99.393939393939391</v>
      </c>
      <c r="K926">
        <v>0.9</v>
      </c>
      <c r="L926">
        <v>0.1</v>
      </c>
      <c r="M926">
        <v>0.7</v>
      </c>
      <c r="N926">
        <v>656</v>
      </c>
      <c r="O926">
        <v>4</v>
      </c>
      <c r="P926">
        <v>0</v>
      </c>
      <c r="Q926">
        <v>0.61</v>
      </c>
      <c r="R926" t="s">
        <v>384</v>
      </c>
      <c r="S926">
        <v>0.02</v>
      </c>
      <c r="U926">
        <v>16</v>
      </c>
    </row>
    <row r="927" spans="1:21" x14ac:dyDescent="0.25">
      <c r="A927" s="2">
        <v>46045.773472222223</v>
      </c>
      <c r="B927" t="s">
        <v>309</v>
      </c>
      <c r="C927" t="s">
        <v>372</v>
      </c>
      <c r="D927">
        <v>3</v>
      </c>
      <c r="E927" t="s">
        <v>75</v>
      </c>
      <c r="F927" t="s">
        <v>373</v>
      </c>
      <c r="G927">
        <f t="shared" si="42"/>
        <v>1.7214397496087637</v>
      </c>
      <c r="H927">
        <f t="shared" si="43"/>
        <v>0</v>
      </c>
      <c r="I927">
        <v>43.83</v>
      </c>
      <c r="J927">
        <f t="shared" si="44"/>
        <v>98.278560250391237</v>
      </c>
      <c r="K927">
        <v>0.9</v>
      </c>
      <c r="L927">
        <v>0.1</v>
      </c>
      <c r="M927">
        <v>0.7</v>
      </c>
      <c r="N927">
        <v>628</v>
      </c>
      <c r="O927">
        <v>11</v>
      </c>
      <c r="P927">
        <v>0</v>
      </c>
      <c r="Q927">
        <v>1.72</v>
      </c>
      <c r="R927" t="s">
        <v>384</v>
      </c>
      <c r="S927">
        <v>0.04</v>
      </c>
      <c r="U927">
        <v>38</v>
      </c>
    </row>
    <row r="928" spans="1:21" x14ac:dyDescent="0.25">
      <c r="A928" s="2">
        <v>46045.773831018516</v>
      </c>
      <c r="B928" t="s">
        <v>309</v>
      </c>
      <c r="C928" t="s">
        <v>372</v>
      </c>
      <c r="D928">
        <v>3</v>
      </c>
      <c r="E928" t="s">
        <v>324</v>
      </c>
      <c r="F928" t="s">
        <v>373</v>
      </c>
      <c r="G928">
        <f t="shared" si="42"/>
        <v>40.827338129496404</v>
      </c>
      <c r="H928">
        <f t="shared" si="43"/>
        <v>0.89928057553956831</v>
      </c>
      <c r="I928">
        <v>43.83</v>
      </c>
      <c r="J928">
        <f t="shared" si="44"/>
        <v>58.273381294964032</v>
      </c>
      <c r="K928">
        <v>0.9</v>
      </c>
      <c r="L928">
        <v>0.1</v>
      </c>
      <c r="M928">
        <v>0.7</v>
      </c>
      <c r="N928">
        <v>324</v>
      </c>
      <c r="O928">
        <v>227</v>
      </c>
      <c r="P928">
        <v>5</v>
      </c>
      <c r="Q928">
        <v>41.73</v>
      </c>
      <c r="R928" t="s">
        <v>385</v>
      </c>
      <c r="S928">
        <v>0.95</v>
      </c>
      <c r="U928">
        <v>167</v>
      </c>
    </row>
    <row r="929" spans="1:21" x14ac:dyDescent="0.25">
      <c r="A929" s="2">
        <v>46045.774270833332</v>
      </c>
      <c r="B929" t="s">
        <v>309</v>
      </c>
      <c r="C929" t="s">
        <v>372</v>
      </c>
      <c r="D929">
        <v>3</v>
      </c>
      <c r="E929" t="s">
        <v>118</v>
      </c>
      <c r="F929" t="s">
        <v>373</v>
      </c>
      <c r="G929">
        <f t="shared" si="42"/>
        <v>7.208872458410351</v>
      </c>
      <c r="H929">
        <f t="shared" si="43"/>
        <v>0.18484288354898337</v>
      </c>
      <c r="I929">
        <v>43.83</v>
      </c>
      <c r="J929">
        <f t="shared" si="44"/>
        <v>92.606284658040664</v>
      </c>
      <c r="K929">
        <v>0.9</v>
      </c>
      <c r="L929">
        <v>0.1</v>
      </c>
      <c r="M929">
        <v>0.7</v>
      </c>
      <c r="N929">
        <v>501</v>
      </c>
      <c r="O929">
        <v>39</v>
      </c>
      <c r="P929">
        <v>1</v>
      </c>
      <c r="Q929">
        <v>7.39</v>
      </c>
      <c r="R929" t="s">
        <v>390</v>
      </c>
      <c r="S929">
        <v>0.15</v>
      </c>
      <c r="U929">
        <v>174</v>
      </c>
    </row>
    <row r="930" spans="1:21" x14ac:dyDescent="0.25">
      <c r="A930" s="2">
        <v>46045.774641203701</v>
      </c>
      <c r="B930" t="s">
        <v>309</v>
      </c>
      <c r="C930" t="s">
        <v>372</v>
      </c>
      <c r="D930">
        <v>3</v>
      </c>
      <c r="E930" t="s">
        <v>137</v>
      </c>
      <c r="F930" t="s">
        <v>373</v>
      </c>
      <c r="G930">
        <f t="shared" si="42"/>
        <v>84.878744650499286</v>
      </c>
      <c r="H930">
        <f t="shared" si="43"/>
        <v>1.4265335235378032</v>
      </c>
      <c r="I930">
        <v>43.83</v>
      </c>
      <c r="J930">
        <f t="shared" si="44"/>
        <v>13.69472182596291</v>
      </c>
      <c r="K930">
        <v>0.9</v>
      </c>
      <c r="L930">
        <v>0.1</v>
      </c>
      <c r="M930">
        <v>0.7</v>
      </c>
      <c r="N930">
        <v>96</v>
      </c>
      <c r="O930">
        <v>595</v>
      </c>
      <c r="P930">
        <v>10</v>
      </c>
      <c r="Q930">
        <v>86.31</v>
      </c>
      <c r="R930" t="s">
        <v>395</v>
      </c>
      <c r="S930">
        <v>2.52</v>
      </c>
      <c r="U930">
        <v>51</v>
      </c>
    </row>
    <row r="931" spans="1:21" x14ac:dyDescent="0.25">
      <c r="A931" s="2">
        <v>46045.775196759256</v>
      </c>
      <c r="B931" t="s">
        <v>309</v>
      </c>
      <c r="C931" t="s">
        <v>372</v>
      </c>
      <c r="D931">
        <v>3</v>
      </c>
      <c r="E931" t="s">
        <v>162</v>
      </c>
      <c r="F931" t="s">
        <v>373</v>
      </c>
      <c r="G931">
        <f t="shared" si="42"/>
        <v>1.0526315789473684</v>
      </c>
      <c r="H931">
        <f t="shared" si="43"/>
        <v>0</v>
      </c>
      <c r="I931">
        <v>43.83</v>
      </c>
      <c r="J931">
        <f t="shared" si="44"/>
        <v>98.94736842105263</v>
      </c>
      <c r="K931">
        <v>0.9</v>
      </c>
      <c r="L931">
        <v>0.1</v>
      </c>
      <c r="M931">
        <v>0.7</v>
      </c>
      <c r="N931">
        <v>658</v>
      </c>
      <c r="O931">
        <v>7</v>
      </c>
      <c r="P931">
        <v>0</v>
      </c>
      <c r="Q931">
        <v>1.05</v>
      </c>
      <c r="R931" t="s">
        <v>390</v>
      </c>
      <c r="S931">
        <v>0.03</v>
      </c>
      <c r="U931">
        <v>28</v>
      </c>
    </row>
    <row r="932" spans="1:21" x14ac:dyDescent="0.25">
      <c r="A932" s="2">
        <v>46045.775578703702</v>
      </c>
      <c r="B932" t="s">
        <v>309</v>
      </c>
      <c r="C932" t="s">
        <v>372</v>
      </c>
      <c r="D932">
        <v>3</v>
      </c>
      <c r="E932" t="s">
        <v>179</v>
      </c>
      <c r="F932" t="s">
        <v>373</v>
      </c>
      <c r="G932">
        <f t="shared" si="42"/>
        <v>18.578352180936992</v>
      </c>
      <c r="H932">
        <f t="shared" si="43"/>
        <v>0.16155088852988692</v>
      </c>
      <c r="I932">
        <v>43.83</v>
      </c>
      <c r="J932">
        <f t="shared" si="44"/>
        <v>81.260096930533123</v>
      </c>
      <c r="K932">
        <v>0.9</v>
      </c>
      <c r="L932">
        <v>0.1</v>
      </c>
      <c r="M932">
        <v>0.7</v>
      </c>
      <c r="N932">
        <v>503</v>
      </c>
      <c r="O932">
        <v>115</v>
      </c>
      <c r="P932">
        <v>1</v>
      </c>
      <c r="Q932">
        <v>18.739999999999998</v>
      </c>
      <c r="R932" t="s">
        <v>387</v>
      </c>
      <c r="S932">
        <v>0.48</v>
      </c>
      <c r="U932">
        <v>105</v>
      </c>
    </row>
    <row r="933" spans="1:21" x14ac:dyDescent="0.25">
      <c r="A933" s="2">
        <v>46045.776006944441</v>
      </c>
      <c r="B933" t="s">
        <v>309</v>
      </c>
      <c r="C933" t="s">
        <v>372</v>
      </c>
      <c r="D933">
        <v>3</v>
      </c>
      <c r="E933" t="s">
        <v>204</v>
      </c>
      <c r="F933" t="s">
        <v>373</v>
      </c>
      <c r="G933">
        <f t="shared" si="42"/>
        <v>0.92936802973977695</v>
      </c>
      <c r="H933">
        <f t="shared" si="43"/>
        <v>0</v>
      </c>
      <c r="I933">
        <v>43.83</v>
      </c>
      <c r="J933">
        <f t="shared" si="44"/>
        <v>99.070631970260223</v>
      </c>
      <c r="K933">
        <v>0.9</v>
      </c>
      <c r="L933">
        <v>0.1</v>
      </c>
      <c r="M933">
        <v>0.7</v>
      </c>
      <c r="N933">
        <v>533</v>
      </c>
      <c r="O933">
        <v>5</v>
      </c>
      <c r="P933">
        <v>0</v>
      </c>
      <c r="Q933">
        <v>0.93</v>
      </c>
      <c r="R933" t="s">
        <v>379</v>
      </c>
      <c r="S933">
        <v>0.02</v>
      </c>
      <c r="U933">
        <v>30</v>
      </c>
    </row>
    <row r="934" spans="1:21" x14ac:dyDescent="0.25">
      <c r="A934" s="2">
        <v>46045.776365740741</v>
      </c>
      <c r="B934" t="s">
        <v>309</v>
      </c>
      <c r="C934" t="s">
        <v>372</v>
      </c>
      <c r="D934">
        <v>3</v>
      </c>
      <c r="E934" t="s">
        <v>207</v>
      </c>
      <c r="F934" t="s">
        <v>373</v>
      </c>
      <c r="G934">
        <f t="shared" si="42"/>
        <v>6.666666666666667</v>
      </c>
      <c r="H934">
        <f t="shared" si="43"/>
        <v>0</v>
      </c>
      <c r="I934">
        <v>43.83</v>
      </c>
      <c r="J934">
        <f t="shared" si="44"/>
        <v>93.333333333333329</v>
      </c>
      <c r="K934">
        <v>0.9</v>
      </c>
      <c r="L934">
        <v>0.1</v>
      </c>
      <c r="M934">
        <v>0.7</v>
      </c>
      <c r="N934">
        <v>504</v>
      </c>
      <c r="O934">
        <v>36</v>
      </c>
      <c r="P934">
        <v>0</v>
      </c>
      <c r="Q934">
        <v>6.67</v>
      </c>
      <c r="R934" t="s">
        <v>295</v>
      </c>
      <c r="S934">
        <v>0.17</v>
      </c>
      <c r="U934">
        <v>96</v>
      </c>
    </row>
    <row r="935" spans="1:21" x14ac:dyDescent="0.25">
      <c r="A935" s="2">
        <v>46045.776747685188</v>
      </c>
      <c r="B935" t="s">
        <v>309</v>
      </c>
      <c r="C935" t="s">
        <v>372</v>
      </c>
      <c r="D935">
        <v>3</v>
      </c>
      <c r="E935" t="s">
        <v>212</v>
      </c>
      <c r="F935" t="s">
        <v>373</v>
      </c>
      <c r="G935">
        <f t="shared" si="42"/>
        <v>43.902439024390247</v>
      </c>
      <c r="H935">
        <f t="shared" si="43"/>
        <v>0.97560975609756095</v>
      </c>
      <c r="I935">
        <v>43.83</v>
      </c>
      <c r="J935">
        <f t="shared" si="44"/>
        <v>55.121951219512198</v>
      </c>
      <c r="K935">
        <v>0.9</v>
      </c>
      <c r="L935">
        <v>0.1</v>
      </c>
      <c r="M935">
        <v>0.7</v>
      </c>
      <c r="N935">
        <v>339</v>
      </c>
      <c r="O935">
        <v>270</v>
      </c>
      <c r="P935">
        <v>6</v>
      </c>
      <c r="Q935">
        <v>44.88</v>
      </c>
      <c r="R935" t="s">
        <v>389</v>
      </c>
      <c r="S935">
        <v>1.1499999999999999</v>
      </c>
      <c r="U935">
        <v>78</v>
      </c>
    </row>
    <row r="936" spans="1:21" x14ac:dyDescent="0.25">
      <c r="A936" s="2">
        <v>46045.771296296298</v>
      </c>
      <c r="B936" t="s">
        <v>309</v>
      </c>
      <c r="C936" t="s">
        <v>372</v>
      </c>
      <c r="D936">
        <v>3</v>
      </c>
      <c r="E936" t="s">
        <v>34</v>
      </c>
      <c r="F936" t="s">
        <v>373</v>
      </c>
      <c r="G936">
        <f t="shared" si="42"/>
        <v>31.609195402298852</v>
      </c>
      <c r="H936">
        <f t="shared" si="43"/>
        <v>0.19157088122605362</v>
      </c>
      <c r="I936">
        <v>43.83</v>
      </c>
      <c r="J936">
        <f t="shared" si="44"/>
        <v>68.199233716475092</v>
      </c>
      <c r="K936">
        <v>0.9</v>
      </c>
      <c r="L936">
        <v>0.1</v>
      </c>
      <c r="M936">
        <v>0.7</v>
      </c>
      <c r="N936">
        <v>356</v>
      </c>
      <c r="O936">
        <v>165</v>
      </c>
      <c r="P936">
        <v>1</v>
      </c>
      <c r="Q936">
        <v>31.8</v>
      </c>
      <c r="R936" t="s">
        <v>295</v>
      </c>
      <c r="S936">
        <v>0.68</v>
      </c>
      <c r="U936">
        <v>141</v>
      </c>
    </row>
    <row r="937" spans="1:21" x14ac:dyDescent="0.25">
      <c r="A937" s="2">
        <v>46045.771689814814</v>
      </c>
      <c r="B937" t="s">
        <v>309</v>
      </c>
      <c r="C937" t="s">
        <v>372</v>
      </c>
      <c r="D937">
        <v>3</v>
      </c>
      <c r="E937" t="s">
        <v>36</v>
      </c>
      <c r="F937" t="s">
        <v>373</v>
      </c>
      <c r="G937">
        <f t="shared" si="42"/>
        <v>17.210682492581604</v>
      </c>
      <c r="H937">
        <f t="shared" si="43"/>
        <v>0.14836795252225521</v>
      </c>
      <c r="I937">
        <v>43.83</v>
      </c>
      <c r="J937">
        <f t="shared" si="44"/>
        <v>82.640949554896139</v>
      </c>
      <c r="K937">
        <v>0.9</v>
      </c>
      <c r="L937">
        <v>0.1</v>
      </c>
      <c r="M937">
        <v>0.7</v>
      </c>
      <c r="N937">
        <v>557</v>
      </c>
      <c r="O937">
        <v>116</v>
      </c>
      <c r="P937">
        <v>1</v>
      </c>
      <c r="Q937">
        <v>17.36</v>
      </c>
      <c r="R937" t="s">
        <v>295</v>
      </c>
      <c r="S937">
        <v>0.47</v>
      </c>
      <c r="U937">
        <v>58</v>
      </c>
    </row>
    <row r="938" spans="1:21" x14ac:dyDescent="0.25">
      <c r="A938" s="2">
        <v>46045.772083333337</v>
      </c>
      <c r="B938" t="s">
        <v>309</v>
      </c>
      <c r="C938" t="s">
        <v>372</v>
      </c>
      <c r="D938">
        <v>3</v>
      </c>
      <c r="E938" t="s">
        <v>41</v>
      </c>
      <c r="F938" t="s">
        <v>373</v>
      </c>
      <c r="G938">
        <f t="shared" si="42"/>
        <v>0.49342105263157893</v>
      </c>
      <c r="H938">
        <f t="shared" si="43"/>
        <v>0</v>
      </c>
      <c r="I938">
        <v>43.83</v>
      </c>
      <c r="J938">
        <f t="shared" si="44"/>
        <v>99.506578947368425</v>
      </c>
      <c r="K938">
        <v>0.9</v>
      </c>
      <c r="L938">
        <v>0.1</v>
      </c>
      <c r="M938">
        <v>0.7</v>
      </c>
      <c r="N938">
        <v>605</v>
      </c>
      <c r="O938">
        <v>3</v>
      </c>
      <c r="P938">
        <v>0</v>
      </c>
      <c r="Q938">
        <v>0.49</v>
      </c>
      <c r="R938" t="s">
        <v>379</v>
      </c>
      <c r="S938">
        <v>0.01</v>
      </c>
      <c r="U938">
        <v>31</v>
      </c>
    </row>
    <row r="939" spans="1:21" x14ac:dyDescent="0.25">
      <c r="A939" s="2">
        <v>46045.772430555553</v>
      </c>
      <c r="B939" t="s">
        <v>309</v>
      </c>
      <c r="C939" t="s">
        <v>372</v>
      </c>
      <c r="D939">
        <v>3</v>
      </c>
      <c r="E939" t="s">
        <v>42</v>
      </c>
      <c r="F939" t="s">
        <v>373</v>
      </c>
      <c r="G939">
        <f t="shared" si="42"/>
        <v>1.9287833827893175</v>
      </c>
      <c r="H939">
        <f t="shared" si="43"/>
        <v>0</v>
      </c>
      <c r="I939">
        <v>43.83</v>
      </c>
      <c r="J939">
        <f t="shared" si="44"/>
        <v>98.071216617210681</v>
      </c>
      <c r="K939">
        <v>0.9</v>
      </c>
      <c r="L939">
        <v>0.1</v>
      </c>
      <c r="M939">
        <v>0.7</v>
      </c>
      <c r="N939">
        <v>661</v>
      </c>
      <c r="O939">
        <v>13</v>
      </c>
      <c r="P939">
        <v>0</v>
      </c>
      <c r="Q939">
        <v>1.93</v>
      </c>
      <c r="R939" t="s">
        <v>384</v>
      </c>
      <c r="S939">
        <v>0.05</v>
      </c>
      <c r="U939">
        <v>28</v>
      </c>
    </row>
    <row r="940" spans="1:21" x14ac:dyDescent="0.25">
      <c r="A940" s="2">
        <v>46045.772800925923</v>
      </c>
      <c r="B940" t="s">
        <v>309</v>
      </c>
      <c r="C940" t="s">
        <v>372</v>
      </c>
      <c r="D940">
        <v>3</v>
      </c>
      <c r="E940" t="s">
        <v>43</v>
      </c>
      <c r="F940" t="s">
        <v>373</v>
      </c>
      <c r="G940">
        <f t="shared" si="42"/>
        <v>11.500974658869396</v>
      </c>
      <c r="H940">
        <f t="shared" si="43"/>
        <v>0</v>
      </c>
      <c r="I940">
        <v>43.83</v>
      </c>
      <c r="J940">
        <f t="shared" si="44"/>
        <v>88.499025341130604</v>
      </c>
      <c r="K940">
        <v>0.9</v>
      </c>
      <c r="L940">
        <v>0.1</v>
      </c>
      <c r="M940">
        <v>0.7</v>
      </c>
      <c r="N940">
        <v>454</v>
      </c>
      <c r="O940">
        <v>59</v>
      </c>
      <c r="P940">
        <v>0</v>
      </c>
      <c r="Q940">
        <v>11.5</v>
      </c>
      <c r="R940" t="s">
        <v>390</v>
      </c>
      <c r="S940">
        <v>0.24</v>
      </c>
      <c r="U940">
        <v>200</v>
      </c>
    </row>
    <row r="941" spans="1:21" x14ac:dyDescent="0.25">
      <c r="A941" s="2">
        <v>46045.7731712963</v>
      </c>
      <c r="B941" t="s">
        <v>309</v>
      </c>
      <c r="C941" t="s">
        <v>372</v>
      </c>
      <c r="D941">
        <v>3</v>
      </c>
      <c r="E941" t="s">
        <v>54</v>
      </c>
      <c r="F941" t="s">
        <v>373</v>
      </c>
      <c r="G941">
        <f t="shared" si="42"/>
        <v>0.60606060606060608</v>
      </c>
      <c r="H941">
        <f t="shared" si="43"/>
        <v>0</v>
      </c>
      <c r="I941">
        <v>43.83</v>
      </c>
      <c r="J941">
        <f t="shared" si="44"/>
        <v>99.393939393939391</v>
      </c>
      <c r="K941">
        <v>0.9</v>
      </c>
      <c r="L941">
        <v>0.1</v>
      </c>
      <c r="M941">
        <v>0.7</v>
      </c>
      <c r="N941">
        <v>656</v>
      </c>
      <c r="O941">
        <v>4</v>
      </c>
      <c r="P941">
        <v>0</v>
      </c>
      <c r="Q941">
        <v>0.61</v>
      </c>
      <c r="R941" t="s">
        <v>384</v>
      </c>
      <c r="S941">
        <v>0.02</v>
      </c>
      <c r="U941">
        <v>16</v>
      </c>
    </row>
    <row r="942" spans="1:21" x14ac:dyDescent="0.25">
      <c r="A942" s="2">
        <v>46045.773530092592</v>
      </c>
      <c r="B942" t="s">
        <v>309</v>
      </c>
      <c r="C942" t="s">
        <v>372</v>
      </c>
      <c r="D942">
        <v>3</v>
      </c>
      <c r="E942" t="s">
        <v>75</v>
      </c>
      <c r="F942" t="s">
        <v>373</v>
      </c>
      <c r="G942">
        <f t="shared" si="42"/>
        <v>1.7214397496087637</v>
      </c>
      <c r="H942">
        <f t="shared" si="43"/>
        <v>0</v>
      </c>
      <c r="I942">
        <v>43.83</v>
      </c>
      <c r="J942">
        <f t="shared" si="44"/>
        <v>98.278560250391237</v>
      </c>
      <c r="K942">
        <v>0.9</v>
      </c>
      <c r="L942">
        <v>0.1</v>
      </c>
      <c r="M942">
        <v>0.7</v>
      </c>
      <c r="N942">
        <v>628</v>
      </c>
      <c r="O942">
        <v>11</v>
      </c>
      <c r="P942">
        <v>0</v>
      </c>
      <c r="Q942">
        <v>1.72</v>
      </c>
      <c r="R942" t="s">
        <v>384</v>
      </c>
      <c r="S942">
        <v>0.04</v>
      </c>
      <c r="U942">
        <v>38</v>
      </c>
    </row>
    <row r="943" spans="1:21" x14ac:dyDescent="0.25">
      <c r="A943" s="2">
        <v>46045.773900462962</v>
      </c>
      <c r="B943" t="s">
        <v>309</v>
      </c>
      <c r="C943" t="s">
        <v>372</v>
      </c>
      <c r="D943">
        <v>3</v>
      </c>
      <c r="E943" t="s">
        <v>324</v>
      </c>
      <c r="F943" t="s">
        <v>373</v>
      </c>
      <c r="G943">
        <f t="shared" si="42"/>
        <v>41.081081081081081</v>
      </c>
      <c r="H943">
        <f t="shared" si="43"/>
        <v>0.54054054054054057</v>
      </c>
      <c r="I943">
        <v>43.83</v>
      </c>
      <c r="J943">
        <f t="shared" si="44"/>
        <v>58.378378378378379</v>
      </c>
      <c r="K943">
        <v>0.9</v>
      </c>
      <c r="L943">
        <v>0.1</v>
      </c>
      <c r="M943">
        <v>0.7</v>
      </c>
      <c r="N943">
        <v>324</v>
      </c>
      <c r="O943">
        <v>228</v>
      </c>
      <c r="P943">
        <v>3</v>
      </c>
      <c r="Q943">
        <v>41.62</v>
      </c>
      <c r="R943" t="s">
        <v>387</v>
      </c>
      <c r="S943">
        <v>0.95</v>
      </c>
      <c r="U943">
        <v>168</v>
      </c>
    </row>
    <row r="944" spans="1:21" x14ac:dyDescent="0.25">
      <c r="A944" s="2">
        <v>46045.774317129632</v>
      </c>
      <c r="B944" t="s">
        <v>309</v>
      </c>
      <c r="C944" t="s">
        <v>372</v>
      </c>
      <c r="D944">
        <v>3</v>
      </c>
      <c r="E944" t="s">
        <v>118</v>
      </c>
      <c r="F944" t="s">
        <v>373</v>
      </c>
      <c r="G944">
        <f t="shared" si="42"/>
        <v>7.208872458410351</v>
      </c>
      <c r="H944">
        <f t="shared" si="43"/>
        <v>0.18484288354898337</v>
      </c>
      <c r="I944">
        <v>43.83</v>
      </c>
      <c r="J944">
        <f t="shared" si="44"/>
        <v>92.606284658040664</v>
      </c>
      <c r="K944">
        <v>0.9</v>
      </c>
      <c r="L944">
        <v>0.1</v>
      </c>
      <c r="M944">
        <v>0.7</v>
      </c>
      <c r="N944">
        <v>501</v>
      </c>
      <c r="O944">
        <v>39</v>
      </c>
      <c r="P944">
        <v>1</v>
      </c>
      <c r="Q944">
        <v>7.39</v>
      </c>
      <c r="R944" t="s">
        <v>390</v>
      </c>
      <c r="S944">
        <v>0.15</v>
      </c>
      <c r="U944">
        <v>174</v>
      </c>
    </row>
    <row r="945" spans="1:21" x14ac:dyDescent="0.25">
      <c r="A945" s="2">
        <v>46045.774687500001</v>
      </c>
      <c r="B945" t="s">
        <v>309</v>
      </c>
      <c r="C945" t="s">
        <v>372</v>
      </c>
      <c r="D945">
        <v>3</v>
      </c>
      <c r="E945" t="s">
        <v>137</v>
      </c>
      <c r="F945" t="s">
        <v>373</v>
      </c>
      <c r="G945">
        <f t="shared" si="42"/>
        <v>84.878744650499286</v>
      </c>
      <c r="H945">
        <f t="shared" si="43"/>
        <v>1.4265335235378032</v>
      </c>
      <c r="I945">
        <v>43.83</v>
      </c>
      <c r="J945">
        <f t="shared" si="44"/>
        <v>13.69472182596291</v>
      </c>
      <c r="K945">
        <v>0.9</v>
      </c>
      <c r="L945">
        <v>0.1</v>
      </c>
      <c r="M945">
        <v>0.7</v>
      </c>
      <c r="N945">
        <v>96</v>
      </c>
      <c r="O945">
        <v>595</v>
      </c>
      <c r="P945">
        <v>10</v>
      </c>
      <c r="Q945">
        <v>86.31</v>
      </c>
      <c r="R945" t="s">
        <v>400</v>
      </c>
      <c r="S945">
        <v>2.52</v>
      </c>
      <c r="U945">
        <v>51</v>
      </c>
    </row>
    <row r="946" spans="1:21" x14ac:dyDescent="0.25">
      <c r="A946" s="2">
        <v>46045.775208333333</v>
      </c>
      <c r="B946" t="s">
        <v>309</v>
      </c>
      <c r="C946" t="s">
        <v>372</v>
      </c>
      <c r="D946">
        <v>3</v>
      </c>
      <c r="E946" t="s">
        <v>162</v>
      </c>
      <c r="F946" t="s">
        <v>373</v>
      </c>
      <c r="G946">
        <f t="shared" si="42"/>
        <v>1.0526315789473684</v>
      </c>
      <c r="H946">
        <f t="shared" si="43"/>
        <v>0</v>
      </c>
      <c r="I946">
        <v>43.83</v>
      </c>
      <c r="J946">
        <f t="shared" si="44"/>
        <v>98.94736842105263</v>
      </c>
      <c r="K946">
        <v>0.9</v>
      </c>
      <c r="L946">
        <v>0.1</v>
      </c>
      <c r="M946">
        <v>0.7</v>
      </c>
      <c r="N946">
        <v>658</v>
      </c>
      <c r="O946">
        <v>7</v>
      </c>
      <c r="P946">
        <v>0</v>
      </c>
      <c r="Q946">
        <v>1.05</v>
      </c>
      <c r="R946" t="s">
        <v>390</v>
      </c>
      <c r="S946">
        <v>0.03</v>
      </c>
      <c r="U946">
        <v>28</v>
      </c>
    </row>
    <row r="947" spans="1:21" x14ac:dyDescent="0.25">
      <c r="A947" s="2">
        <v>46045.775590277779</v>
      </c>
      <c r="B947" t="s">
        <v>309</v>
      </c>
      <c r="C947" t="s">
        <v>372</v>
      </c>
      <c r="D947">
        <v>3</v>
      </c>
      <c r="E947" t="s">
        <v>179</v>
      </c>
      <c r="F947" t="s">
        <v>373</v>
      </c>
      <c r="G947">
        <f t="shared" si="42"/>
        <v>18.578352180936992</v>
      </c>
      <c r="H947">
        <f t="shared" si="43"/>
        <v>0.16155088852988692</v>
      </c>
      <c r="I947">
        <v>43.83</v>
      </c>
      <c r="J947">
        <f t="shared" si="44"/>
        <v>81.260096930533123</v>
      </c>
      <c r="K947">
        <v>0.9</v>
      </c>
      <c r="L947">
        <v>0.1</v>
      </c>
      <c r="M947">
        <v>0.7</v>
      </c>
      <c r="N947">
        <v>503</v>
      </c>
      <c r="O947">
        <v>115</v>
      </c>
      <c r="P947">
        <v>1</v>
      </c>
      <c r="Q947">
        <v>18.739999999999998</v>
      </c>
      <c r="R947" t="s">
        <v>392</v>
      </c>
      <c r="S947">
        <v>0.48</v>
      </c>
      <c r="U947">
        <v>105</v>
      </c>
    </row>
    <row r="948" spans="1:21" x14ac:dyDescent="0.25">
      <c r="A948" s="2">
        <v>46045.776365740741</v>
      </c>
      <c r="B948" t="s">
        <v>309</v>
      </c>
      <c r="C948" t="s">
        <v>372</v>
      </c>
      <c r="D948">
        <v>3</v>
      </c>
      <c r="E948" t="s">
        <v>207</v>
      </c>
      <c r="F948" t="s">
        <v>373</v>
      </c>
      <c r="G948">
        <f t="shared" si="42"/>
        <v>6.666666666666667</v>
      </c>
      <c r="H948">
        <f t="shared" si="43"/>
        <v>0</v>
      </c>
      <c r="I948">
        <v>43.83</v>
      </c>
      <c r="J948">
        <f t="shared" si="44"/>
        <v>93.333333333333329</v>
      </c>
      <c r="K948">
        <v>0.9</v>
      </c>
      <c r="L948">
        <v>0.1</v>
      </c>
      <c r="M948">
        <v>0.7</v>
      </c>
      <c r="N948">
        <v>504</v>
      </c>
      <c r="O948">
        <v>36</v>
      </c>
      <c r="P948">
        <v>0</v>
      </c>
      <c r="Q948">
        <v>6.67</v>
      </c>
      <c r="R948" t="s">
        <v>390</v>
      </c>
      <c r="S948">
        <v>0.17</v>
      </c>
      <c r="U948">
        <v>96</v>
      </c>
    </row>
    <row r="949" spans="1:21" x14ac:dyDescent="0.25">
      <c r="A949" s="2">
        <v>46045.776747685188</v>
      </c>
      <c r="B949" t="s">
        <v>309</v>
      </c>
      <c r="C949" t="s">
        <v>372</v>
      </c>
      <c r="D949">
        <v>3</v>
      </c>
      <c r="E949" t="s">
        <v>212</v>
      </c>
      <c r="F949" t="s">
        <v>373</v>
      </c>
      <c r="G949">
        <f t="shared" si="42"/>
        <v>43.902439024390247</v>
      </c>
      <c r="H949">
        <f t="shared" si="43"/>
        <v>0.97560975609756095</v>
      </c>
      <c r="I949">
        <v>43.83</v>
      </c>
      <c r="J949">
        <f t="shared" si="44"/>
        <v>55.121951219512198</v>
      </c>
      <c r="K949">
        <v>0.9</v>
      </c>
      <c r="L949">
        <v>0.1</v>
      </c>
      <c r="M949">
        <v>0.7</v>
      </c>
      <c r="N949">
        <v>339</v>
      </c>
      <c r="O949">
        <v>270</v>
      </c>
      <c r="P949">
        <v>6</v>
      </c>
      <c r="Q949">
        <v>44.88</v>
      </c>
      <c r="R949" t="s">
        <v>386</v>
      </c>
      <c r="S949">
        <v>1.1499999999999999</v>
      </c>
      <c r="U949">
        <v>78</v>
      </c>
    </row>
    <row r="950" spans="1:21" x14ac:dyDescent="0.25">
      <c r="A950" s="2">
        <v>46045.777280092596</v>
      </c>
      <c r="B950" t="s">
        <v>309</v>
      </c>
      <c r="C950" t="s">
        <v>372</v>
      </c>
      <c r="D950">
        <v>3</v>
      </c>
      <c r="E950" t="s">
        <v>34</v>
      </c>
      <c r="F950" t="s">
        <v>373</v>
      </c>
      <c r="G950">
        <f t="shared" si="42"/>
        <v>31.609195402298852</v>
      </c>
      <c r="H950">
        <f t="shared" si="43"/>
        <v>0.19157088122605362</v>
      </c>
      <c r="I950">
        <v>43.83</v>
      </c>
      <c r="J950">
        <f t="shared" si="44"/>
        <v>68.199233716475092</v>
      </c>
      <c r="K950">
        <v>0.9</v>
      </c>
      <c r="L950">
        <v>0.1</v>
      </c>
      <c r="M950">
        <v>0.7</v>
      </c>
      <c r="N950">
        <v>356</v>
      </c>
      <c r="O950">
        <v>165</v>
      </c>
      <c r="P950">
        <v>1</v>
      </c>
      <c r="Q950">
        <v>31.8</v>
      </c>
      <c r="R950" t="s">
        <v>392</v>
      </c>
      <c r="S950">
        <v>0.68</v>
      </c>
      <c r="U950">
        <v>141</v>
      </c>
    </row>
    <row r="951" spans="1:21" x14ac:dyDescent="0.25">
      <c r="A951" s="2">
        <v>46045.777685185189</v>
      </c>
      <c r="B951" t="s">
        <v>309</v>
      </c>
      <c r="C951" t="s">
        <v>372</v>
      </c>
      <c r="D951">
        <v>3</v>
      </c>
      <c r="E951" t="s">
        <v>36</v>
      </c>
      <c r="F951" t="s">
        <v>373</v>
      </c>
      <c r="G951">
        <f t="shared" si="42"/>
        <v>17.210682492581604</v>
      </c>
      <c r="H951">
        <f t="shared" si="43"/>
        <v>0.14836795252225521</v>
      </c>
      <c r="I951">
        <v>43.83</v>
      </c>
      <c r="J951">
        <f t="shared" si="44"/>
        <v>82.640949554896139</v>
      </c>
      <c r="K951">
        <v>0.9</v>
      </c>
      <c r="L951">
        <v>0.1</v>
      </c>
      <c r="M951">
        <v>0.7</v>
      </c>
      <c r="N951">
        <v>557</v>
      </c>
      <c r="O951">
        <v>116</v>
      </c>
      <c r="P951">
        <v>1</v>
      </c>
      <c r="Q951">
        <v>17.36</v>
      </c>
      <c r="R951" t="s">
        <v>392</v>
      </c>
      <c r="S951">
        <v>0.47</v>
      </c>
      <c r="U951">
        <v>58</v>
      </c>
    </row>
    <row r="952" spans="1:21" x14ac:dyDescent="0.25">
      <c r="A952" s="2">
        <v>46045.778090277781</v>
      </c>
      <c r="B952" t="s">
        <v>309</v>
      </c>
      <c r="C952" t="s">
        <v>372</v>
      </c>
      <c r="D952">
        <v>3</v>
      </c>
      <c r="E952" t="s">
        <v>41</v>
      </c>
      <c r="F952" t="s">
        <v>373</v>
      </c>
      <c r="G952">
        <f t="shared" si="42"/>
        <v>0.49342105263157893</v>
      </c>
      <c r="H952">
        <f t="shared" si="43"/>
        <v>0</v>
      </c>
      <c r="I952">
        <v>43.83</v>
      </c>
      <c r="J952">
        <f t="shared" si="44"/>
        <v>99.506578947368425</v>
      </c>
      <c r="K952">
        <v>0.9</v>
      </c>
      <c r="L952">
        <v>0.1</v>
      </c>
      <c r="M952">
        <v>0.7</v>
      </c>
      <c r="N952">
        <v>605</v>
      </c>
      <c r="O952">
        <v>3</v>
      </c>
      <c r="P952">
        <v>0</v>
      </c>
      <c r="Q952">
        <v>0.49</v>
      </c>
      <c r="R952" t="s">
        <v>384</v>
      </c>
      <c r="S952">
        <v>0.01</v>
      </c>
      <c r="U952">
        <v>31</v>
      </c>
    </row>
    <row r="953" spans="1:21" x14ac:dyDescent="0.25">
      <c r="A953" s="2">
        <v>46045.778460648151</v>
      </c>
      <c r="B953" t="s">
        <v>309</v>
      </c>
      <c r="C953" t="s">
        <v>372</v>
      </c>
      <c r="D953">
        <v>3</v>
      </c>
      <c r="E953" t="s">
        <v>42</v>
      </c>
      <c r="F953" t="s">
        <v>373</v>
      </c>
      <c r="G953">
        <f t="shared" si="42"/>
        <v>1.9287833827893175</v>
      </c>
      <c r="H953">
        <f t="shared" si="43"/>
        <v>0</v>
      </c>
      <c r="I953">
        <v>43.83</v>
      </c>
      <c r="J953">
        <f t="shared" si="44"/>
        <v>98.071216617210681</v>
      </c>
      <c r="K953">
        <v>0.9</v>
      </c>
      <c r="L953">
        <v>0.1</v>
      </c>
      <c r="M953">
        <v>0.7</v>
      </c>
      <c r="N953">
        <v>661</v>
      </c>
      <c r="O953">
        <v>13</v>
      </c>
      <c r="P953">
        <v>0</v>
      </c>
      <c r="Q953">
        <v>1.93</v>
      </c>
      <c r="R953" t="s">
        <v>390</v>
      </c>
      <c r="S953">
        <v>0.05</v>
      </c>
      <c r="U953">
        <v>28</v>
      </c>
    </row>
    <row r="954" spans="1:21" x14ac:dyDescent="0.25">
      <c r="A954" s="2">
        <v>46045.778831018521</v>
      </c>
      <c r="B954" t="s">
        <v>309</v>
      </c>
      <c r="C954" t="s">
        <v>372</v>
      </c>
      <c r="D954">
        <v>3</v>
      </c>
      <c r="E954" t="s">
        <v>43</v>
      </c>
      <c r="F954" t="s">
        <v>373</v>
      </c>
      <c r="G954">
        <f t="shared" si="42"/>
        <v>11.500974658869396</v>
      </c>
      <c r="H954">
        <f t="shared" si="43"/>
        <v>0</v>
      </c>
      <c r="I954">
        <v>43.83</v>
      </c>
      <c r="J954">
        <f t="shared" si="44"/>
        <v>88.499025341130604</v>
      </c>
      <c r="K954">
        <v>0.9</v>
      </c>
      <c r="L954">
        <v>0.1</v>
      </c>
      <c r="M954">
        <v>0.7</v>
      </c>
      <c r="N954">
        <v>454</v>
      </c>
      <c r="O954">
        <v>59</v>
      </c>
      <c r="P954">
        <v>0</v>
      </c>
      <c r="Q954">
        <v>11.5</v>
      </c>
      <c r="R954" t="s">
        <v>295</v>
      </c>
      <c r="S954">
        <v>0.24</v>
      </c>
      <c r="U954">
        <v>200</v>
      </c>
    </row>
    <row r="955" spans="1:21" x14ac:dyDescent="0.25">
      <c r="A955" s="2">
        <v>46045.779224537036</v>
      </c>
      <c r="B955" t="s">
        <v>309</v>
      </c>
      <c r="C955" t="s">
        <v>372</v>
      </c>
      <c r="D955">
        <v>3</v>
      </c>
      <c r="E955" t="s">
        <v>54</v>
      </c>
      <c r="F955" t="s">
        <v>373</v>
      </c>
      <c r="G955">
        <f t="shared" si="42"/>
        <v>0.60606060606060608</v>
      </c>
      <c r="H955">
        <f t="shared" si="43"/>
        <v>0</v>
      </c>
      <c r="I955">
        <v>43.83</v>
      </c>
      <c r="J955">
        <f t="shared" si="44"/>
        <v>99.393939393939391</v>
      </c>
      <c r="K955">
        <v>0.9</v>
      </c>
      <c r="L955">
        <v>0.1</v>
      </c>
      <c r="M955">
        <v>0.7</v>
      </c>
      <c r="N955">
        <v>656</v>
      </c>
      <c r="O955">
        <v>4</v>
      </c>
      <c r="P955">
        <v>0</v>
      </c>
      <c r="Q955">
        <v>0.61</v>
      </c>
      <c r="R955" t="s">
        <v>384</v>
      </c>
      <c r="S955">
        <v>0.02</v>
      </c>
      <c r="U955">
        <v>16</v>
      </c>
    </row>
    <row r="956" spans="1:21" x14ac:dyDescent="0.25">
      <c r="A956" s="2">
        <v>46045.779594907406</v>
      </c>
      <c r="B956" t="s">
        <v>309</v>
      </c>
      <c r="C956" t="s">
        <v>372</v>
      </c>
      <c r="D956">
        <v>3</v>
      </c>
      <c r="E956" t="s">
        <v>75</v>
      </c>
      <c r="F956" t="s">
        <v>373</v>
      </c>
      <c r="G956">
        <f t="shared" si="42"/>
        <v>1.7214397496087637</v>
      </c>
      <c r="H956">
        <f t="shared" si="43"/>
        <v>0</v>
      </c>
      <c r="I956">
        <v>43.83</v>
      </c>
      <c r="J956">
        <f t="shared" si="44"/>
        <v>98.278560250391237</v>
      </c>
      <c r="K956">
        <v>0.9</v>
      </c>
      <c r="L956">
        <v>0.1</v>
      </c>
      <c r="M956">
        <v>0.7</v>
      </c>
      <c r="N956">
        <v>628</v>
      </c>
      <c r="O956">
        <v>11</v>
      </c>
      <c r="P956">
        <v>0</v>
      </c>
      <c r="Q956">
        <v>1.72</v>
      </c>
      <c r="R956" t="s">
        <v>384</v>
      </c>
      <c r="S956">
        <v>0.04</v>
      </c>
      <c r="U956">
        <v>38</v>
      </c>
    </row>
    <row r="957" spans="1:21" x14ac:dyDescent="0.25">
      <c r="A957" s="2">
        <v>46045.779965277776</v>
      </c>
      <c r="B957" t="s">
        <v>309</v>
      </c>
      <c r="C957" t="s">
        <v>372</v>
      </c>
      <c r="D957">
        <v>3</v>
      </c>
      <c r="E957" t="s">
        <v>324</v>
      </c>
      <c r="F957" t="s">
        <v>373</v>
      </c>
      <c r="G957">
        <f t="shared" si="42"/>
        <v>41.081081081081081</v>
      </c>
      <c r="H957">
        <f t="shared" si="43"/>
        <v>0.54054054054054057</v>
      </c>
      <c r="I957">
        <v>43.83</v>
      </c>
      <c r="J957">
        <f t="shared" si="44"/>
        <v>58.378378378378379</v>
      </c>
      <c r="K957">
        <v>0.9</v>
      </c>
      <c r="L957">
        <v>0.1</v>
      </c>
      <c r="M957">
        <v>0.7</v>
      </c>
      <c r="N957">
        <v>324</v>
      </c>
      <c r="O957">
        <v>228</v>
      </c>
      <c r="P957">
        <v>3</v>
      </c>
      <c r="Q957">
        <v>41.62</v>
      </c>
      <c r="R957" t="s">
        <v>386</v>
      </c>
      <c r="S957">
        <v>0.95</v>
      </c>
      <c r="U957">
        <v>168</v>
      </c>
    </row>
    <row r="958" spans="1:21" x14ac:dyDescent="0.25">
      <c r="A958" s="2">
        <v>46045.780416666668</v>
      </c>
      <c r="B958" t="s">
        <v>309</v>
      </c>
      <c r="C958" t="s">
        <v>372</v>
      </c>
      <c r="D958">
        <v>3</v>
      </c>
      <c r="E958" t="s">
        <v>118</v>
      </c>
      <c r="F958" t="s">
        <v>373</v>
      </c>
      <c r="G958">
        <f t="shared" si="42"/>
        <v>7.208872458410351</v>
      </c>
      <c r="H958">
        <f t="shared" si="43"/>
        <v>0.18484288354898337</v>
      </c>
      <c r="I958">
        <v>43.83</v>
      </c>
      <c r="J958">
        <f t="shared" si="44"/>
        <v>92.606284658040664</v>
      </c>
      <c r="K958">
        <v>0.9</v>
      </c>
      <c r="L958">
        <v>0.1</v>
      </c>
      <c r="M958">
        <v>0.7</v>
      </c>
      <c r="N958">
        <v>501</v>
      </c>
      <c r="O958">
        <v>39</v>
      </c>
      <c r="P958">
        <v>1</v>
      </c>
      <c r="Q958">
        <v>7.39</v>
      </c>
      <c r="R958" t="s">
        <v>390</v>
      </c>
      <c r="S958">
        <v>0.15</v>
      </c>
      <c r="U958">
        <v>174</v>
      </c>
    </row>
    <row r="959" spans="1:21" x14ac:dyDescent="0.25">
      <c r="A959" s="2">
        <v>46045.780787037038</v>
      </c>
      <c r="B959" t="s">
        <v>309</v>
      </c>
      <c r="C959" t="s">
        <v>372</v>
      </c>
      <c r="D959">
        <v>3</v>
      </c>
      <c r="E959" t="s">
        <v>137</v>
      </c>
      <c r="F959" t="s">
        <v>373</v>
      </c>
      <c r="G959">
        <f t="shared" si="42"/>
        <v>84.878744650499286</v>
      </c>
      <c r="H959">
        <f t="shared" si="43"/>
        <v>1.4265335235378032</v>
      </c>
      <c r="I959">
        <v>43.83</v>
      </c>
      <c r="J959">
        <f t="shared" si="44"/>
        <v>13.69472182596291</v>
      </c>
      <c r="K959">
        <v>0.9</v>
      </c>
      <c r="L959">
        <v>0.1</v>
      </c>
      <c r="M959">
        <v>0.7</v>
      </c>
      <c r="N959">
        <v>96</v>
      </c>
      <c r="O959">
        <v>595</v>
      </c>
      <c r="P959">
        <v>10</v>
      </c>
      <c r="Q959">
        <v>86.31</v>
      </c>
      <c r="R959" t="s">
        <v>399</v>
      </c>
      <c r="S959">
        <v>2.52</v>
      </c>
      <c r="U959">
        <v>51</v>
      </c>
    </row>
    <row r="960" spans="1:21" x14ac:dyDescent="0.25">
      <c r="A960" s="2">
        <v>46045.781319444446</v>
      </c>
      <c r="B960" t="s">
        <v>309</v>
      </c>
      <c r="C960" t="s">
        <v>372</v>
      </c>
      <c r="D960">
        <v>3</v>
      </c>
      <c r="E960" t="s">
        <v>162</v>
      </c>
      <c r="F960" t="s">
        <v>373</v>
      </c>
      <c r="G960">
        <f t="shared" si="42"/>
        <v>1.0526315789473684</v>
      </c>
      <c r="H960">
        <f t="shared" si="43"/>
        <v>0</v>
      </c>
      <c r="I960">
        <v>43.83</v>
      </c>
      <c r="J960">
        <f t="shared" si="44"/>
        <v>98.94736842105263</v>
      </c>
      <c r="K960">
        <v>0.9</v>
      </c>
      <c r="L960">
        <v>0.1</v>
      </c>
      <c r="M960">
        <v>0.7</v>
      </c>
      <c r="N960">
        <v>658</v>
      </c>
      <c r="O960">
        <v>7</v>
      </c>
      <c r="P960">
        <v>0</v>
      </c>
      <c r="Q960">
        <v>1.05</v>
      </c>
      <c r="R960" t="s">
        <v>384</v>
      </c>
      <c r="S960">
        <v>0.03</v>
      </c>
      <c r="U960">
        <v>28</v>
      </c>
    </row>
    <row r="961" spans="1:21" x14ac:dyDescent="0.25">
      <c r="A961" s="2">
        <v>46045.781689814816</v>
      </c>
      <c r="B961" t="s">
        <v>309</v>
      </c>
      <c r="C961" t="s">
        <v>372</v>
      </c>
      <c r="D961">
        <v>3</v>
      </c>
      <c r="E961" t="s">
        <v>179</v>
      </c>
      <c r="F961" t="s">
        <v>373</v>
      </c>
      <c r="G961">
        <f t="shared" ref="G961:G1024" si="45">(O961/(N961+O961+P961))*100</f>
        <v>18.608414239482201</v>
      </c>
      <c r="H961">
        <f t="shared" ref="H961:H1024" si="46">(P961/(O961+P961+N961))*100</f>
        <v>0</v>
      </c>
      <c r="I961">
        <v>43.83</v>
      </c>
      <c r="J961">
        <f t="shared" ref="J961:J1024" si="47">(N961/(P961+O961+N961))*100</f>
        <v>81.391585760517799</v>
      </c>
      <c r="K961">
        <v>0.9</v>
      </c>
      <c r="L961">
        <v>0.1</v>
      </c>
      <c r="M961">
        <v>0.7</v>
      </c>
      <c r="N961">
        <v>503</v>
      </c>
      <c r="O961">
        <v>115</v>
      </c>
      <c r="P961">
        <v>0</v>
      </c>
      <c r="Q961">
        <v>18.61</v>
      </c>
      <c r="R961" t="s">
        <v>378</v>
      </c>
      <c r="S961">
        <v>0.48</v>
      </c>
      <c r="U961">
        <v>106</v>
      </c>
    </row>
    <row r="962" spans="1:21" x14ac:dyDescent="0.25">
      <c r="A962" s="2">
        <v>46045.782083333332</v>
      </c>
      <c r="B962" t="s">
        <v>309</v>
      </c>
      <c r="C962" t="s">
        <v>372</v>
      </c>
      <c r="D962">
        <v>3</v>
      </c>
      <c r="E962" t="s">
        <v>204</v>
      </c>
      <c r="F962" t="s">
        <v>373</v>
      </c>
      <c r="G962">
        <f t="shared" si="45"/>
        <v>0.92936802973977695</v>
      </c>
      <c r="H962">
        <f t="shared" si="46"/>
        <v>0</v>
      </c>
      <c r="I962">
        <v>43.83</v>
      </c>
      <c r="J962">
        <f t="shared" si="47"/>
        <v>99.070631970260223</v>
      </c>
      <c r="K962">
        <v>0.9</v>
      </c>
      <c r="L962">
        <v>0.1</v>
      </c>
      <c r="M962">
        <v>0.7</v>
      </c>
      <c r="N962">
        <v>533</v>
      </c>
      <c r="O962">
        <v>5</v>
      </c>
      <c r="P962">
        <v>0</v>
      </c>
      <c r="Q962">
        <v>0.93</v>
      </c>
      <c r="R962" t="s">
        <v>382</v>
      </c>
      <c r="S962">
        <v>0.02</v>
      </c>
      <c r="U962">
        <v>30</v>
      </c>
    </row>
    <row r="963" spans="1:21" x14ac:dyDescent="0.25">
      <c r="A963" s="2">
        <v>46045.782430555555</v>
      </c>
      <c r="B963" t="s">
        <v>309</v>
      </c>
      <c r="C963" t="s">
        <v>372</v>
      </c>
      <c r="D963">
        <v>3</v>
      </c>
      <c r="E963" t="s">
        <v>207</v>
      </c>
      <c r="F963" t="s">
        <v>373</v>
      </c>
      <c r="G963">
        <f t="shared" si="45"/>
        <v>6.666666666666667</v>
      </c>
      <c r="H963">
        <f t="shared" si="46"/>
        <v>0</v>
      </c>
      <c r="I963">
        <v>43.83</v>
      </c>
      <c r="J963">
        <f t="shared" si="47"/>
        <v>93.333333333333329</v>
      </c>
      <c r="K963">
        <v>0.9</v>
      </c>
      <c r="L963">
        <v>0.1</v>
      </c>
      <c r="M963">
        <v>0.7</v>
      </c>
      <c r="N963">
        <v>504</v>
      </c>
      <c r="O963">
        <v>36</v>
      </c>
      <c r="P963">
        <v>0</v>
      </c>
      <c r="Q963">
        <v>6.67</v>
      </c>
      <c r="R963" t="s">
        <v>384</v>
      </c>
      <c r="S963">
        <v>0.17</v>
      </c>
      <c r="U963">
        <v>96</v>
      </c>
    </row>
    <row r="964" spans="1:21" x14ac:dyDescent="0.25">
      <c r="A964" s="2">
        <v>46045.782800925925</v>
      </c>
      <c r="B964" t="s">
        <v>309</v>
      </c>
      <c r="C964" t="s">
        <v>372</v>
      </c>
      <c r="D964">
        <v>3</v>
      </c>
      <c r="E964" t="s">
        <v>212</v>
      </c>
      <c r="F964" t="s">
        <v>373</v>
      </c>
      <c r="G964">
        <f t="shared" si="45"/>
        <v>43.902439024390247</v>
      </c>
      <c r="H964">
        <f t="shared" si="46"/>
        <v>0.97560975609756095</v>
      </c>
      <c r="I964">
        <v>43.83</v>
      </c>
      <c r="J964">
        <f t="shared" si="47"/>
        <v>55.121951219512198</v>
      </c>
      <c r="K964">
        <v>0.9</v>
      </c>
      <c r="L964">
        <v>0.1</v>
      </c>
      <c r="M964">
        <v>0.7</v>
      </c>
      <c r="N964">
        <v>339</v>
      </c>
      <c r="O964">
        <v>270</v>
      </c>
      <c r="P964">
        <v>6</v>
      </c>
      <c r="Q964">
        <v>44.88</v>
      </c>
      <c r="R964" t="s">
        <v>387</v>
      </c>
      <c r="S964">
        <v>1.1499999999999999</v>
      </c>
      <c r="U964">
        <v>78</v>
      </c>
    </row>
    <row r="965" spans="1:21" x14ac:dyDescent="0.25">
      <c r="A965" s="2">
        <v>46045.795567129629</v>
      </c>
      <c r="B965" t="s">
        <v>309</v>
      </c>
      <c r="C965" t="s">
        <v>372</v>
      </c>
      <c r="D965">
        <v>3</v>
      </c>
      <c r="E965" t="s">
        <v>34</v>
      </c>
      <c r="F965" t="s">
        <v>373</v>
      </c>
      <c r="G965">
        <f t="shared" si="45"/>
        <v>30.05464480874317</v>
      </c>
      <c r="H965">
        <f t="shared" si="46"/>
        <v>0.18214936247723132</v>
      </c>
      <c r="I965">
        <v>43.83</v>
      </c>
      <c r="J965">
        <f t="shared" si="47"/>
        <v>69.76320582877959</v>
      </c>
      <c r="K965">
        <v>0.9</v>
      </c>
      <c r="L965">
        <v>0.2</v>
      </c>
      <c r="M965">
        <v>0.7</v>
      </c>
      <c r="N965">
        <v>383</v>
      </c>
      <c r="O965">
        <v>165</v>
      </c>
      <c r="P965">
        <v>1</v>
      </c>
      <c r="Q965">
        <v>30.24</v>
      </c>
      <c r="R965" t="s">
        <v>387</v>
      </c>
      <c r="S965">
        <v>0.68</v>
      </c>
      <c r="U965">
        <v>114</v>
      </c>
    </row>
    <row r="966" spans="1:21" x14ac:dyDescent="0.25">
      <c r="A966" s="2">
        <v>46045.795983796299</v>
      </c>
      <c r="B966" t="s">
        <v>309</v>
      </c>
      <c r="C966" t="s">
        <v>372</v>
      </c>
      <c r="D966">
        <v>3</v>
      </c>
      <c r="E966" t="s">
        <v>36</v>
      </c>
      <c r="F966" t="s">
        <v>373</v>
      </c>
      <c r="G966">
        <f t="shared" si="45"/>
        <v>16.811594202898551</v>
      </c>
      <c r="H966">
        <f t="shared" si="46"/>
        <v>0.14492753623188406</v>
      </c>
      <c r="I966">
        <v>43.83</v>
      </c>
      <c r="J966">
        <f t="shared" si="47"/>
        <v>83.043478260869563</v>
      </c>
      <c r="K966">
        <v>0.9</v>
      </c>
      <c r="L966">
        <v>0.2</v>
      </c>
      <c r="M966">
        <v>0.7</v>
      </c>
      <c r="N966">
        <v>573</v>
      </c>
      <c r="O966">
        <v>116</v>
      </c>
      <c r="P966">
        <v>1</v>
      </c>
      <c r="Q966">
        <v>16.96</v>
      </c>
      <c r="R966" t="s">
        <v>387</v>
      </c>
      <c r="S966">
        <v>0.47</v>
      </c>
      <c r="U966">
        <v>42</v>
      </c>
    </row>
    <row r="967" spans="1:21" x14ac:dyDescent="0.25">
      <c r="A967" s="2">
        <v>46045.796412037038</v>
      </c>
      <c r="B967" t="s">
        <v>309</v>
      </c>
      <c r="C967" t="s">
        <v>372</v>
      </c>
      <c r="D967">
        <v>3</v>
      </c>
      <c r="E967" t="s">
        <v>41</v>
      </c>
      <c r="F967" t="s">
        <v>373</v>
      </c>
      <c r="G967">
        <f t="shared" si="45"/>
        <v>0.48465266558966075</v>
      </c>
      <c r="H967">
        <f t="shared" si="46"/>
        <v>0</v>
      </c>
      <c r="I967">
        <v>43.83</v>
      </c>
      <c r="J967">
        <f t="shared" si="47"/>
        <v>99.515347334410336</v>
      </c>
      <c r="K967">
        <v>0.9</v>
      </c>
      <c r="L967">
        <v>0.2</v>
      </c>
      <c r="M967">
        <v>0.7</v>
      </c>
      <c r="N967">
        <v>616</v>
      </c>
      <c r="O967">
        <v>3</v>
      </c>
      <c r="P967">
        <v>0</v>
      </c>
      <c r="Q967">
        <v>0.48</v>
      </c>
      <c r="R967" t="s">
        <v>390</v>
      </c>
      <c r="S967">
        <v>0.01</v>
      </c>
      <c r="U967">
        <v>20</v>
      </c>
    </row>
    <row r="968" spans="1:21" x14ac:dyDescent="0.25">
      <c r="A968" s="2">
        <v>46045.796782407408</v>
      </c>
      <c r="B968" t="s">
        <v>309</v>
      </c>
      <c r="C968" t="s">
        <v>372</v>
      </c>
      <c r="D968">
        <v>3</v>
      </c>
      <c r="E968" t="s">
        <v>42</v>
      </c>
      <c r="F968" t="s">
        <v>373</v>
      </c>
      <c r="G968">
        <f t="shared" si="45"/>
        <v>1.9005847953216373</v>
      </c>
      <c r="H968">
        <f t="shared" si="46"/>
        <v>0</v>
      </c>
      <c r="I968">
        <v>43.83</v>
      </c>
      <c r="J968">
        <f t="shared" si="47"/>
        <v>98.099415204678365</v>
      </c>
      <c r="K968">
        <v>0.9</v>
      </c>
      <c r="L968">
        <v>0.2</v>
      </c>
      <c r="M968">
        <v>0.7</v>
      </c>
      <c r="N968">
        <v>671</v>
      </c>
      <c r="O968">
        <v>13</v>
      </c>
      <c r="P968">
        <v>0</v>
      </c>
      <c r="Q968">
        <v>1.9</v>
      </c>
      <c r="R968" t="s">
        <v>390</v>
      </c>
      <c r="S968">
        <v>0.05</v>
      </c>
      <c r="U968">
        <v>18</v>
      </c>
    </row>
    <row r="969" spans="1:21" x14ac:dyDescent="0.25">
      <c r="A969" s="2">
        <v>46045.797164351854</v>
      </c>
      <c r="B969" t="s">
        <v>309</v>
      </c>
      <c r="C969" t="s">
        <v>372</v>
      </c>
      <c r="D969">
        <v>3</v>
      </c>
      <c r="E969" t="s">
        <v>43</v>
      </c>
      <c r="F969" t="s">
        <v>373</v>
      </c>
      <c r="G969">
        <f t="shared" si="45"/>
        <v>10.460992907801419</v>
      </c>
      <c r="H969">
        <f t="shared" si="46"/>
        <v>0</v>
      </c>
      <c r="I969">
        <v>43.83</v>
      </c>
      <c r="J969">
        <f t="shared" si="47"/>
        <v>89.539007092198588</v>
      </c>
      <c r="K969">
        <v>0.9</v>
      </c>
      <c r="L969">
        <v>0.2</v>
      </c>
      <c r="M969">
        <v>0.7</v>
      </c>
      <c r="N969">
        <v>505</v>
      </c>
      <c r="O969">
        <v>59</v>
      </c>
      <c r="P969">
        <v>0</v>
      </c>
      <c r="Q969">
        <v>10.46</v>
      </c>
      <c r="R969" t="s">
        <v>378</v>
      </c>
      <c r="S969">
        <v>0.24</v>
      </c>
      <c r="U969">
        <v>149</v>
      </c>
    </row>
    <row r="970" spans="1:21" x14ac:dyDescent="0.25">
      <c r="A970" s="2">
        <v>46045.797569444447</v>
      </c>
      <c r="B970" t="s">
        <v>309</v>
      </c>
      <c r="C970" t="s">
        <v>372</v>
      </c>
      <c r="D970">
        <v>3</v>
      </c>
      <c r="E970" t="s">
        <v>54</v>
      </c>
      <c r="F970" t="s">
        <v>373</v>
      </c>
      <c r="G970">
        <f t="shared" si="45"/>
        <v>0.5961251862891207</v>
      </c>
      <c r="H970">
        <f t="shared" si="46"/>
        <v>0</v>
      </c>
      <c r="I970">
        <v>43.83</v>
      </c>
      <c r="J970">
        <f t="shared" si="47"/>
        <v>99.403874813710885</v>
      </c>
      <c r="K970">
        <v>0.9</v>
      </c>
      <c r="L970">
        <v>0.2</v>
      </c>
      <c r="M970">
        <v>0.7</v>
      </c>
      <c r="N970">
        <v>667</v>
      </c>
      <c r="O970">
        <v>4</v>
      </c>
      <c r="P970">
        <v>0</v>
      </c>
      <c r="Q970">
        <v>0.6</v>
      </c>
      <c r="R970" t="s">
        <v>378</v>
      </c>
      <c r="S970">
        <v>0.02</v>
      </c>
      <c r="U970">
        <v>5</v>
      </c>
    </row>
    <row r="971" spans="1:21" x14ac:dyDescent="0.25">
      <c r="A971" s="2">
        <v>46045.797962962963</v>
      </c>
      <c r="B971" t="s">
        <v>309</v>
      </c>
      <c r="C971" t="s">
        <v>372</v>
      </c>
      <c r="D971">
        <v>3</v>
      </c>
      <c r="E971" t="s">
        <v>75</v>
      </c>
      <c r="F971" t="s">
        <v>373</v>
      </c>
      <c r="G971">
        <f t="shared" si="45"/>
        <v>1.6949152542372881</v>
      </c>
      <c r="H971">
        <f t="shared" si="46"/>
        <v>0</v>
      </c>
      <c r="I971">
        <v>43.83</v>
      </c>
      <c r="J971">
        <f t="shared" si="47"/>
        <v>98.305084745762713</v>
      </c>
      <c r="K971">
        <v>0.9</v>
      </c>
      <c r="L971">
        <v>0.2</v>
      </c>
      <c r="M971">
        <v>0.7</v>
      </c>
      <c r="N971">
        <v>638</v>
      </c>
      <c r="O971">
        <v>11</v>
      </c>
      <c r="P971">
        <v>0</v>
      </c>
      <c r="Q971">
        <v>1.69</v>
      </c>
      <c r="R971" t="s">
        <v>295</v>
      </c>
      <c r="S971">
        <v>0.04</v>
      </c>
      <c r="U971">
        <v>28</v>
      </c>
    </row>
    <row r="972" spans="1:21" x14ac:dyDescent="0.25">
      <c r="A972" s="2">
        <v>46045.798344907409</v>
      </c>
      <c r="B972" t="s">
        <v>309</v>
      </c>
      <c r="C972" t="s">
        <v>372</v>
      </c>
      <c r="D972">
        <v>3</v>
      </c>
      <c r="E972" t="s">
        <v>324</v>
      </c>
      <c r="F972" t="s">
        <v>373</v>
      </c>
      <c r="G972">
        <f t="shared" si="45"/>
        <v>38.539898132427844</v>
      </c>
      <c r="H972">
        <f t="shared" si="46"/>
        <v>0.84889643463497455</v>
      </c>
      <c r="I972">
        <v>43.83</v>
      </c>
      <c r="J972">
        <f t="shared" si="47"/>
        <v>60.611205432937176</v>
      </c>
      <c r="K972">
        <v>0.9</v>
      </c>
      <c r="L972">
        <v>0.2</v>
      </c>
      <c r="M972">
        <v>0.7</v>
      </c>
      <c r="N972">
        <v>357</v>
      </c>
      <c r="O972">
        <v>227</v>
      </c>
      <c r="P972">
        <v>5</v>
      </c>
      <c r="Q972">
        <v>39.39</v>
      </c>
      <c r="R972" t="s">
        <v>389</v>
      </c>
      <c r="S972">
        <v>0.95</v>
      </c>
      <c r="U972">
        <v>134</v>
      </c>
    </row>
    <row r="973" spans="1:21" x14ac:dyDescent="0.25">
      <c r="A973" s="2">
        <v>46045.798807870371</v>
      </c>
      <c r="B973" t="s">
        <v>309</v>
      </c>
      <c r="C973" t="s">
        <v>372</v>
      </c>
      <c r="D973">
        <v>3</v>
      </c>
      <c r="E973" t="s">
        <v>118</v>
      </c>
      <c r="F973" t="s">
        <v>373</v>
      </c>
      <c r="G973">
        <f t="shared" si="45"/>
        <v>6.3934426229508192</v>
      </c>
      <c r="H973">
        <f t="shared" si="46"/>
        <v>0.16393442622950818</v>
      </c>
      <c r="I973">
        <v>43.83</v>
      </c>
      <c r="J973">
        <f t="shared" si="47"/>
        <v>93.442622950819683</v>
      </c>
      <c r="K973">
        <v>0.9</v>
      </c>
      <c r="L973">
        <v>0.2</v>
      </c>
      <c r="M973">
        <v>0.7</v>
      </c>
      <c r="N973">
        <v>570</v>
      </c>
      <c r="O973">
        <v>39</v>
      </c>
      <c r="P973">
        <v>1</v>
      </c>
      <c r="Q973">
        <v>6.56</v>
      </c>
      <c r="R973" t="s">
        <v>295</v>
      </c>
      <c r="S973">
        <v>0.15</v>
      </c>
      <c r="U973">
        <v>105</v>
      </c>
    </row>
    <row r="974" spans="1:21" x14ac:dyDescent="0.25">
      <c r="A974" s="2">
        <v>46045.799201388887</v>
      </c>
      <c r="B974" t="s">
        <v>309</v>
      </c>
      <c r="C974" t="s">
        <v>372</v>
      </c>
      <c r="D974">
        <v>3</v>
      </c>
      <c r="E974" t="s">
        <v>137</v>
      </c>
      <c r="F974" t="s">
        <v>373</v>
      </c>
      <c r="G974">
        <f t="shared" si="45"/>
        <v>83.567415730337075</v>
      </c>
      <c r="H974">
        <f t="shared" si="46"/>
        <v>1.4044943820224718</v>
      </c>
      <c r="I974">
        <v>43.83</v>
      </c>
      <c r="J974">
        <f t="shared" si="47"/>
        <v>15.02808988764045</v>
      </c>
      <c r="K974">
        <v>0.9</v>
      </c>
      <c r="L974">
        <v>0.2</v>
      </c>
      <c r="M974">
        <v>0.7</v>
      </c>
      <c r="N974">
        <v>107</v>
      </c>
      <c r="O974">
        <v>595</v>
      </c>
      <c r="P974">
        <v>10</v>
      </c>
      <c r="Q974">
        <v>84.97</v>
      </c>
      <c r="R974" t="s">
        <v>396</v>
      </c>
      <c r="S974">
        <v>2.52</v>
      </c>
      <c r="U974">
        <v>40</v>
      </c>
    </row>
    <row r="975" spans="1:21" x14ac:dyDescent="0.25">
      <c r="A975" s="2">
        <v>46045.799768518518</v>
      </c>
      <c r="B975" t="s">
        <v>309</v>
      </c>
      <c r="C975" t="s">
        <v>372</v>
      </c>
      <c r="D975">
        <v>3</v>
      </c>
      <c r="E975" t="s">
        <v>162</v>
      </c>
      <c r="F975" t="s">
        <v>373</v>
      </c>
      <c r="G975">
        <f t="shared" si="45"/>
        <v>1.0401188707280831</v>
      </c>
      <c r="H975">
        <f t="shared" si="46"/>
        <v>0</v>
      </c>
      <c r="I975">
        <v>43.83</v>
      </c>
      <c r="J975">
        <f t="shared" si="47"/>
        <v>98.95988112927192</v>
      </c>
      <c r="K975">
        <v>0.9</v>
      </c>
      <c r="L975">
        <v>0.2</v>
      </c>
      <c r="M975">
        <v>0.7</v>
      </c>
      <c r="N975">
        <v>666</v>
      </c>
      <c r="O975">
        <v>7</v>
      </c>
      <c r="P975">
        <v>0</v>
      </c>
      <c r="Q975">
        <v>1.04</v>
      </c>
      <c r="R975" t="s">
        <v>384</v>
      </c>
      <c r="S975">
        <v>0.03</v>
      </c>
      <c r="U975">
        <v>20</v>
      </c>
    </row>
    <row r="976" spans="1:21" x14ac:dyDescent="0.25">
      <c r="A976" s="2">
        <v>46045.800138888888</v>
      </c>
      <c r="B976" t="s">
        <v>309</v>
      </c>
      <c r="C976" t="s">
        <v>372</v>
      </c>
      <c r="D976">
        <v>3</v>
      </c>
      <c r="E976" t="s">
        <v>179</v>
      </c>
      <c r="F976" t="s">
        <v>373</v>
      </c>
      <c r="G976">
        <f t="shared" si="45"/>
        <v>17.884914463452567</v>
      </c>
      <c r="H976">
        <f t="shared" si="46"/>
        <v>0.15552099533437014</v>
      </c>
      <c r="I976">
        <v>43.83</v>
      </c>
      <c r="J976">
        <f t="shared" si="47"/>
        <v>81.959564541213055</v>
      </c>
      <c r="K976">
        <v>0.9</v>
      </c>
      <c r="L976">
        <v>0.2</v>
      </c>
      <c r="M976">
        <v>0.7</v>
      </c>
      <c r="N976">
        <v>527</v>
      </c>
      <c r="O976">
        <v>115</v>
      </c>
      <c r="P976">
        <v>1</v>
      </c>
      <c r="Q976">
        <v>18.04</v>
      </c>
      <c r="R976" t="s">
        <v>392</v>
      </c>
      <c r="S976">
        <v>0.48</v>
      </c>
      <c r="U976">
        <v>81</v>
      </c>
    </row>
    <row r="977" spans="1:21" x14ac:dyDescent="0.25">
      <c r="A977" s="2">
        <v>46045.800555555557</v>
      </c>
      <c r="B977" t="s">
        <v>309</v>
      </c>
      <c r="C977" t="s">
        <v>372</v>
      </c>
      <c r="D977">
        <v>3</v>
      </c>
      <c r="E977" t="s">
        <v>204</v>
      </c>
      <c r="F977" t="s">
        <v>373</v>
      </c>
      <c r="G977">
        <f t="shared" si="45"/>
        <v>0.91407678244972579</v>
      </c>
      <c r="H977">
        <f t="shared" si="46"/>
        <v>0</v>
      </c>
      <c r="I977">
        <v>43.83</v>
      </c>
      <c r="J977">
        <f t="shared" si="47"/>
        <v>99.085923217550274</v>
      </c>
      <c r="K977">
        <v>0.9</v>
      </c>
      <c r="L977">
        <v>0.2</v>
      </c>
      <c r="M977">
        <v>0.7</v>
      </c>
      <c r="N977">
        <v>542</v>
      </c>
      <c r="O977">
        <v>5</v>
      </c>
      <c r="P977">
        <v>0</v>
      </c>
      <c r="Q977">
        <v>0.91</v>
      </c>
      <c r="R977" t="s">
        <v>379</v>
      </c>
      <c r="S977">
        <v>0.02</v>
      </c>
      <c r="U977">
        <v>21</v>
      </c>
    </row>
    <row r="978" spans="1:21" x14ac:dyDescent="0.25">
      <c r="A978" s="2">
        <v>46045.800902777781</v>
      </c>
      <c r="B978" t="s">
        <v>309</v>
      </c>
      <c r="C978" t="s">
        <v>372</v>
      </c>
      <c r="D978">
        <v>3</v>
      </c>
      <c r="E978" t="s">
        <v>207</v>
      </c>
      <c r="F978" t="s">
        <v>373</v>
      </c>
      <c r="G978">
        <f t="shared" si="45"/>
        <v>6.2717770034843205</v>
      </c>
      <c r="H978">
        <f t="shared" si="46"/>
        <v>0</v>
      </c>
      <c r="I978">
        <v>43.83</v>
      </c>
      <c r="J978">
        <f t="shared" si="47"/>
        <v>93.728222996515669</v>
      </c>
      <c r="K978">
        <v>0.9</v>
      </c>
      <c r="L978">
        <v>0.2</v>
      </c>
      <c r="M978">
        <v>0.7</v>
      </c>
      <c r="N978">
        <v>538</v>
      </c>
      <c r="O978">
        <v>36</v>
      </c>
      <c r="P978">
        <v>0</v>
      </c>
      <c r="Q978">
        <v>6.27</v>
      </c>
      <c r="R978" t="s">
        <v>384</v>
      </c>
      <c r="S978">
        <v>0.17</v>
      </c>
      <c r="U978">
        <v>62</v>
      </c>
    </row>
    <row r="979" spans="1:21" x14ac:dyDescent="0.25">
      <c r="A979" s="2">
        <v>46045.80127314815</v>
      </c>
      <c r="B979" t="s">
        <v>309</v>
      </c>
      <c r="C979" t="s">
        <v>372</v>
      </c>
      <c r="D979">
        <v>3</v>
      </c>
      <c r="E979" t="s">
        <v>212</v>
      </c>
      <c r="F979" t="s">
        <v>373</v>
      </c>
      <c r="G979">
        <f t="shared" si="45"/>
        <v>42.25352112676056</v>
      </c>
      <c r="H979">
        <f t="shared" si="46"/>
        <v>0.93896713615023475</v>
      </c>
      <c r="I979">
        <v>43.83</v>
      </c>
      <c r="J979">
        <f t="shared" si="47"/>
        <v>56.8075117370892</v>
      </c>
      <c r="K979">
        <v>0.9</v>
      </c>
      <c r="L979">
        <v>0.2</v>
      </c>
      <c r="M979">
        <v>0.7</v>
      </c>
      <c r="N979">
        <v>363</v>
      </c>
      <c r="O979">
        <v>270</v>
      </c>
      <c r="P979">
        <v>6</v>
      </c>
      <c r="Q979">
        <v>43.19</v>
      </c>
      <c r="R979" t="s">
        <v>386</v>
      </c>
      <c r="S979">
        <v>1.1499999999999999</v>
      </c>
      <c r="U979">
        <v>54</v>
      </c>
    </row>
    <row r="980" spans="1:21" x14ac:dyDescent="0.25">
      <c r="A980" s="2">
        <v>46045.801770833335</v>
      </c>
      <c r="B980" t="s">
        <v>309</v>
      </c>
      <c r="C980" t="s">
        <v>372</v>
      </c>
      <c r="D980">
        <v>3</v>
      </c>
      <c r="E980" t="s">
        <v>34</v>
      </c>
      <c r="F980" t="s">
        <v>373</v>
      </c>
      <c r="G980">
        <f t="shared" si="45"/>
        <v>30.05464480874317</v>
      </c>
      <c r="H980">
        <f t="shared" si="46"/>
        <v>0.18214936247723132</v>
      </c>
      <c r="I980">
        <v>43.83</v>
      </c>
      <c r="J980">
        <f t="shared" si="47"/>
        <v>69.76320582877959</v>
      </c>
      <c r="K980">
        <v>0.9</v>
      </c>
      <c r="L980">
        <v>0.2</v>
      </c>
      <c r="M980">
        <v>0.7</v>
      </c>
      <c r="N980">
        <v>383</v>
      </c>
      <c r="O980">
        <v>165</v>
      </c>
      <c r="P980">
        <v>1</v>
      </c>
      <c r="Q980">
        <v>30.24</v>
      </c>
      <c r="R980" t="s">
        <v>392</v>
      </c>
      <c r="S980">
        <v>0.68</v>
      </c>
      <c r="U980">
        <v>114</v>
      </c>
    </row>
    <row r="981" spans="1:21" x14ac:dyDescent="0.25">
      <c r="A981" s="2">
        <v>46045.802175925928</v>
      </c>
      <c r="B981" t="s">
        <v>309</v>
      </c>
      <c r="C981" t="s">
        <v>372</v>
      </c>
      <c r="D981">
        <v>3</v>
      </c>
      <c r="E981" t="s">
        <v>36</v>
      </c>
      <c r="F981" t="s">
        <v>373</v>
      </c>
      <c r="G981">
        <f t="shared" si="45"/>
        <v>16.811594202898551</v>
      </c>
      <c r="H981">
        <f t="shared" si="46"/>
        <v>0.14492753623188406</v>
      </c>
      <c r="I981">
        <v>43.83</v>
      </c>
      <c r="J981">
        <f t="shared" si="47"/>
        <v>83.043478260869563</v>
      </c>
      <c r="K981">
        <v>0.9</v>
      </c>
      <c r="L981">
        <v>0.2</v>
      </c>
      <c r="M981">
        <v>0.7</v>
      </c>
      <c r="N981">
        <v>573</v>
      </c>
      <c r="O981">
        <v>116</v>
      </c>
      <c r="P981">
        <v>1</v>
      </c>
      <c r="Q981">
        <v>16.96</v>
      </c>
      <c r="R981" t="s">
        <v>392</v>
      </c>
      <c r="S981">
        <v>0.47</v>
      </c>
      <c r="U981">
        <v>42</v>
      </c>
    </row>
    <row r="982" spans="1:21" x14ac:dyDescent="0.25">
      <c r="A982" s="2">
        <v>46045.80259259259</v>
      </c>
      <c r="B982" t="s">
        <v>309</v>
      </c>
      <c r="C982" t="s">
        <v>372</v>
      </c>
      <c r="D982">
        <v>3</v>
      </c>
      <c r="E982" t="s">
        <v>41</v>
      </c>
      <c r="F982" t="s">
        <v>373</v>
      </c>
      <c r="G982">
        <f t="shared" si="45"/>
        <v>0.48465266558966075</v>
      </c>
      <c r="H982">
        <f t="shared" si="46"/>
        <v>0</v>
      </c>
      <c r="I982">
        <v>43.83</v>
      </c>
      <c r="J982">
        <f t="shared" si="47"/>
        <v>99.515347334410336</v>
      </c>
      <c r="K982">
        <v>0.9</v>
      </c>
      <c r="L982">
        <v>0.2</v>
      </c>
      <c r="M982">
        <v>0.7</v>
      </c>
      <c r="N982">
        <v>616</v>
      </c>
      <c r="O982">
        <v>3</v>
      </c>
      <c r="P982">
        <v>0</v>
      </c>
      <c r="Q982">
        <v>0.48</v>
      </c>
      <c r="R982" t="s">
        <v>390</v>
      </c>
      <c r="S982">
        <v>0.01</v>
      </c>
      <c r="U982">
        <v>20</v>
      </c>
    </row>
    <row r="983" spans="1:21" x14ac:dyDescent="0.25">
      <c r="A983" s="2">
        <v>46045.80296296296</v>
      </c>
      <c r="B983" t="s">
        <v>309</v>
      </c>
      <c r="C983" t="s">
        <v>372</v>
      </c>
      <c r="D983">
        <v>3</v>
      </c>
      <c r="E983" t="s">
        <v>42</v>
      </c>
      <c r="F983" t="s">
        <v>373</v>
      </c>
      <c r="G983">
        <f t="shared" si="45"/>
        <v>1.9005847953216373</v>
      </c>
      <c r="H983">
        <f t="shared" si="46"/>
        <v>0</v>
      </c>
      <c r="I983">
        <v>43.83</v>
      </c>
      <c r="J983">
        <f t="shared" si="47"/>
        <v>98.099415204678365</v>
      </c>
      <c r="K983">
        <v>0.9</v>
      </c>
      <c r="L983">
        <v>0.2</v>
      </c>
      <c r="M983">
        <v>0.7</v>
      </c>
      <c r="N983">
        <v>671</v>
      </c>
      <c r="O983">
        <v>13</v>
      </c>
      <c r="P983">
        <v>0</v>
      </c>
      <c r="Q983">
        <v>1.9</v>
      </c>
      <c r="R983" t="s">
        <v>295</v>
      </c>
      <c r="S983">
        <v>0.05</v>
      </c>
      <c r="U983">
        <v>18</v>
      </c>
    </row>
    <row r="984" spans="1:21" x14ac:dyDescent="0.25">
      <c r="A984" s="2">
        <v>46045.803344907406</v>
      </c>
      <c r="B984" t="s">
        <v>309</v>
      </c>
      <c r="C984" t="s">
        <v>372</v>
      </c>
      <c r="D984">
        <v>3</v>
      </c>
      <c r="E984" t="s">
        <v>43</v>
      </c>
      <c r="F984" t="s">
        <v>373</v>
      </c>
      <c r="G984">
        <f t="shared" si="45"/>
        <v>10.460992907801419</v>
      </c>
      <c r="H984">
        <f t="shared" si="46"/>
        <v>0</v>
      </c>
      <c r="I984">
        <v>43.83</v>
      </c>
      <c r="J984">
        <f t="shared" si="47"/>
        <v>89.539007092198588</v>
      </c>
      <c r="K984">
        <v>0.9</v>
      </c>
      <c r="L984">
        <v>0.2</v>
      </c>
      <c r="M984">
        <v>0.7</v>
      </c>
      <c r="N984">
        <v>505</v>
      </c>
      <c r="O984">
        <v>59</v>
      </c>
      <c r="P984">
        <v>0</v>
      </c>
      <c r="Q984">
        <v>10.46</v>
      </c>
      <c r="R984" t="s">
        <v>295</v>
      </c>
      <c r="S984">
        <v>0.24</v>
      </c>
      <c r="U984">
        <v>149</v>
      </c>
    </row>
    <row r="985" spans="1:21" x14ac:dyDescent="0.25">
      <c r="A985" s="2">
        <v>46045.803738425922</v>
      </c>
      <c r="B985" t="s">
        <v>309</v>
      </c>
      <c r="C985" t="s">
        <v>372</v>
      </c>
      <c r="D985">
        <v>3</v>
      </c>
      <c r="E985" t="s">
        <v>54</v>
      </c>
      <c r="F985" t="s">
        <v>373</v>
      </c>
      <c r="G985">
        <f t="shared" si="45"/>
        <v>0.5961251862891207</v>
      </c>
      <c r="H985">
        <f t="shared" si="46"/>
        <v>0</v>
      </c>
      <c r="I985">
        <v>43.83</v>
      </c>
      <c r="J985">
        <f t="shared" si="47"/>
        <v>99.403874813710885</v>
      </c>
      <c r="K985">
        <v>0.9</v>
      </c>
      <c r="L985">
        <v>0.2</v>
      </c>
      <c r="M985">
        <v>0.7</v>
      </c>
      <c r="N985">
        <v>667</v>
      </c>
      <c r="O985">
        <v>4</v>
      </c>
      <c r="P985">
        <v>0</v>
      </c>
      <c r="Q985">
        <v>0.6</v>
      </c>
      <c r="R985" t="s">
        <v>390</v>
      </c>
      <c r="S985">
        <v>0.02</v>
      </c>
      <c r="U985">
        <v>5</v>
      </c>
    </row>
    <row r="986" spans="1:21" x14ac:dyDescent="0.25">
      <c r="A986" s="2">
        <v>46045.804108796299</v>
      </c>
      <c r="B986" t="s">
        <v>309</v>
      </c>
      <c r="C986" t="s">
        <v>372</v>
      </c>
      <c r="D986">
        <v>3</v>
      </c>
      <c r="E986" t="s">
        <v>75</v>
      </c>
      <c r="F986" t="s">
        <v>373</v>
      </c>
      <c r="G986">
        <f t="shared" si="45"/>
        <v>1.6949152542372881</v>
      </c>
      <c r="H986">
        <f t="shared" si="46"/>
        <v>0</v>
      </c>
      <c r="I986">
        <v>43.83</v>
      </c>
      <c r="J986">
        <f t="shared" si="47"/>
        <v>98.305084745762713</v>
      </c>
      <c r="K986">
        <v>0.9</v>
      </c>
      <c r="L986">
        <v>0.2</v>
      </c>
      <c r="M986">
        <v>0.7</v>
      </c>
      <c r="N986">
        <v>638</v>
      </c>
      <c r="O986">
        <v>11</v>
      </c>
      <c r="P986">
        <v>0</v>
      </c>
      <c r="Q986">
        <v>1.69</v>
      </c>
      <c r="R986" t="s">
        <v>390</v>
      </c>
      <c r="S986">
        <v>0.04</v>
      </c>
      <c r="U986">
        <v>28</v>
      </c>
    </row>
    <row r="987" spans="1:21" x14ac:dyDescent="0.25">
      <c r="A987" s="2">
        <v>46045.804490740738</v>
      </c>
      <c r="B987" t="s">
        <v>309</v>
      </c>
      <c r="C987" t="s">
        <v>372</v>
      </c>
      <c r="D987">
        <v>3</v>
      </c>
      <c r="E987" t="s">
        <v>324</v>
      </c>
      <c r="F987" t="s">
        <v>373</v>
      </c>
      <c r="G987">
        <f t="shared" si="45"/>
        <v>38.775510204081634</v>
      </c>
      <c r="H987">
        <f t="shared" si="46"/>
        <v>0.51020408163265307</v>
      </c>
      <c r="I987">
        <v>43.83</v>
      </c>
      <c r="J987">
        <f t="shared" si="47"/>
        <v>60.714285714285708</v>
      </c>
      <c r="K987">
        <v>0.9</v>
      </c>
      <c r="L987">
        <v>0.2</v>
      </c>
      <c r="M987">
        <v>0.7</v>
      </c>
      <c r="N987">
        <v>357</v>
      </c>
      <c r="O987">
        <v>228</v>
      </c>
      <c r="P987">
        <v>3</v>
      </c>
      <c r="Q987">
        <v>39.29</v>
      </c>
      <c r="R987" t="s">
        <v>385</v>
      </c>
      <c r="S987">
        <v>0.95</v>
      </c>
      <c r="U987">
        <v>135</v>
      </c>
    </row>
    <row r="988" spans="1:21" x14ac:dyDescent="0.25">
      <c r="A988" s="2">
        <v>46045.804918981485</v>
      </c>
      <c r="B988" t="s">
        <v>309</v>
      </c>
      <c r="C988" t="s">
        <v>372</v>
      </c>
      <c r="D988">
        <v>3</v>
      </c>
      <c r="E988" t="s">
        <v>118</v>
      </c>
      <c r="F988" t="s">
        <v>373</v>
      </c>
      <c r="G988">
        <f t="shared" si="45"/>
        <v>6.3934426229508192</v>
      </c>
      <c r="H988">
        <f t="shared" si="46"/>
        <v>0.16393442622950818</v>
      </c>
      <c r="I988">
        <v>43.83</v>
      </c>
      <c r="J988">
        <f t="shared" si="47"/>
        <v>93.442622950819683</v>
      </c>
      <c r="K988">
        <v>0.9</v>
      </c>
      <c r="L988">
        <v>0.2</v>
      </c>
      <c r="M988">
        <v>0.7</v>
      </c>
      <c r="N988">
        <v>570</v>
      </c>
      <c r="O988">
        <v>39</v>
      </c>
      <c r="P988">
        <v>1</v>
      </c>
      <c r="Q988">
        <v>6.56</v>
      </c>
      <c r="R988" t="s">
        <v>295</v>
      </c>
      <c r="S988">
        <v>0.15</v>
      </c>
      <c r="U988">
        <v>105</v>
      </c>
    </row>
    <row r="989" spans="1:21" x14ac:dyDescent="0.25">
      <c r="A989" s="2">
        <v>46045.805312500001</v>
      </c>
      <c r="B989" t="s">
        <v>309</v>
      </c>
      <c r="C989" t="s">
        <v>372</v>
      </c>
      <c r="D989">
        <v>3</v>
      </c>
      <c r="E989" t="s">
        <v>137</v>
      </c>
      <c r="F989" t="s">
        <v>373</v>
      </c>
      <c r="G989">
        <f t="shared" si="45"/>
        <v>83.567415730337075</v>
      </c>
      <c r="H989">
        <f t="shared" si="46"/>
        <v>1.4044943820224718</v>
      </c>
      <c r="I989">
        <v>43.83</v>
      </c>
      <c r="J989">
        <f t="shared" si="47"/>
        <v>15.02808988764045</v>
      </c>
      <c r="K989">
        <v>0.9</v>
      </c>
      <c r="L989">
        <v>0.2</v>
      </c>
      <c r="M989">
        <v>0.7</v>
      </c>
      <c r="N989">
        <v>107</v>
      </c>
      <c r="O989">
        <v>595</v>
      </c>
      <c r="P989">
        <v>10</v>
      </c>
      <c r="Q989">
        <v>84.97</v>
      </c>
      <c r="R989" t="s">
        <v>399</v>
      </c>
      <c r="S989">
        <v>2.52</v>
      </c>
      <c r="U989">
        <v>40</v>
      </c>
    </row>
    <row r="990" spans="1:21" x14ac:dyDescent="0.25">
      <c r="A990" s="2">
        <v>46045.805833333332</v>
      </c>
      <c r="B990" t="s">
        <v>309</v>
      </c>
      <c r="C990" t="s">
        <v>372</v>
      </c>
      <c r="D990">
        <v>3</v>
      </c>
      <c r="E990" t="s">
        <v>162</v>
      </c>
      <c r="F990" t="s">
        <v>373</v>
      </c>
      <c r="G990">
        <f t="shared" si="45"/>
        <v>1.0401188707280831</v>
      </c>
      <c r="H990">
        <f t="shared" si="46"/>
        <v>0</v>
      </c>
      <c r="I990">
        <v>43.83</v>
      </c>
      <c r="J990">
        <f t="shared" si="47"/>
        <v>98.95988112927192</v>
      </c>
      <c r="K990">
        <v>0.9</v>
      </c>
      <c r="L990">
        <v>0.2</v>
      </c>
      <c r="M990">
        <v>0.7</v>
      </c>
      <c r="N990">
        <v>666</v>
      </c>
      <c r="O990">
        <v>7</v>
      </c>
      <c r="P990">
        <v>0</v>
      </c>
      <c r="Q990">
        <v>1.04</v>
      </c>
      <c r="R990" t="s">
        <v>390</v>
      </c>
      <c r="S990">
        <v>0.03</v>
      </c>
      <c r="U990">
        <v>20</v>
      </c>
    </row>
    <row r="991" spans="1:21" x14ac:dyDescent="0.25">
      <c r="A991" s="2">
        <v>46045.806215277778</v>
      </c>
      <c r="B991" t="s">
        <v>309</v>
      </c>
      <c r="C991" t="s">
        <v>372</v>
      </c>
      <c r="D991">
        <v>3</v>
      </c>
      <c r="E991" t="s">
        <v>179</v>
      </c>
      <c r="F991" t="s">
        <v>373</v>
      </c>
      <c r="G991">
        <f t="shared" si="45"/>
        <v>17.884914463452567</v>
      </c>
      <c r="H991">
        <f t="shared" si="46"/>
        <v>0.15552099533437014</v>
      </c>
      <c r="I991">
        <v>43.83</v>
      </c>
      <c r="J991">
        <f t="shared" si="47"/>
        <v>81.959564541213055</v>
      </c>
      <c r="K991">
        <v>0.9</v>
      </c>
      <c r="L991">
        <v>0.2</v>
      </c>
      <c r="M991">
        <v>0.7</v>
      </c>
      <c r="N991">
        <v>527</v>
      </c>
      <c r="O991">
        <v>115</v>
      </c>
      <c r="P991">
        <v>1</v>
      </c>
      <c r="Q991">
        <v>18.04</v>
      </c>
      <c r="R991" t="s">
        <v>392</v>
      </c>
      <c r="S991">
        <v>0.48</v>
      </c>
      <c r="U991">
        <v>81</v>
      </c>
    </row>
    <row r="992" spans="1:21" x14ac:dyDescent="0.25">
      <c r="A992" s="2">
        <v>46045.806631944448</v>
      </c>
      <c r="B992" t="s">
        <v>309</v>
      </c>
      <c r="C992" t="s">
        <v>372</v>
      </c>
      <c r="D992">
        <v>3</v>
      </c>
      <c r="E992" t="s">
        <v>204</v>
      </c>
      <c r="F992" t="s">
        <v>373</v>
      </c>
      <c r="G992">
        <f t="shared" si="45"/>
        <v>0.91407678244972579</v>
      </c>
      <c r="H992">
        <f t="shared" si="46"/>
        <v>0</v>
      </c>
      <c r="I992">
        <v>43.83</v>
      </c>
      <c r="J992">
        <f t="shared" si="47"/>
        <v>99.085923217550274</v>
      </c>
      <c r="K992">
        <v>0.9</v>
      </c>
      <c r="L992">
        <v>0.2</v>
      </c>
      <c r="M992">
        <v>0.7</v>
      </c>
      <c r="N992">
        <v>542</v>
      </c>
      <c r="O992">
        <v>5</v>
      </c>
      <c r="P992">
        <v>0</v>
      </c>
      <c r="Q992">
        <v>0.91</v>
      </c>
      <c r="R992" t="s">
        <v>379</v>
      </c>
      <c r="S992">
        <v>0.02</v>
      </c>
      <c r="U992">
        <v>21</v>
      </c>
    </row>
    <row r="993" spans="1:21" x14ac:dyDescent="0.25">
      <c r="A993" s="2">
        <v>46045.806990740741</v>
      </c>
      <c r="B993" t="s">
        <v>309</v>
      </c>
      <c r="C993" t="s">
        <v>372</v>
      </c>
      <c r="D993">
        <v>3</v>
      </c>
      <c r="E993" t="s">
        <v>207</v>
      </c>
      <c r="F993" t="s">
        <v>373</v>
      </c>
      <c r="G993">
        <f t="shared" si="45"/>
        <v>6.2717770034843205</v>
      </c>
      <c r="H993">
        <f t="shared" si="46"/>
        <v>0</v>
      </c>
      <c r="I993">
        <v>43.83</v>
      </c>
      <c r="J993">
        <f t="shared" si="47"/>
        <v>93.728222996515669</v>
      </c>
      <c r="K993">
        <v>0.9</v>
      </c>
      <c r="L993">
        <v>0.2</v>
      </c>
      <c r="M993">
        <v>0.7</v>
      </c>
      <c r="N993">
        <v>538</v>
      </c>
      <c r="O993">
        <v>36</v>
      </c>
      <c r="P993">
        <v>0</v>
      </c>
      <c r="Q993">
        <v>6.27</v>
      </c>
      <c r="R993" t="s">
        <v>390</v>
      </c>
      <c r="S993">
        <v>0.17</v>
      </c>
      <c r="U993">
        <v>62</v>
      </c>
    </row>
    <row r="994" spans="1:21" x14ac:dyDescent="0.25">
      <c r="A994" s="2">
        <v>46045.80736111111</v>
      </c>
      <c r="B994" t="s">
        <v>309</v>
      </c>
      <c r="C994" t="s">
        <v>372</v>
      </c>
      <c r="D994">
        <v>3</v>
      </c>
      <c r="E994" t="s">
        <v>212</v>
      </c>
      <c r="F994" t="s">
        <v>373</v>
      </c>
      <c r="G994">
        <f t="shared" si="45"/>
        <v>42.25352112676056</v>
      </c>
      <c r="H994">
        <f t="shared" si="46"/>
        <v>0.93896713615023475</v>
      </c>
      <c r="I994">
        <v>43.83</v>
      </c>
      <c r="J994">
        <f t="shared" si="47"/>
        <v>56.8075117370892</v>
      </c>
      <c r="K994">
        <v>0.9</v>
      </c>
      <c r="L994">
        <v>0.2</v>
      </c>
      <c r="M994">
        <v>0.7</v>
      </c>
      <c r="N994">
        <v>363</v>
      </c>
      <c r="O994">
        <v>270</v>
      </c>
      <c r="P994">
        <v>6</v>
      </c>
      <c r="Q994">
        <v>43.19</v>
      </c>
      <c r="R994" t="s">
        <v>385</v>
      </c>
      <c r="S994">
        <v>1.1499999999999999</v>
      </c>
      <c r="U994">
        <v>54</v>
      </c>
    </row>
    <row r="995" spans="1:21" x14ac:dyDescent="0.25">
      <c r="A995" s="2">
        <v>46045.801805555559</v>
      </c>
      <c r="B995" t="s">
        <v>309</v>
      </c>
      <c r="C995" t="s">
        <v>372</v>
      </c>
      <c r="D995">
        <v>3</v>
      </c>
      <c r="E995" t="s">
        <v>34</v>
      </c>
      <c r="F995" t="s">
        <v>373</v>
      </c>
      <c r="G995">
        <f t="shared" si="45"/>
        <v>30.05464480874317</v>
      </c>
      <c r="H995">
        <f t="shared" si="46"/>
        <v>0.18214936247723132</v>
      </c>
      <c r="I995">
        <v>43.83</v>
      </c>
      <c r="J995">
        <f t="shared" si="47"/>
        <v>69.76320582877959</v>
      </c>
      <c r="K995">
        <v>0.9</v>
      </c>
      <c r="L995">
        <v>0.2</v>
      </c>
      <c r="M995">
        <v>0.7</v>
      </c>
      <c r="N995">
        <v>383</v>
      </c>
      <c r="O995">
        <v>165</v>
      </c>
      <c r="P995">
        <v>1</v>
      </c>
      <c r="Q995">
        <v>30.24</v>
      </c>
      <c r="R995" t="s">
        <v>392</v>
      </c>
      <c r="S995">
        <v>0.68</v>
      </c>
      <c r="U995">
        <v>114</v>
      </c>
    </row>
    <row r="996" spans="1:21" x14ac:dyDescent="0.25">
      <c r="A996" s="2">
        <v>46045.802210648151</v>
      </c>
      <c r="B996" t="s">
        <v>309</v>
      </c>
      <c r="C996" t="s">
        <v>372</v>
      </c>
      <c r="D996">
        <v>3</v>
      </c>
      <c r="E996" t="s">
        <v>36</v>
      </c>
      <c r="F996" t="s">
        <v>373</v>
      </c>
      <c r="G996">
        <f t="shared" si="45"/>
        <v>16.811594202898551</v>
      </c>
      <c r="H996">
        <f t="shared" si="46"/>
        <v>0.14492753623188406</v>
      </c>
      <c r="I996">
        <v>43.83</v>
      </c>
      <c r="J996">
        <f t="shared" si="47"/>
        <v>83.043478260869563</v>
      </c>
      <c r="K996">
        <v>0.9</v>
      </c>
      <c r="L996">
        <v>0.2</v>
      </c>
      <c r="M996">
        <v>0.7</v>
      </c>
      <c r="N996">
        <v>573</v>
      </c>
      <c r="O996">
        <v>116</v>
      </c>
      <c r="P996">
        <v>1</v>
      </c>
      <c r="Q996">
        <v>16.96</v>
      </c>
      <c r="R996" t="s">
        <v>392</v>
      </c>
      <c r="S996">
        <v>0.47</v>
      </c>
      <c r="U996">
        <v>42</v>
      </c>
    </row>
    <row r="997" spans="1:21" x14ac:dyDescent="0.25">
      <c r="A997" s="2">
        <v>46045.802627314813</v>
      </c>
      <c r="B997" t="s">
        <v>309</v>
      </c>
      <c r="C997" t="s">
        <v>372</v>
      </c>
      <c r="D997">
        <v>3</v>
      </c>
      <c r="E997" t="s">
        <v>41</v>
      </c>
      <c r="F997" t="s">
        <v>373</v>
      </c>
      <c r="G997">
        <f t="shared" si="45"/>
        <v>0.48465266558966075</v>
      </c>
      <c r="H997">
        <f t="shared" si="46"/>
        <v>0</v>
      </c>
      <c r="I997">
        <v>43.83</v>
      </c>
      <c r="J997">
        <f t="shared" si="47"/>
        <v>99.515347334410336</v>
      </c>
      <c r="K997">
        <v>0.9</v>
      </c>
      <c r="L997">
        <v>0.2</v>
      </c>
      <c r="M997">
        <v>0.7</v>
      </c>
      <c r="N997">
        <v>616</v>
      </c>
      <c r="O997">
        <v>3</v>
      </c>
      <c r="P997">
        <v>0</v>
      </c>
      <c r="Q997">
        <v>0.48</v>
      </c>
      <c r="R997" t="s">
        <v>384</v>
      </c>
      <c r="S997">
        <v>0.01</v>
      </c>
      <c r="U997">
        <v>20</v>
      </c>
    </row>
    <row r="998" spans="1:21" x14ac:dyDescent="0.25">
      <c r="A998" s="2">
        <v>46045.802986111114</v>
      </c>
      <c r="B998" t="s">
        <v>309</v>
      </c>
      <c r="C998" t="s">
        <v>372</v>
      </c>
      <c r="D998">
        <v>3</v>
      </c>
      <c r="E998" t="s">
        <v>42</v>
      </c>
      <c r="F998" t="s">
        <v>373</v>
      </c>
      <c r="G998">
        <f t="shared" si="45"/>
        <v>1.9005847953216373</v>
      </c>
      <c r="H998">
        <f t="shared" si="46"/>
        <v>0</v>
      </c>
      <c r="I998">
        <v>43.83</v>
      </c>
      <c r="J998">
        <f t="shared" si="47"/>
        <v>98.099415204678365</v>
      </c>
      <c r="K998">
        <v>0.9</v>
      </c>
      <c r="L998">
        <v>0.2</v>
      </c>
      <c r="M998">
        <v>0.7</v>
      </c>
      <c r="N998">
        <v>671</v>
      </c>
      <c r="O998">
        <v>13</v>
      </c>
      <c r="P998">
        <v>0</v>
      </c>
      <c r="Q998">
        <v>1.9</v>
      </c>
      <c r="R998" t="s">
        <v>390</v>
      </c>
      <c r="S998">
        <v>0.05</v>
      </c>
      <c r="U998">
        <v>18</v>
      </c>
    </row>
    <row r="999" spans="1:21" x14ac:dyDescent="0.25">
      <c r="A999" s="2">
        <v>46045.803368055553</v>
      </c>
      <c r="B999" t="s">
        <v>309</v>
      </c>
      <c r="C999" t="s">
        <v>372</v>
      </c>
      <c r="D999">
        <v>3</v>
      </c>
      <c r="E999" t="s">
        <v>43</v>
      </c>
      <c r="F999" t="s">
        <v>373</v>
      </c>
      <c r="G999">
        <f t="shared" si="45"/>
        <v>10.460992907801419</v>
      </c>
      <c r="H999">
        <f t="shared" si="46"/>
        <v>0</v>
      </c>
      <c r="I999">
        <v>43.83</v>
      </c>
      <c r="J999">
        <f t="shared" si="47"/>
        <v>89.539007092198588</v>
      </c>
      <c r="K999">
        <v>0.9</v>
      </c>
      <c r="L999">
        <v>0.2</v>
      </c>
      <c r="M999">
        <v>0.7</v>
      </c>
      <c r="N999">
        <v>505</v>
      </c>
      <c r="O999">
        <v>59</v>
      </c>
      <c r="P999">
        <v>0</v>
      </c>
      <c r="Q999">
        <v>10.46</v>
      </c>
      <c r="R999" t="s">
        <v>295</v>
      </c>
      <c r="S999">
        <v>0.24</v>
      </c>
      <c r="U999">
        <v>149</v>
      </c>
    </row>
    <row r="1000" spans="1:21" x14ac:dyDescent="0.25">
      <c r="A1000" s="2">
        <v>46045.803761574076</v>
      </c>
      <c r="B1000" t="s">
        <v>309</v>
      </c>
      <c r="C1000" t="s">
        <v>372</v>
      </c>
      <c r="D1000">
        <v>3</v>
      </c>
      <c r="E1000" t="s">
        <v>54</v>
      </c>
      <c r="F1000" t="s">
        <v>373</v>
      </c>
      <c r="G1000">
        <f t="shared" si="45"/>
        <v>0.5961251862891207</v>
      </c>
      <c r="H1000">
        <f t="shared" si="46"/>
        <v>0</v>
      </c>
      <c r="I1000">
        <v>43.83</v>
      </c>
      <c r="J1000">
        <f t="shared" si="47"/>
        <v>99.403874813710885</v>
      </c>
      <c r="K1000">
        <v>0.9</v>
      </c>
      <c r="L1000">
        <v>0.2</v>
      </c>
      <c r="M1000">
        <v>0.7</v>
      </c>
      <c r="N1000">
        <v>667</v>
      </c>
      <c r="O1000">
        <v>4</v>
      </c>
      <c r="P1000">
        <v>0</v>
      </c>
      <c r="Q1000">
        <v>0.6</v>
      </c>
      <c r="R1000" t="s">
        <v>390</v>
      </c>
      <c r="S1000">
        <v>0.02</v>
      </c>
      <c r="U1000">
        <v>5</v>
      </c>
    </row>
    <row r="1001" spans="1:21" x14ac:dyDescent="0.25">
      <c r="A1001" s="2">
        <v>46045.804131944446</v>
      </c>
      <c r="B1001" t="s">
        <v>309</v>
      </c>
      <c r="C1001" t="s">
        <v>372</v>
      </c>
      <c r="D1001">
        <v>3</v>
      </c>
      <c r="E1001" t="s">
        <v>75</v>
      </c>
      <c r="F1001" t="s">
        <v>373</v>
      </c>
      <c r="G1001">
        <f t="shared" si="45"/>
        <v>1.6949152542372881</v>
      </c>
      <c r="H1001">
        <f t="shared" si="46"/>
        <v>0</v>
      </c>
      <c r="I1001">
        <v>43.83</v>
      </c>
      <c r="J1001">
        <f t="shared" si="47"/>
        <v>98.305084745762713</v>
      </c>
      <c r="K1001">
        <v>0.9</v>
      </c>
      <c r="L1001">
        <v>0.2</v>
      </c>
      <c r="M1001">
        <v>0.7</v>
      </c>
      <c r="N1001">
        <v>638</v>
      </c>
      <c r="O1001">
        <v>11</v>
      </c>
      <c r="P1001">
        <v>0</v>
      </c>
      <c r="Q1001">
        <v>1.69</v>
      </c>
      <c r="R1001" t="s">
        <v>390</v>
      </c>
      <c r="S1001">
        <v>0.04</v>
      </c>
      <c r="U1001">
        <v>28</v>
      </c>
    </row>
    <row r="1002" spans="1:21" x14ac:dyDescent="0.25">
      <c r="A1002" s="2">
        <v>46045.804502314815</v>
      </c>
      <c r="B1002" t="s">
        <v>309</v>
      </c>
      <c r="C1002" t="s">
        <v>372</v>
      </c>
      <c r="D1002">
        <v>3</v>
      </c>
      <c r="E1002" t="s">
        <v>324</v>
      </c>
      <c r="F1002" t="s">
        <v>373</v>
      </c>
      <c r="G1002">
        <f t="shared" si="45"/>
        <v>38.775510204081634</v>
      </c>
      <c r="H1002">
        <f t="shared" si="46"/>
        <v>0.51020408163265307</v>
      </c>
      <c r="I1002">
        <v>43.83</v>
      </c>
      <c r="J1002">
        <f t="shared" si="47"/>
        <v>60.714285714285708</v>
      </c>
      <c r="K1002">
        <v>0.9</v>
      </c>
      <c r="L1002">
        <v>0.2</v>
      </c>
      <c r="M1002">
        <v>0.7</v>
      </c>
      <c r="N1002">
        <v>357</v>
      </c>
      <c r="O1002">
        <v>228</v>
      </c>
      <c r="P1002">
        <v>3</v>
      </c>
      <c r="Q1002">
        <v>39.29</v>
      </c>
      <c r="R1002" t="s">
        <v>385</v>
      </c>
      <c r="S1002">
        <v>0.95</v>
      </c>
      <c r="U1002">
        <v>135</v>
      </c>
    </row>
    <row r="1003" spans="1:21" x14ac:dyDescent="0.25">
      <c r="A1003" s="2">
        <v>46045.804942129631</v>
      </c>
      <c r="B1003" t="s">
        <v>309</v>
      </c>
      <c r="C1003" t="s">
        <v>372</v>
      </c>
      <c r="D1003">
        <v>3</v>
      </c>
      <c r="E1003" t="s">
        <v>118</v>
      </c>
      <c r="F1003" t="s">
        <v>373</v>
      </c>
      <c r="G1003">
        <f t="shared" si="45"/>
        <v>6.3934426229508192</v>
      </c>
      <c r="H1003">
        <f t="shared" si="46"/>
        <v>0.16393442622950818</v>
      </c>
      <c r="I1003">
        <v>43.83</v>
      </c>
      <c r="J1003">
        <f t="shared" si="47"/>
        <v>93.442622950819683</v>
      </c>
      <c r="K1003">
        <v>0.9</v>
      </c>
      <c r="L1003">
        <v>0.2</v>
      </c>
      <c r="M1003">
        <v>0.7</v>
      </c>
      <c r="N1003">
        <v>570</v>
      </c>
      <c r="O1003">
        <v>39</v>
      </c>
      <c r="P1003">
        <v>1</v>
      </c>
      <c r="Q1003">
        <v>6.56</v>
      </c>
      <c r="R1003" t="s">
        <v>295</v>
      </c>
      <c r="S1003">
        <v>0.15</v>
      </c>
      <c r="U1003">
        <v>105</v>
      </c>
    </row>
    <row r="1004" spans="1:21" x14ac:dyDescent="0.25">
      <c r="A1004" s="2">
        <v>46045.805324074077</v>
      </c>
      <c r="B1004" t="s">
        <v>309</v>
      </c>
      <c r="C1004" t="s">
        <v>372</v>
      </c>
      <c r="D1004">
        <v>3</v>
      </c>
      <c r="E1004" t="s">
        <v>137</v>
      </c>
      <c r="F1004" t="s">
        <v>373</v>
      </c>
      <c r="G1004">
        <f t="shared" si="45"/>
        <v>83.567415730337075</v>
      </c>
      <c r="H1004">
        <f t="shared" si="46"/>
        <v>1.4044943820224718</v>
      </c>
      <c r="I1004">
        <v>43.83</v>
      </c>
      <c r="J1004">
        <f t="shared" si="47"/>
        <v>15.02808988764045</v>
      </c>
      <c r="K1004">
        <v>0.9</v>
      </c>
      <c r="L1004">
        <v>0.2</v>
      </c>
      <c r="M1004">
        <v>0.7</v>
      </c>
      <c r="N1004">
        <v>107</v>
      </c>
      <c r="O1004">
        <v>595</v>
      </c>
      <c r="P1004">
        <v>10</v>
      </c>
      <c r="Q1004">
        <v>84.97</v>
      </c>
      <c r="R1004" t="s">
        <v>399</v>
      </c>
      <c r="S1004">
        <v>2.52</v>
      </c>
      <c r="U1004">
        <v>40</v>
      </c>
    </row>
    <row r="1005" spans="1:21" x14ac:dyDescent="0.25">
      <c r="A1005" s="2">
        <v>46045.805856481478</v>
      </c>
      <c r="B1005" t="s">
        <v>309</v>
      </c>
      <c r="C1005" t="s">
        <v>372</v>
      </c>
      <c r="D1005">
        <v>3</v>
      </c>
      <c r="E1005" t="s">
        <v>162</v>
      </c>
      <c r="F1005" t="s">
        <v>373</v>
      </c>
      <c r="G1005">
        <f t="shared" si="45"/>
        <v>1.0401188707280831</v>
      </c>
      <c r="H1005">
        <f t="shared" si="46"/>
        <v>0</v>
      </c>
      <c r="I1005">
        <v>43.83</v>
      </c>
      <c r="J1005">
        <f t="shared" si="47"/>
        <v>98.95988112927192</v>
      </c>
      <c r="K1005">
        <v>0.9</v>
      </c>
      <c r="L1005">
        <v>0.2</v>
      </c>
      <c r="M1005">
        <v>0.7</v>
      </c>
      <c r="N1005">
        <v>666</v>
      </c>
      <c r="O1005">
        <v>7</v>
      </c>
      <c r="P1005">
        <v>0</v>
      </c>
      <c r="Q1005">
        <v>1.04</v>
      </c>
      <c r="R1005" t="s">
        <v>390</v>
      </c>
      <c r="S1005">
        <v>0.03</v>
      </c>
      <c r="U1005">
        <v>20</v>
      </c>
    </row>
    <row r="1006" spans="1:21" x14ac:dyDescent="0.25">
      <c r="A1006" s="2">
        <v>46045.806226851855</v>
      </c>
      <c r="B1006" t="s">
        <v>309</v>
      </c>
      <c r="C1006" t="s">
        <v>372</v>
      </c>
      <c r="D1006">
        <v>3</v>
      </c>
      <c r="E1006" t="s">
        <v>179</v>
      </c>
      <c r="F1006" t="s">
        <v>373</v>
      </c>
      <c r="G1006">
        <f t="shared" si="45"/>
        <v>17.912772585669781</v>
      </c>
      <c r="H1006">
        <f t="shared" si="46"/>
        <v>0</v>
      </c>
      <c r="I1006">
        <v>43.83</v>
      </c>
      <c r="J1006">
        <f t="shared" si="47"/>
        <v>82.087227414330215</v>
      </c>
      <c r="K1006">
        <v>0.9</v>
      </c>
      <c r="L1006">
        <v>0.2</v>
      </c>
      <c r="M1006">
        <v>0.7</v>
      </c>
      <c r="N1006">
        <v>527</v>
      </c>
      <c r="O1006">
        <v>115</v>
      </c>
      <c r="P1006">
        <v>0</v>
      </c>
      <c r="Q1006">
        <v>17.91</v>
      </c>
      <c r="R1006" t="s">
        <v>392</v>
      </c>
      <c r="S1006">
        <v>0.48</v>
      </c>
      <c r="U1006">
        <v>82</v>
      </c>
    </row>
    <row r="1007" spans="1:21" x14ac:dyDescent="0.25">
      <c r="A1007" s="2">
        <v>46045.806643518517</v>
      </c>
      <c r="B1007" t="s">
        <v>309</v>
      </c>
      <c r="C1007" t="s">
        <v>372</v>
      </c>
      <c r="D1007">
        <v>3</v>
      </c>
      <c r="E1007" t="s">
        <v>204</v>
      </c>
      <c r="F1007" t="s">
        <v>373</v>
      </c>
      <c r="G1007">
        <f t="shared" si="45"/>
        <v>0.91407678244972579</v>
      </c>
      <c r="H1007">
        <f t="shared" si="46"/>
        <v>0</v>
      </c>
      <c r="I1007">
        <v>43.83</v>
      </c>
      <c r="J1007">
        <f t="shared" si="47"/>
        <v>99.085923217550274</v>
      </c>
      <c r="K1007">
        <v>0.9</v>
      </c>
      <c r="L1007">
        <v>0.2</v>
      </c>
      <c r="M1007">
        <v>0.7</v>
      </c>
      <c r="N1007">
        <v>542</v>
      </c>
      <c r="O1007">
        <v>5</v>
      </c>
      <c r="P1007">
        <v>0</v>
      </c>
      <c r="Q1007">
        <v>0.91</v>
      </c>
      <c r="R1007" t="s">
        <v>379</v>
      </c>
      <c r="S1007">
        <v>0.02</v>
      </c>
      <c r="U1007">
        <v>21</v>
      </c>
    </row>
    <row r="1008" spans="1:21" x14ac:dyDescent="0.25">
      <c r="A1008" s="2">
        <v>46045.807002314818</v>
      </c>
      <c r="B1008" t="s">
        <v>309</v>
      </c>
      <c r="C1008" t="s">
        <v>372</v>
      </c>
      <c r="D1008">
        <v>3</v>
      </c>
      <c r="E1008" t="s">
        <v>207</v>
      </c>
      <c r="F1008" t="s">
        <v>373</v>
      </c>
      <c r="G1008">
        <f t="shared" si="45"/>
        <v>6.2717770034843205</v>
      </c>
      <c r="H1008">
        <f t="shared" si="46"/>
        <v>0</v>
      </c>
      <c r="I1008">
        <v>43.83</v>
      </c>
      <c r="J1008">
        <f t="shared" si="47"/>
        <v>93.728222996515669</v>
      </c>
      <c r="K1008">
        <v>0.9</v>
      </c>
      <c r="L1008">
        <v>0.2</v>
      </c>
      <c r="M1008">
        <v>0.7</v>
      </c>
      <c r="N1008">
        <v>538</v>
      </c>
      <c r="O1008">
        <v>36</v>
      </c>
      <c r="P1008">
        <v>0</v>
      </c>
      <c r="Q1008">
        <v>6.27</v>
      </c>
      <c r="R1008" t="s">
        <v>390</v>
      </c>
      <c r="S1008">
        <v>0.17</v>
      </c>
      <c r="U1008">
        <v>62</v>
      </c>
    </row>
    <row r="1009" spans="1:21" x14ac:dyDescent="0.25">
      <c r="A1009" s="2">
        <v>46045.807372685187</v>
      </c>
      <c r="B1009" t="s">
        <v>309</v>
      </c>
      <c r="C1009" t="s">
        <v>372</v>
      </c>
      <c r="D1009">
        <v>3</v>
      </c>
      <c r="E1009" t="s">
        <v>212</v>
      </c>
      <c r="F1009" t="s">
        <v>373</v>
      </c>
      <c r="G1009">
        <f t="shared" si="45"/>
        <v>42.25352112676056</v>
      </c>
      <c r="H1009">
        <f t="shared" si="46"/>
        <v>0.93896713615023475</v>
      </c>
      <c r="I1009">
        <v>43.83</v>
      </c>
      <c r="J1009">
        <f t="shared" si="47"/>
        <v>56.8075117370892</v>
      </c>
      <c r="K1009">
        <v>0.9</v>
      </c>
      <c r="L1009">
        <v>0.2</v>
      </c>
      <c r="M1009">
        <v>0.7</v>
      </c>
      <c r="N1009">
        <v>363</v>
      </c>
      <c r="O1009">
        <v>270</v>
      </c>
      <c r="P1009">
        <v>6</v>
      </c>
      <c r="Q1009">
        <v>43.19</v>
      </c>
      <c r="R1009" t="s">
        <v>385</v>
      </c>
      <c r="S1009">
        <v>1.1499999999999999</v>
      </c>
      <c r="U1009">
        <v>54</v>
      </c>
    </row>
    <row r="1010" spans="1:21" x14ac:dyDescent="0.25">
      <c r="A1010" s="2">
        <v>46045.826516203706</v>
      </c>
      <c r="B1010" t="s">
        <v>309</v>
      </c>
      <c r="C1010" t="s">
        <v>372</v>
      </c>
      <c r="D1010">
        <v>3</v>
      </c>
      <c r="E1010" t="s">
        <v>34</v>
      </c>
      <c r="F1010" t="s">
        <v>373</v>
      </c>
      <c r="G1010">
        <f t="shared" si="45"/>
        <v>28.896672504378284</v>
      </c>
      <c r="H1010">
        <f t="shared" si="46"/>
        <v>0.17513134851138354</v>
      </c>
      <c r="I1010">
        <v>43.83</v>
      </c>
      <c r="J1010">
        <f t="shared" si="47"/>
        <v>70.928196147110327</v>
      </c>
      <c r="K1010">
        <v>0.9</v>
      </c>
      <c r="L1010">
        <v>0.3</v>
      </c>
      <c r="M1010">
        <v>0.7</v>
      </c>
      <c r="N1010">
        <v>405</v>
      </c>
      <c r="O1010">
        <v>165</v>
      </c>
      <c r="P1010">
        <v>1</v>
      </c>
      <c r="Q1010">
        <v>29.07</v>
      </c>
      <c r="R1010" t="s">
        <v>378</v>
      </c>
      <c r="S1010">
        <v>0.68</v>
      </c>
      <c r="U1010">
        <v>92</v>
      </c>
    </row>
    <row r="1011" spans="1:21" x14ac:dyDescent="0.25">
      <c r="A1011" s="2">
        <v>46045.826909722222</v>
      </c>
      <c r="B1011" t="s">
        <v>309</v>
      </c>
      <c r="C1011" t="s">
        <v>372</v>
      </c>
      <c r="D1011">
        <v>3</v>
      </c>
      <c r="E1011" t="s">
        <v>36</v>
      </c>
      <c r="F1011" t="s">
        <v>373</v>
      </c>
      <c r="G1011">
        <f t="shared" si="45"/>
        <v>16.714697406340058</v>
      </c>
      <c r="H1011">
        <f t="shared" si="46"/>
        <v>0.14409221902017291</v>
      </c>
      <c r="I1011">
        <v>43.83</v>
      </c>
      <c r="J1011">
        <f t="shared" si="47"/>
        <v>83.141210374639769</v>
      </c>
      <c r="K1011">
        <v>0.9</v>
      </c>
      <c r="L1011">
        <v>0.3</v>
      </c>
      <c r="M1011">
        <v>0.7</v>
      </c>
      <c r="N1011">
        <v>577</v>
      </c>
      <c r="O1011">
        <v>116</v>
      </c>
      <c r="P1011">
        <v>1</v>
      </c>
      <c r="Q1011">
        <v>16.86</v>
      </c>
      <c r="R1011" t="s">
        <v>378</v>
      </c>
      <c r="S1011">
        <v>0.47</v>
      </c>
      <c r="U1011">
        <v>38</v>
      </c>
    </row>
    <row r="1012" spans="1:21" x14ac:dyDescent="0.25">
      <c r="A1012" s="2">
        <v>46045.827314814815</v>
      </c>
      <c r="B1012" t="s">
        <v>309</v>
      </c>
      <c r="C1012" t="s">
        <v>372</v>
      </c>
      <c r="D1012">
        <v>3</v>
      </c>
      <c r="E1012" t="s">
        <v>41</v>
      </c>
      <c r="F1012" t="s">
        <v>373</v>
      </c>
      <c r="G1012">
        <f t="shared" si="45"/>
        <v>0.48231511254019299</v>
      </c>
      <c r="H1012">
        <f t="shared" si="46"/>
        <v>0</v>
      </c>
      <c r="I1012">
        <v>43.83</v>
      </c>
      <c r="J1012">
        <f t="shared" si="47"/>
        <v>99.517684887459808</v>
      </c>
      <c r="K1012">
        <v>0.9</v>
      </c>
      <c r="L1012">
        <v>0.3</v>
      </c>
      <c r="M1012">
        <v>0.7</v>
      </c>
      <c r="N1012">
        <v>619</v>
      </c>
      <c r="O1012">
        <v>3</v>
      </c>
      <c r="P1012">
        <v>0</v>
      </c>
      <c r="Q1012">
        <v>0.48</v>
      </c>
      <c r="R1012" t="s">
        <v>384</v>
      </c>
      <c r="S1012">
        <v>0.01</v>
      </c>
      <c r="U1012">
        <v>17</v>
      </c>
    </row>
    <row r="1013" spans="1:21" x14ac:dyDescent="0.25">
      <c r="A1013" s="2">
        <v>46045.827673611115</v>
      </c>
      <c r="B1013" t="s">
        <v>309</v>
      </c>
      <c r="C1013" t="s">
        <v>372</v>
      </c>
      <c r="D1013">
        <v>3</v>
      </c>
      <c r="E1013" t="s">
        <v>42</v>
      </c>
      <c r="F1013" t="s">
        <v>373</v>
      </c>
      <c r="G1013">
        <f t="shared" si="45"/>
        <v>1.88953488372093</v>
      </c>
      <c r="H1013">
        <f t="shared" si="46"/>
        <v>0</v>
      </c>
      <c r="I1013">
        <v>43.83</v>
      </c>
      <c r="J1013">
        <f t="shared" si="47"/>
        <v>98.110465116279073</v>
      </c>
      <c r="K1013">
        <v>0.9</v>
      </c>
      <c r="L1013">
        <v>0.3</v>
      </c>
      <c r="M1013">
        <v>0.7</v>
      </c>
      <c r="N1013">
        <v>675</v>
      </c>
      <c r="O1013">
        <v>13</v>
      </c>
      <c r="P1013">
        <v>0</v>
      </c>
      <c r="Q1013">
        <v>1.89</v>
      </c>
      <c r="R1013" t="s">
        <v>384</v>
      </c>
      <c r="S1013">
        <v>0.05</v>
      </c>
      <c r="U1013">
        <v>14</v>
      </c>
    </row>
    <row r="1014" spans="1:21" x14ac:dyDescent="0.25">
      <c r="A1014" s="2">
        <v>46045.828043981484</v>
      </c>
      <c r="B1014" t="s">
        <v>309</v>
      </c>
      <c r="C1014" t="s">
        <v>372</v>
      </c>
      <c r="D1014">
        <v>3</v>
      </c>
      <c r="E1014" t="s">
        <v>43</v>
      </c>
      <c r="F1014" t="s">
        <v>373</v>
      </c>
      <c r="G1014">
        <f t="shared" si="45"/>
        <v>9.9830795262267351</v>
      </c>
      <c r="H1014">
        <f t="shared" si="46"/>
        <v>0</v>
      </c>
      <c r="I1014">
        <v>43.83</v>
      </c>
      <c r="J1014">
        <f t="shared" si="47"/>
        <v>90.016920473773268</v>
      </c>
      <c r="K1014">
        <v>0.9</v>
      </c>
      <c r="L1014">
        <v>0.3</v>
      </c>
      <c r="M1014">
        <v>0.7</v>
      </c>
      <c r="N1014">
        <v>532</v>
      </c>
      <c r="O1014">
        <v>59</v>
      </c>
      <c r="P1014">
        <v>0</v>
      </c>
      <c r="Q1014">
        <v>9.98</v>
      </c>
      <c r="R1014" t="s">
        <v>295</v>
      </c>
      <c r="S1014">
        <v>0.24</v>
      </c>
      <c r="U1014">
        <v>122</v>
      </c>
    </row>
    <row r="1015" spans="1:21" x14ac:dyDescent="0.25">
      <c r="A1015" s="2">
        <v>46045.8284375</v>
      </c>
      <c r="B1015" t="s">
        <v>309</v>
      </c>
      <c r="C1015" t="s">
        <v>372</v>
      </c>
      <c r="D1015">
        <v>3</v>
      </c>
      <c r="E1015" t="s">
        <v>54</v>
      </c>
      <c r="F1015" t="s">
        <v>373</v>
      </c>
      <c r="G1015">
        <f t="shared" si="45"/>
        <v>0.59523809523809523</v>
      </c>
      <c r="H1015">
        <f t="shared" si="46"/>
        <v>0</v>
      </c>
      <c r="I1015">
        <v>43.83</v>
      </c>
      <c r="J1015">
        <f t="shared" si="47"/>
        <v>99.404761904761912</v>
      </c>
      <c r="K1015">
        <v>0.9</v>
      </c>
      <c r="L1015">
        <v>0.3</v>
      </c>
      <c r="M1015">
        <v>0.7</v>
      </c>
      <c r="N1015">
        <v>668</v>
      </c>
      <c r="O1015">
        <v>4</v>
      </c>
      <c r="P1015">
        <v>0</v>
      </c>
      <c r="Q1015">
        <v>0.6</v>
      </c>
      <c r="R1015" t="s">
        <v>384</v>
      </c>
      <c r="S1015">
        <v>0.02</v>
      </c>
      <c r="U1015">
        <v>4</v>
      </c>
    </row>
    <row r="1016" spans="1:21" x14ac:dyDescent="0.25">
      <c r="A1016" s="2">
        <v>46045.828796296293</v>
      </c>
      <c r="B1016" t="s">
        <v>309</v>
      </c>
      <c r="C1016" t="s">
        <v>372</v>
      </c>
      <c r="D1016">
        <v>3</v>
      </c>
      <c r="E1016" t="s">
        <v>75</v>
      </c>
      <c r="F1016" t="s">
        <v>373</v>
      </c>
      <c r="G1016">
        <f t="shared" si="45"/>
        <v>1.6691957511380879</v>
      </c>
      <c r="H1016">
        <f t="shared" si="46"/>
        <v>0</v>
      </c>
      <c r="I1016">
        <v>43.83</v>
      </c>
      <c r="J1016">
        <f t="shared" si="47"/>
        <v>98.330804248861909</v>
      </c>
      <c r="K1016">
        <v>0.9</v>
      </c>
      <c r="L1016">
        <v>0.3</v>
      </c>
      <c r="M1016">
        <v>0.7</v>
      </c>
      <c r="N1016">
        <v>648</v>
      </c>
      <c r="O1016">
        <v>11</v>
      </c>
      <c r="P1016">
        <v>0</v>
      </c>
      <c r="Q1016">
        <v>1.67</v>
      </c>
      <c r="R1016" t="s">
        <v>384</v>
      </c>
      <c r="S1016">
        <v>0.04</v>
      </c>
      <c r="U1016">
        <v>18</v>
      </c>
    </row>
    <row r="1017" spans="1:21" x14ac:dyDescent="0.25">
      <c r="A1017" s="2">
        <v>46045.82916666667</v>
      </c>
      <c r="B1017" t="s">
        <v>309</v>
      </c>
      <c r="C1017" t="s">
        <v>372</v>
      </c>
      <c r="D1017">
        <v>3</v>
      </c>
      <c r="E1017" t="s">
        <v>324</v>
      </c>
      <c r="F1017" t="s">
        <v>373</v>
      </c>
      <c r="G1017">
        <f t="shared" si="45"/>
        <v>36.672051696284328</v>
      </c>
      <c r="H1017">
        <f t="shared" si="46"/>
        <v>0.80775444264943452</v>
      </c>
      <c r="I1017">
        <v>43.83</v>
      </c>
      <c r="J1017">
        <f t="shared" si="47"/>
        <v>62.520193861066232</v>
      </c>
      <c r="K1017">
        <v>0.9</v>
      </c>
      <c r="L1017">
        <v>0.3</v>
      </c>
      <c r="M1017">
        <v>0.7</v>
      </c>
      <c r="N1017">
        <v>387</v>
      </c>
      <c r="O1017">
        <v>227</v>
      </c>
      <c r="P1017">
        <v>5</v>
      </c>
      <c r="Q1017">
        <v>37.479999999999997</v>
      </c>
      <c r="R1017" t="s">
        <v>386</v>
      </c>
      <c r="S1017">
        <v>0.95</v>
      </c>
      <c r="U1017">
        <v>104</v>
      </c>
    </row>
    <row r="1018" spans="1:21" x14ac:dyDescent="0.25">
      <c r="A1018" s="2">
        <v>46045.829618055555</v>
      </c>
      <c r="B1018" t="s">
        <v>309</v>
      </c>
      <c r="C1018" t="s">
        <v>372</v>
      </c>
      <c r="D1018">
        <v>3</v>
      </c>
      <c r="E1018" t="s">
        <v>118</v>
      </c>
      <c r="F1018" t="s">
        <v>373</v>
      </c>
      <c r="G1018">
        <f t="shared" si="45"/>
        <v>6.1611374407582939</v>
      </c>
      <c r="H1018">
        <f t="shared" si="46"/>
        <v>0.15797788309636651</v>
      </c>
      <c r="I1018">
        <v>43.83</v>
      </c>
      <c r="J1018">
        <f t="shared" si="47"/>
        <v>93.68088467614534</v>
      </c>
      <c r="K1018">
        <v>0.9</v>
      </c>
      <c r="L1018">
        <v>0.3</v>
      </c>
      <c r="M1018">
        <v>0.7</v>
      </c>
      <c r="N1018">
        <v>593</v>
      </c>
      <c r="O1018">
        <v>39</v>
      </c>
      <c r="P1018">
        <v>1</v>
      </c>
      <c r="Q1018">
        <v>6.32</v>
      </c>
      <c r="R1018" t="s">
        <v>390</v>
      </c>
      <c r="S1018">
        <v>0.15</v>
      </c>
      <c r="U1018">
        <v>82</v>
      </c>
    </row>
    <row r="1019" spans="1:21" x14ac:dyDescent="0.25">
      <c r="A1019" s="2">
        <v>46045.829988425925</v>
      </c>
      <c r="B1019" t="s">
        <v>309</v>
      </c>
      <c r="C1019" t="s">
        <v>372</v>
      </c>
      <c r="D1019">
        <v>3</v>
      </c>
      <c r="E1019" t="s">
        <v>137</v>
      </c>
      <c r="F1019" t="s">
        <v>373</v>
      </c>
      <c r="G1019">
        <f t="shared" si="45"/>
        <v>82.753824756606392</v>
      </c>
      <c r="H1019">
        <f t="shared" si="46"/>
        <v>1.3908205841446455</v>
      </c>
      <c r="I1019">
        <v>43.83</v>
      </c>
      <c r="J1019">
        <f t="shared" si="47"/>
        <v>15.855354659248958</v>
      </c>
      <c r="K1019">
        <v>0.9</v>
      </c>
      <c r="L1019">
        <v>0.3</v>
      </c>
      <c r="M1019">
        <v>0.7</v>
      </c>
      <c r="N1019">
        <v>114</v>
      </c>
      <c r="O1019">
        <v>595</v>
      </c>
      <c r="P1019">
        <v>10</v>
      </c>
      <c r="Q1019">
        <v>84.14</v>
      </c>
      <c r="R1019" t="s">
        <v>395</v>
      </c>
      <c r="S1019">
        <v>2.52</v>
      </c>
      <c r="U1019">
        <v>33</v>
      </c>
    </row>
    <row r="1020" spans="1:21" x14ac:dyDescent="0.25">
      <c r="A1020" s="2">
        <v>46045.83053240741</v>
      </c>
      <c r="B1020" t="s">
        <v>309</v>
      </c>
      <c r="C1020" t="s">
        <v>372</v>
      </c>
      <c r="D1020">
        <v>3</v>
      </c>
      <c r="E1020" t="s">
        <v>162</v>
      </c>
      <c r="F1020" t="s">
        <v>373</v>
      </c>
      <c r="G1020">
        <f t="shared" si="45"/>
        <v>1.0355029585798818</v>
      </c>
      <c r="H1020">
        <f t="shared" si="46"/>
        <v>0</v>
      </c>
      <c r="I1020">
        <v>43.83</v>
      </c>
      <c r="J1020">
        <f t="shared" si="47"/>
        <v>98.964497041420117</v>
      </c>
      <c r="K1020">
        <v>0.9</v>
      </c>
      <c r="L1020">
        <v>0.3</v>
      </c>
      <c r="M1020">
        <v>0.7</v>
      </c>
      <c r="N1020">
        <v>669</v>
      </c>
      <c r="O1020">
        <v>7</v>
      </c>
      <c r="P1020">
        <v>0</v>
      </c>
      <c r="Q1020">
        <v>1.04</v>
      </c>
      <c r="R1020" t="s">
        <v>390</v>
      </c>
      <c r="S1020">
        <v>0.03</v>
      </c>
      <c r="U1020">
        <v>17</v>
      </c>
    </row>
    <row r="1021" spans="1:21" x14ac:dyDescent="0.25">
      <c r="A1021" s="2">
        <v>46045.830914351849</v>
      </c>
      <c r="B1021" t="s">
        <v>309</v>
      </c>
      <c r="C1021" t="s">
        <v>372</v>
      </c>
      <c r="D1021">
        <v>3</v>
      </c>
      <c r="E1021" t="s">
        <v>179</v>
      </c>
      <c r="F1021" t="s">
        <v>373</v>
      </c>
      <c r="G1021">
        <f t="shared" si="45"/>
        <v>17.424242424242426</v>
      </c>
      <c r="H1021">
        <f t="shared" si="46"/>
        <v>0.15151515151515152</v>
      </c>
      <c r="I1021">
        <v>43.83</v>
      </c>
      <c r="J1021">
        <f t="shared" si="47"/>
        <v>82.424242424242422</v>
      </c>
      <c r="K1021">
        <v>0.9</v>
      </c>
      <c r="L1021">
        <v>0.3</v>
      </c>
      <c r="M1021">
        <v>0.7</v>
      </c>
      <c r="N1021">
        <v>544</v>
      </c>
      <c r="O1021">
        <v>115</v>
      </c>
      <c r="P1021">
        <v>1</v>
      </c>
      <c r="Q1021">
        <v>17.579999999999998</v>
      </c>
      <c r="R1021" t="s">
        <v>378</v>
      </c>
      <c r="S1021">
        <v>0.48</v>
      </c>
      <c r="U1021">
        <v>64</v>
      </c>
    </row>
    <row r="1022" spans="1:21" x14ac:dyDescent="0.25">
      <c r="A1022" s="2">
        <v>46045.831307870372</v>
      </c>
      <c r="B1022" t="s">
        <v>309</v>
      </c>
      <c r="C1022" t="s">
        <v>372</v>
      </c>
      <c r="D1022">
        <v>3</v>
      </c>
      <c r="E1022" t="s">
        <v>204</v>
      </c>
      <c r="F1022" t="s">
        <v>373</v>
      </c>
      <c r="G1022">
        <f t="shared" si="45"/>
        <v>0.90744101633393837</v>
      </c>
      <c r="H1022">
        <f t="shared" si="46"/>
        <v>0</v>
      </c>
      <c r="I1022">
        <v>43.83</v>
      </c>
      <c r="J1022">
        <f t="shared" si="47"/>
        <v>99.092558983666052</v>
      </c>
      <c r="K1022">
        <v>0.9</v>
      </c>
      <c r="L1022">
        <v>0.3</v>
      </c>
      <c r="M1022">
        <v>0.7</v>
      </c>
      <c r="N1022">
        <v>546</v>
      </c>
      <c r="O1022">
        <v>5</v>
      </c>
      <c r="P1022">
        <v>0</v>
      </c>
      <c r="Q1022">
        <v>0.91</v>
      </c>
      <c r="R1022" t="s">
        <v>382</v>
      </c>
      <c r="S1022">
        <v>0.02</v>
      </c>
      <c r="U1022">
        <v>17</v>
      </c>
    </row>
    <row r="1023" spans="1:21" x14ac:dyDescent="0.25">
      <c r="A1023" s="2">
        <v>46045.831655092596</v>
      </c>
      <c r="B1023" t="s">
        <v>309</v>
      </c>
      <c r="C1023" t="s">
        <v>372</v>
      </c>
      <c r="D1023">
        <v>3</v>
      </c>
      <c r="E1023" t="s">
        <v>207</v>
      </c>
      <c r="F1023" t="s">
        <v>373</v>
      </c>
      <c r="G1023">
        <f t="shared" si="45"/>
        <v>6.091370558375635</v>
      </c>
      <c r="H1023">
        <f t="shared" si="46"/>
        <v>0</v>
      </c>
      <c r="I1023">
        <v>43.83</v>
      </c>
      <c r="J1023">
        <f t="shared" si="47"/>
        <v>93.90862944162437</v>
      </c>
      <c r="K1023">
        <v>0.9</v>
      </c>
      <c r="L1023">
        <v>0.3</v>
      </c>
      <c r="M1023">
        <v>0.7</v>
      </c>
      <c r="N1023">
        <v>555</v>
      </c>
      <c r="O1023">
        <v>36</v>
      </c>
      <c r="P1023">
        <v>0</v>
      </c>
      <c r="Q1023">
        <v>6.09</v>
      </c>
      <c r="R1023" t="s">
        <v>295</v>
      </c>
      <c r="S1023">
        <v>0.17</v>
      </c>
      <c r="U1023">
        <v>45</v>
      </c>
    </row>
    <row r="1024" spans="1:21" x14ac:dyDescent="0.25">
      <c r="A1024" s="2">
        <v>46045.832048611112</v>
      </c>
      <c r="B1024" t="s">
        <v>309</v>
      </c>
      <c r="C1024" t="s">
        <v>372</v>
      </c>
      <c r="D1024">
        <v>3</v>
      </c>
      <c r="E1024" t="s">
        <v>212</v>
      </c>
      <c r="F1024" t="s">
        <v>373</v>
      </c>
      <c r="G1024">
        <f t="shared" si="45"/>
        <v>41.347626339969374</v>
      </c>
      <c r="H1024">
        <f t="shared" si="46"/>
        <v>0.91883614088820831</v>
      </c>
      <c r="I1024">
        <v>43.83</v>
      </c>
      <c r="J1024">
        <f t="shared" si="47"/>
        <v>57.733537519142416</v>
      </c>
      <c r="K1024">
        <v>0.9</v>
      </c>
      <c r="L1024">
        <v>0.3</v>
      </c>
      <c r="M1024">
        <v>0.7</v>
      </c>
      <c r="N1024">
        <v>377</v>
      </c>
      <c r="O1024">
        <v>270</v>
      </c>
      <c r="P1024">
        <v>6</v>
      </c>
      <c r="Q1024">
        <v>42.27</v>
      </c>
      <c r="R1024" t="s">
        <v>295</v>
      </c>
      <c r="S1024">
        <v>1.1499999999999999</v>
      </c>
      <c r="U1024">
        <v>40</v>
      </c>
    </row>
    <row r="1025" spans="1:21" x14ac:dyDescent="0.25">
      <c r="A1025" s="2">
        <v>46045.826574074075</v>
      </c>
      <c r="B1025" t="s">
        <v>309</v>
      </c>
      <c r="C1025" t="s">
        <v>372</v>
      </c>
      <c r="D1025">
        <v>3</v>
      </c>
      <c r="E1025" t="s">
        <v>34</v>
      </c>
      <c r="F1025" t="s">
        <v>373</v>
      </c>
      <c r="G1025">
        <f t="shared" ref="G1025:G1054" si="48">(O1025/(N1025+O1025+P1025))*100</f>
        <v>28.896672504378284</v>
      </c>
      <c r="H1025">
        <f t="shared" ref="H1025:H1054" si="49">(P1025/(O1025+P1025+N1025))*100</f>
        <v>0.17513134851138354</v>
      </c>
      <c r="I1025">
        <v>43.83</v>
      </c>
      <c r="J1025">
        <f t="shared" ref="J1025:J1054" si="50">(N1025/(P1025+O1025+N1025))*100</f>
        <v>70.928196147110327</v>
      </c>
      <c r="K1025">
        <v>0.9</v>
      </c>
      <c r="L1025">
        <v>0.3</v>
      </c>
      <c r="M1025">
        <v>0.7</v>
      </c>
      <c r="N1025">
        <v>405</v>
      </c>
      <c r="O1025">
        <v>165</v>
      </c>
      <c r="P1025">
        <v>1</v>
      </c>
      <c r="Q1025">
        <v>29.07</v>
      </c>
      <c r="R1025" t="s">
        <v>378</v>
      </c>
      <c r="S1025">
        <v>0.68</v>
      </c>
      <c r="U1025">
        <v>92</v>
      </c>
    </row>
    <row r="1026" spans="1:21" x14ac:dyDescent="0.25">
      <c r="A1026" s="2">
        <v>46045.826967592591</v>
      </c>
      <c r="B1026" t="s">
        <v>309</v>
      </c>
      <c r="C1026" t="s">
        <v>372</v>
      </c>
      <c r="D1026">
        <v>3</v>
      </c>
      <c r="E1026" t="s">
        <v>36</v>
      </c>
      <c r="F1026" t="s">
        <v>373</v>
      </c>
      <c r="G1026">
        <f t="shared" si="48"/>
        <v>16.714697406340058</v>
      </c>
      <c r="H1026">
        <f t="shared" si="49"/>
        <v>0.14409221902017291</v>
      </c>
      <c r="I1026">
        <v>43.83</v>
      </c>
      <c r="J1026">
        <f t="shared" si="50"/>
        <v>83.141210374639769</v>
      </c>
      <c r="K1026">
        <v>0.9</v>
      </c>
      <c r="L1026">
        <v>0.3</v>
      </c>
      <c r="M1026">
        <v>0.7</v>
      </c>
      <c r="N1026">
        <v>577</v>
      </c>
      <c r="O1026">
        <v>116</v>
      </c>
      <c r="P1026">
        <v>1</v>
      </c>
      <c r="Q1026">
        <v>16.86</v>
      </c>
      <c r="R1026" t="s">
        <v>378</v>
      </c>
      <c r="S1026">
        <v>0.47</v>
      </c>
      <c r="U1026">
        <v>38</v>
      </c>
    </row>
    <row r="1027" spans="1:21" x14ac:dyDescent="0.25">
      <c r="A1027" s="2">
        <v>46045.827372685184</v>
      </c>
      <c r="B1027" t="s">
        <v>309</v>
      </c>
      <c r="C1027" t="s">
        <v>372</v>
      </c>
      <c r="D1027">
        <v>3</v>
      </c>
      <c r="E1027" t="s">
        <v>41</v>
      </c>
      <c r="F1027" t="s">
        <v>373</v>
      </c>
      <c r="G1027">
        <f t="shared" si="48"/>
        <v>0.48231511254019299</v>
      </c>
      <c r="H1027">
        <f t="shared" si="49"/>
        <v>0</v>
      </c>
      <c r="I1027">
        <v>43.83</v>
      </c>
      <c r="J1027">
        <f t="shared" si="50"/>
        <v>99.517684887459808</v>
      </c>
      <c r="K1027">
        <v>0.9</v>
      </c>
      <c r="L1027">
        <v>0.3</v>
      </c>
      <c r="M1027">
        <v>0.7</v>
      </c>
      <c r="N1027">
        <v>619</v>
      </c>
      <c r="O1027">
        <v>3</v>
      </c>
      <c r="P1027">
        <v>0</v>
      </c>
      <c r="Q1027">
        <v>0.48</v>
      </c>
      <c r="R1027" t="s">
        <v>384</v>
      </c>
      <c r="S1027">
        <v>0.01</v>
      </c>
      <c r="U1027">
        <v>17</v>
      </c>
    </row>
    <row r="1028" spans="1:21" x14ac:dyDescent="0.25">
      <c r="A1028" s="2">
        <v>46045.827731481484</v>
      </c>
      <c r="B1028" t="s">
        <v>309</v>
      </c>
      <c r="C1028" t="s">
        <v>372</v>
      </c>
      <c r="D1028">
        <v>3</v>
      </c>
      <c r="E1028" t="s">
        <v>42</v>
      </c>
      <c r="F1028" t="s">
        <v>373</v>
      </c>
      <c r="G1028">
        <f t="shared" si="48"/>
        <v>1.88953488372093</v>
      </c>
      <c r="H1028">
        <f t="shared" si="49"/>
        <v>0</v>
      </c>
      <c r="I1028">
        <v>43.83</v>
      </c>
      <c r="J1028">
        <f t="shared" si="50"/>
        <v>98.110465116279073</v>
      </c>
      <c r="K1028">
        <v>0.9</v>
      </c>
      <c r="L1028">
        <v>0.3</v>
      </c>
      <c r="M1028">
        <v>0.7</v>
      </c>
      <c r="N1028">
        <v>675</v>
      </c>
      <c r="O1028">
        <v>13</v>
      </c>
      <c r="P1028">
        <v>0</v>
      </c>
      <c r="Q1028">
        <v>1.89</v>
      </c>
      <c r="R1028" t="s">
        <v>384</v>
      </c>
      <c r="S1028">
        <v>0.05</v>
      </c>
      <c r="U1028">
        <v>14</v>
      </c>
    </row>
    <row r="1029" spans="1:21" x14ac:dyDescent="0.25">
      <c r="A1029" s="2">
        <v>46045.828101851854</v>
      </c>
      <c r="B1029" t="s">
        <v>309</v>
      </c>
      <c r="C1029" t="s">
        <v>372</v>
      </c>
      <c r="D1029">
        <v>3</v>
      </c>
      <c r="E1029" t="s">
        <v>43</v>
      </c>
      <c r="F1029" t="s">
        <v>373</v>
      </c>
      <c r="G1029">
        <f t="shared" si="48"/>
        <v>9.9830795262267351</v>
      </c>
      <c r="H1029">
        <f t="shared" si="49"/>
        <v>0</v>
      </c>
      <c r="I1029">
        <v>43.83</v>
      </c>
      <c r="J1029">
        <f t="shared" si="50"/>
        <v>90.016920473773268</v>
      </c>
      <c r="K1029">
        <v>0.9</v>
      </c>
      <c r="L1029">
        <v>0.3</v>
      </c>
      <c r="M1029">
        <v>0.7</v>
      </c>
      <c r="N1029">
        <v>532</v>
      </c>
      <c r="O1029">
        <v>59</v>
      </c>
      <c r="P1029">
        <v>0</v>
      </c>
      <c r="Q1029">
        <v>9.98</v>
      </c>
      <c r="R1029" t="s">
        <v>295</v>
      </c>
      <c r="S1029">
        <v>0.24</v>
      </c>
      <c r="U1029">
        <v>122</v>
      </c>
    </row>
    <row r="1030" spans="1:21" x14ac:dyDescent="0.25">
      <c r="A1030" s="2">
        <v>46045.828483796293</v>
      </c>
      <c r="B1030" t="s">
        <v>309</v>
      </c>
      <c r="C1030" t="s">
        <v>372</v>
      </c>
      <c r="D1030">
        <v>3</v>
      </c>
      <c r="E1030" t="s">
        <v>54</v>
      </c>
      <c r="F1030" t="s">
        <v>373</v>
      </c>
      <c r="G1030">
        <f t="shared" si="48"/>
        <v>0.59523809523809523</v>
      </c>
      <c r="H1030">
        <f t="shared" si="49"/>
        <v>0</v>
      </c>
      <c r="I1030">
        <v>43.83</v>
      </c>
      <c r="J1030">
        <f t="shared" si="50"/>
        <v>99.404761904761912</v>
      </c>
      <c r="K1030">
        <v>0.9</v>
      </c>
      <c r="L1030">
        <v>0.3</v>
      </c>
      <c r="M1030">
        <v>0.7</v>
      </c>
      <c r="N1030">
        <v>668</v>
      </c>
      <c r="O1030">
        <v>4</v>
      </c>
      <c r="P1030">
        <v>0</v>
      </c>
      <c r="Q1030">
        <v>0.6</v>
      </c>
      <c r="R1030" t="s">
        <v>384</v>
      </c>
      <c r="S1030">
        <v>0.02</v>
      </c>
      <c r="U1030">
        <v>4</v>
      </c>
    </row>
    <row r="1031" spans="1:21" x14ac:dyDescent="0.25">
      <c r="A1031" s="2">
        <v>46045.82885416667</v>
      </c>
      <c r="B1031" t="s">
        <v>309</v>
      </c>
      <c r="C1031" t="s">
        <v>372</v>
      </c>
      <c r="D1031">
        <v>3</v>
      </c>
      <c r="E1031" t="s">
        <v>75</v>
      </c>
      <c r="F1031" t="s">
        <v>373</v>
      </c>
      <c r="G1031">
        <f t="shared" si="48"/>
        <v>1.6691957511380879</v>
      </c>
      <c r="H1031">
        <f t="shared" si="49"/>
        <v>0</v>
      </c>
      <c r="I1031">
        <v>43.83</v>
      </c>
      <c r="J1031">
        <f t="shared" si="50"/>
        <v>98.330804248861909</v>
      </c>
      <c r="K1031">
        <v>0.9</v>
      </c>
      <c r="L1031">
        <v>0.3</v>
      </c>
      <c r="M1031">
        <v>0.7</v>
      </c>
      <c r="N1031">
        <v>648</v>
      </c>
      <c r="O1031">
        <v>11</v>
      </c>
      <c r="P1031">
        <v>0</v>
      </c>
      <c r="Q1031">
        <v>1.67</v>
      </c>
      <c r="R1031" t="s">
        <v>384</v>
      </c>
      <c r="S1031">
        <v>0.04</v>
      </c>
      <c r="U1031">
        <v>18</v>
      </c>
    </row>
    <row r="1032" spans="1:21" x14ac:dyDescent="0.25">
      <c r="A1032" s="2">
        <v>46045.829224537039</v>
      </c>
      <c r="B1032" t="s">
        <v>309</v>
      </c>
      <c r="C1032" t="s">
        <v>372</v>
      </c>
      <c r="D1032">
        <v>3</v>
      </c>
      <c r="E1032" t="s">
        <v>324</v>
      </c>
      <c r="F1032" t="s">
        <v>373</v>
      </c>
      <c r="G1032">
        <f t="shared" si="48"/>
        <v>36.893203883495147</v>
      </c>
      <c r="H1032">
        <f t="shared" si="49"/>
        <v>0.48543689320388345</v>
      </c>
      <c r="I1032">
        <v>43.83</v>
      </c>
      <c r="J1032">
        <f t="shared" si="50"/>
        <v>62.621359223300978</v>
      </c>
      <c r="K1032">
        <v>0.9</v>
      </c>
      <c r="L1032">
        <v>0.3</v>
      </c>
      <c r="M1032">
        <v>0.7</v>
      </c>
      <c r="N1032">
        <v>387</v>
      </c>
      <c r="O1032">
        <v>228</v>
      </c>
      <c r="P1032">
        <v>3</v>
      </c>
      <c r="Q1032">
        <v>37.380000000000003</v>
      </c>
      <c r="R1032" t="s">
        <v>385</v>
      </c>
      <c r="S1032">
        <v>0.95</v>
      </c>
      <c r="U1032">
        <v>105</v>
      </c>
    </row>
    <row r="1033" spans="1:21" x14ac:dyDescent="0.25">
      <c r="A1033" s="2">
        <v>46045.829664351855</v>
      </c>
      <c r="B1033" t="s">
        <v>309</v>
      </c>
      <c r="C1033" t="s">
        <v>372</v>
      </c>
      <c r="D1033">
        <v>3</v>
      </c>
      <c r="E1033" t="s">
        <v>118</v>
      </c>
      <c r="F1033" t="s">
        <v>373</v>
      </c>
      <c r="G1033">
        <f t="shared" si="48"/>
        <v>6.1611374407582939</v>
      </c>
      <c r="H1033">
        <f t="shared" si="49"/>
        <v>0.15797788309636651</v>
      </c>
      <c r="I1033">
        <v>43.83</v>
      </c>
      <c r="J1033">
        <f t="shared" si="50"/>
        <v>93.68088467614534</v>
      </c>
      <c r="K1033">
        <v>0.9</v>
      </c>
      <c r="L1033">
        <v>0.3</v>
      </c>
      <c r="M1033">
        <v>0.7</v>
      </c>
      <c r="N1033">
        <v>593</v>
      </c>
      <c r="O1033">
        <v>39</v>
      </c>
      <c r="P1033">
        <v>1</v>
      </c>
      <c r="Q1033">
        <v>6.32</v>
      </c>
      <c r="R1033" t="s">
        <v>390</v>
      </c>
      <c r="S1033">
        <v>0.15</v>
      </c>
      <c r="U1033">
        <v>82</v>
      </c>
    </row>
    <row r="1034" spans="1:21" x14ac:dyDescent="0.25">
      <c r="A1034" s="2">
        <v>46045.830046296294</v>
      </c>
      <c r="B1034" t="s">
        <v>309</v>
      </c>
      <c r="C1034" t="s">
        <v>372</v>
      </c>
      <c r="D1034">
        <v>3</v>
      </c>
      <c r="E1034" t="s">
        <v>137</v>
      </c>
      <c r="F1034" t="s">
        <v>373</v>
      </c>
      <c r="G1034">
        <f t="shared" si="48"/>
        <v>82.753824756606392</v>
      </c>
      <c r="H1034">
        <f t="shared" si="49"/>
        <v>1.3908205841446455</v>
      </c>
      <c r="I1034">
        <v>43.83</v>
      </c>
      <c r="J1034">
        <f t="shared" si="50"/>
        <v>15.855354659248958</v>
      </c>
      <c r="K1034">
        <v>0.9</v>
      </c>
      <c r="L1034">
        <v>0.3</v>
      </c>
      <c r="M1034">
        <v>0.7</v>
      </c>
      <c r="N1034">
        <v>114</v>
      </c>
      <c r="O1034">
        <v>595</v>
      </c>
      <c r="P1034">
        <v>10</v>
      </c>
      <c r="Q1034">
        <v>84.14</v>
      </c>
      <c r="R1034" t="s">
        <v>395</v>
      </c>
      <c r="S1034">
        <v>2.52</v>
      </c>
      <c r="U1034">
        <v>33</v>
      </c>
    </row>
    <row r="1035" spans="1:21" x14ac:dyDescent="0.25">
      <c r="A1035" s="2">
        <v>46045.830590277779</v>
      </c>
      <c r="B1035" t="s">
        <v>309</v>
      </c>
      <c r="C1035" t="s">
        <v>372</v>
      </c>
      <c r="D1035">
        <v>3</v>
      </c>
      <c r="E1035" t="s">
        <v>162</v>
      </c>
      <c r="F1035" t="s">
        <v>373</v>
      </c>
      <c r="G1035">
        <f t="shared" si="48"/>
        <v>1.0355029585798818</v>
      </c>
      <c r="H1035">
        <f t="shared" si="49"/>
        <v>0</v>
      </c>
      <c r="I1035">
        <v>43.83</v>
      </c>
      <c r="J1035">
        <f t="shared" si="50"/>
        <v>98.964497041420117</v>
      </c>
      <c r="K1035">
        <v>0.9</v>
      </c>
      <c r="L1035">
        <v>0.3</v>
      </c>
      <c r="M1035">
        <v>0.7</v>
      </c>
      <c r="N1035">
        <v>669</v>
      </c>
      <c r="O1035">
        <v>7</v>
      </c>
      <c r="P1035">
        <v>0</v>
      </c>
      <c r="Q1035">
        <v>1.04</v>
      </c>
      <c r="R1035" t="s">
        <v>390</v>
      </c>
      <c r="S1035">
        <v>0.03</v>
      </c>
      <c r="U1035">
        <v>17</v>
      </c>
    </row>
    <row r="1036" spans="1:21" x14ac:dyDescent="0.25">
      <c r="A1036" s="2">
        <v>46045.830960648149</v>
      </c>
      <c r="B1036" t="s">
        <v>309</v>
      </c>
      <c r="C1036" t="s">
        <v>372</v>
      </c>
      <c r="D1036">
        <v>3</v>
      </c>
      <c r="E1036" t="s">
        <v>179</v>
      </c>
      <c r="F1036" t="s">
        <v>373</v>
      </c>
      <c r="G1036">
        <f t="shared" si="48"/>
        <v>17.424242424242426</v>
      </c>
      <c r="H1036">
        <f t="shared" si="49"/>
        <v>0.15151515151515152</v>
      </c>
      <c r="I1036">
        <v>43.83</v>
      </c>
      <c r="J1036">
        <f t="shared" si="50"/>
        <v>82.424242424242422</v>
      </c>
      <c r="K1036">
        <v>0.9</v>
      </c>
      <c r="L1036">
        <v>0.3</v>
      </c>
      <c r="M1036">
        <v>0.7</v>
      </c>
      <c r="N1036">
        <v>544</v>
      </c>
      <c r="O1036">
        <v>115</v>
      </c>
      <c r="P1036">
        <v>1</v>
      </c>
      <c r="Q1036">
        <v>17.579999999999998</v>
      </c>
      <c r="R1036" t="s">
        <v>378</v>
      </c>
      <c r="S1036">
        <v>0.48</v>
      </c>
      <c r="U1036">
        <v>64</v>
      </c>
    </row>
    <row r="1037" spans="1:21" x14ac:dyDescent="0.25">
      <c r="A1037" s="2">
        <v>46045.831365740742</v>
      </c>
      <c r="B1037" t="s">
        <v>309</v>
      </c>
      <c r="C1037" t="s">
        <v>372</v>
      </c>
      <c r="D1037">
        <v>3</v>
      </c>
      <c r="E1037" t="s">
        <v>204</v>
      </c>
      <c r="F1037" t="s">
        <v>373</v>
      </c>
      <c r="G1037">
        <f t="shared" si="48"/>
        <v>0.90744101633393837</v>
      </c>
      <c r="H1037">
        <f t="shared" si="49"/>
        <v>0</v>
      </c>
      <c r="I1037">
        <v>43.83</v>
      </c>
      <c r="J1037">
        <f t="shared" si="50"/>
        <v>99.092558983666052</v>
      </c>
      <c r="K1037">
        <v>0.9</v>
      </c>
      <c r="L1037">
        <v>0.3</v>
      </c>
      <c r="M1037">
        <v>0.7</v>
      </c>
      <c r="N1037">
        <v>546</v>
      </c>
      <c r="O1037">
        <v>5</v>
      </c>
      <c r="P1037">
        <v>0</v>
      </c>
      <c r="Q1037">
        <v>0.91</v>
      </c>
      <c r="R1037" t="s">
        <v>379</v>
      </c>
      <c r="S1037">
        <v>0.02</v>
      </c>
      <c r="U1037">
        <v>17</v>
      </c>
    </row>
    <row r="1038" spans="1:21" x14ac:dyDescent="0.25">
      <c r="A1038" s="2">
        <v>46045.831712962965</v>
      </c>
      <c r="B1038" t="s">
        <v>309</v>
      </c>
      <c r="C1038" t="s">
        <v>372</v>
      </c>
      <c r="D1038">
        <v>3</v>
      </c>
      <c r="E1038" t="s">
        <v>207</v>
      </c>
      <c r="F1038" t="s">
        <v>373</v>
      </c>
      <c r="G1038">
        <f t="shared" si="48"/>
        <v>6.091370558375635</v>
      </c>
      <c r="H1038">
        <f t="shared" si="49"/>
        <v>0</v>
      </c>
      <c r="I1038">
        <v>43.83</v>
      </c>
      <c r="J1038">
        <f t="shared" si="50"/>
        <v>93.90862944162437</v>
      </c>
      <c r="K1038">
        <v>0.9</v>
      </c>
      <c r="L1038">
        <v>0.3</v>
      </c>
      <c r="M1038">
        <v>0.7</v>
      </c>
      <c r="N1038">
        <v>555</v>
      </c>
      <c r="O1038">
        <v>36</v>
      </c>
      <c r="P1038">
        <v>0</v>
      </c>
      <c r="Q1038">
        <v>6.09</v>
      </c>
      <c r="R1038" t="s">
        <v>295</v>
      </c>
      <c r="S1038">
        <v>0.17</v>
      </c>
      <c r="U1038">
        <v>45</v>
      </c>
    </row>
    <row r="1039" spans="1:21" x14ac:dyDescent="0.25">
      <c r="A1039" s="2">
        <v>46045.832094907404</v>
      </c>
      <c r="B1039" t="s">
        <v>309</v>
      </c>
      <c r="C1039" t="s">
        <v>372</v>
      </c>
      <c r="D1039">
        <v>3</v>
      </c>
      <c r="E1039" t="s">
        <v>212</v>
      </c>
      <c r="F1039" t="s">
        <v>373</v>
      </c>
      <c r="G1039">
        <f t="shared" si="48"/>
        <v>41.347626339969374</v>
      </c>
      <c r="H1039">
        <f t="shared" si="49"/>
        <v>0.91883614088820831</v>
      </c>
      <c r="I1039">
        <v>43.83</v>
      </c>
      <c r="J1039">
        <f t="shared" si="50"/>
        <v>57.733537519142416</v>
      </c>
      <c r="K1039">
        <v>0.9</v>
      </c>
      <c r="L1039">
        <v>0.3</v>
      </c>
      <c r="M1039">
        <v>0.7</v>
      </c>
      <c r="N1039">
        <v>377</v>
      </c>
      <c r="O1039">
        <v>270</v>
      </c>
      <c r="P1039">
        <v>6</v>
      </c>
      <c r="Q1039">
        <v>42.27</v>
      </c>
      <c r="R1039" t="s">
        <v>295</v>
      </c>
      <c r="S1039">
        <v>1.1499999999999999</v>
      </c>
      <c r="U1039">
        <v>40</v>
      </c>
    </row>
    <row r="1040" spans="1:21" x14ac:dyDescent="0.25">
      <c r="A1040" s="2">
        <v>46045.832511574074</v>
      </c>
      <c r="B1040" t="s">
        <v>309</v>
      </c>
      <c r="C1040" t="s">
        <v>372</v>
      </c>
      <c r="D1040">
        <v>3</v>
      </c>
      <c r="E1040" t="s">
        <v>34</v>
      </c>
      <c r="F1040" t="s">
        <v>373</v>
      </c>
      <c r="G1040">
        <f t="shared" si="48"/>
        <v>28.896672504378284</v>
      </c>
      <c r="H1040">
        <f t="shared" si="49"/>
        <v>0.17513134851138354</v>
      </c>
      <c r="I1040">
        <v>43.83</v>
      </c>
      <c r="J1040">
        <f t="shared" si="50"/>
        <v>70.928196147110327</v>
      </c>
      <c r="K1040">
        <v>0.9</v>
      </c>
      <c r="L1040">
        <v>0.3</v>
      </c>
      <c r="M1040">
        <v>0.7</v>
      </c>
      <c r="N1040">
        <v>405</v>
      </c>
      <c r="O1040">
        <v>165</v>
      </c>
      <c r="P1040">
        <v>1</v>
      </c>
      <c r="Q1040">
        <v>29.07</v>
      </c>
      <c r="R1040" t="s">
        <v>379</v>
      </c>
      <c r="S1040">
        <v>0.68</v>
      </c>
      <c r="U1040">
        <v>92</v>
      </c>
    </row>
    <row r="1041" spans="1:21" x14ac:dyDescent="0.25">
      <c r="A1041" s="2">
        <v>46045.832870370374</v>
      </c>
      <c r="B1041" t="s">
        <v>309</v>
      </c>
      <c r="C1041" t="s">
        <v>372</v>
      </c>
      <c r="D1041">
        <v>3</v>
      </c>
      <c r="E1041" t="s">
        <v>36</v>
      </c>
      <c r="F1041" t="s">
        <v>373</v>
      </c>
      <c r="G1041">
        <f t="shared" si="48"/>
        <v>16.714697406340058</v>
      </c>
      <c r="H1041">
        <f t="shared" si="49"/>
        <v>0.14409221902017291</v>
      </c>
      <c r="I1041">
        <v>43.83</v>
      </c>
      <c r="J1041">
        <f t="shared" si="50"/>
        <v>83.141210374639769</v>
      </c>
      <c r="K1041">
        <v>0.9</v>
      </c>
      <c r="L1041">
        <v>0.3</v>
      </c>
      <c r="M1041">
        <v>0.7</v>
      </c>
      <c r="N1041">
        <v>577</v>
      </c>
      <c r="O1041">
        <v>116</v>
      </c>
      <c r="P1041">
        <v>1</v>
      </c>
      <c r="Q1041">
        <v>16.86</v>
      </c>
      <c r="R1041" t="s">
        <v>392</v>
      </c>
      <c r="S1041">
        <v>0.47</v>
      </c>
      <c r="U1041">
        <v>38</v>
      </c>
    </row>
    <row r="1042" spans="1:21" x14ac:dyDescent="0.25">
      <c r="A1042" s="2">
        <v>46045.833287037036</v>
      </c>
      <c r="B1042" t="s">
        <v>309</v>
      </c>
      <c r="C1042" t="s">
        <v>372</v>
      </c>
      <c r="D1042">
        <v>3</v>
      </c>
      <c r="E1042" t="s">
        <v>41</v>
      </c>
      <c r="F1042" t="s">
        <v>373</v>
      </c>
      <c r="G1042">
        <f t="shared" si="48"/>
        <v>0.48231511254019299</v>
      </c>
      <c r="H1042">
        <f t="shared" si="49"/>
        <v>0</v>
      </c>
      <c r="I1042">
        <v>43.83</v>
      </c>
      <c r="J1042">
        <f t="shared" si="50"/>
        <v>99.517684887459808</v>
      </c>
      <c r="K1042">
        <v>0.9</v>
      </c>
      <c r="L1042">
        <v>0.3</v>
      </c>
      <c r="M1042">
        <v>0.7</v>
      </c>
      <c r="N1042">
        <v>619</v>
      </c>
      <c r="O1042">
        <v>3</v>
      </c>
      <c r="P1042">
        <v>0</v>
      </c>
      <c r="Q1042">
        <v>0.48</v>
      </c>
      <c r="R1042" t="s">
        <v>380</v>
      </c>
      <c r="S1042">
        <v>0.01</v>
      </c>
      <c r="U1042">
        <v>17</v>
      </c>
    </row>
    <row r="1043" spans="1:21" x14ac:dyDescent="0.25">
      <c r="A1043" s="2">
        <v>46045.833599537036</v>
      </c>
      <c r="B1043" t="s">
        <v>309</v>
      </c>
      <c r="C1043" t="s">
        <v>372</v>
      </c>
      <c r="D1043">
        <v>3</v>
      </c>
      <c r="E1043" t="s">
        <v>42</v>
      </c>
      <c r="F1043" t="s">
        <v>373</v>
      </c>
      <c r="G1043">
        <f t="shared" si="48"/>
        <v>1.88953488372093</v>
      </c>
      <c r="H1043">
        <f t="shared" si="49"/>
        <v>0</v>
      </c>
      <c r="I1043">
        <v>43.83</v>
      </c>
      <c r="J1043">
        <f t="shared" si="50"/>
        <v>98.110465116279073</v>
      </c>
      <c r="K1043">
        <v>0.9</v>
      </c>
      <c r="L1043">
        <v>0.3</v>
      </c>
      <c r="M1043">
        <v>0.7</v>
      </c>
      <c r="N1043">
        <v>675</v>
      </c>
      <c r="O1043">
        <v>13</v>
      </c>
      <c r="P1043">
        <v>0</v>
      </c>
      <c r="Q1043">
        <v>1.89</v>
      </c>
      <c r="R1043" t="s">
        <v>380</v>
      </c>
      <c r="S1043">
        <v>0.05</v>
      </c>
      <c r="U1043">
        <v>14</v>
      </c>
    </row>
    <row r="1044" spans="1:21" x14ac:dyDescent="0.25">
      <c r="A1044" s="2">
        <v>46045.833923611113</v>
      </c>
      <c r="B1044" t="s">
        <v>309</v>
      </c>
      <c r="C1044" t="s">
        <v>372</v>
      </c>
      <c r="D1044">
        <v>3</v>
      </c>
      <c r="E1044" t="s">
        <v>43</v>
      </c>
      <c r="F1044" t="s">
        <v>373</v>
      </c>
      <c r="G1044">
        <f t="shared" si="48"/>
        <v>9.9830795262267351</v>
      </c>
      <c r="H1044">
        <f t="shared" si="49"/>
        <v>0</v>
      </c>
      <c r="I1044">
        <v>43.83</v>
      </c>
      <c r="J1044">
        <f t="shared" si="50"/>
        <v>90.016920473773268</v>
      </c>
      <c r="K1044">
        <v>0.9</v>
      </c>
      <c r="L1044">
        <v>0.3</v>
      </c>
      <c r="M1044">
        <v>0.7</v>
      </c>
      <c r="N1044">
        <v>532</v>
      </c>
      <c r="O1044">
        <v>59</v>
      </c>
      <c r="P1044">
        <v>0</v>
      </c>
      <c r="Q1044">
        <v>9.98</v>
      </c>
      <c r="R1044" t="s">
        <v>383</v>
      </c>
      <c r="S1044">
        <v>0.24</v>
      </c>
      <c r="U1044">
        <v>122</v>
      </c>
    </row>
    <row r="1045" spans="1:21" x14ac:dyDescent="0.25">
      <c r="A1045" s="2">
        <v>46045.834247685183</v>
      </c>
      <c r="B1045" t="s">
        <v>309</v>
      </c>
      <c r="C1045" t="s">
        <v>372</v>
      </c>
      <c r="D1045">
        <v>3</v>
      </c>
      <c r="E1045" t="s">
        <v>54</v>
      </c>
      <c r="F1045" t="s">
        <v>373</v>
      </c>
      <c r="G1045">
        <f t="shared" si="48"/>
        <v>0.59523809523809523</v>
      </c>
      <c r="H1045">
        <f t="shared" si="49"/>
        <v>0</v>
      </c>
      <c r="I1045">
        <v>43.83</v>
      </c>
      <c r="J1045">
        <f t="shared" si="50"/>
        <v>99.404761904761912</v>
      </c>
      <c r="K1045">
        <v>0.9</v>
      </c>
      <c r="L1045">
        <v>0.3</v>
      </c>
      <c r="M1045">
        <v>0.7</v>
      </c>
      <c r="N1045">
        <v>668</v>
      </c>
      <c r="O1045">
        <v>4</v>
      </c>
      <c r="P1045">
        <v>0</v>
      </c>
      <c r="Q1045">
        <v>0.6</v>
      </c>
      <c r="R1045" t="s">
        <v>380</v>
      </c>
      <c r="S1045">
        <v>0.02</v>
      </c>
      <c r="U1045">
        <v>4</v>
      </c>
    </row>
    <row r="1046" spans="1:21" x14ac:dyDescent="0.25">
      <c r="A1046" s="2">
        <v>46045.834560185183</v>
      </c>
      <c r="B1046" t="s">
        <v>309</v>
      </c>
      <c r="C1046" t="s">
        <v>372</v>
      </c>
      <c r="D1046">
        <v>3</v>
      </c>
      <c r="E1046" t="s">
        <v>75</v>
      </c>
      <c r="F1046" t="s">
        <v>373</v>
      </c>
      <c r="G1046">
        <f t="shared" si="48"/>
        <v>1.6691957511380879</v>
      </c>
      <c r="H1046">
        <f t="shared" si="49"/>
        <v>0</v>
      </c>
      <c r="I1046">
        <v>43.83</v>
      </c>
      <c r="J1046">
        <f t="shared" si="50"/>
        <v>98.330804248861909</v>
      </c>
      <c r="K1046">
        <v>0.9</v>
      </c>
      <c r="L1046">
        <v>0.3</v>
      </c>
      <c r="M1046">
        <v>0.7</v>
      </c>
      <c r="N1046">
        <v>648</v>
      </c>
      <c r="O1046">
        <v>11</v>
      </c>
      <c r="P1046">
        <v>0</v>
      </c>
      <c r="Q1046">
        <v>1.67</v>
      </c>
      <c r="R1046" t="s">
        <v>375</v>
      </c>
      <c r="S1046">
        <v>0.04</v>
      </c>
      <c r="U1046">
        <v>18</v>
      </c>
    </row>
    <row r="1047" spans="1:21" x14ac:dyDescent="0.25">
      <c r="A1047" s="2">
        <v>46045.834872685184</v>
      </c>
      <c r="B1047" t="s">
        <v>309</v>
      </c>
      <c r="C1047" t="s">
        <v>372</v>
      </c>
      <c r="D1047">
        <v>3</v>
      </c>
      <c r="E1047" t="s">
        <v>324</v>
      </c>
      <c r="F1047" t="s">
        <v>373</v>
      </c>
      <c r="G1047">
        <f t="shared" si="48"/>
        <v>36.893203883495147</v>
      </c>
      <c r="H1047">
        <f t="shared" si="49"/>
        <v>0.48543689320388345</v>
      </c>
      <c r="I1047">
        <v>43.83</v>
      </c>
      <c r="J1047">
        <f t="shared" si="50"/>
        <v>62.621359223300978</v>
      </c>
      <c r="K1047">
        <v>0.9</v>
      </c>
      <c r="L1047">
        <v>0.3</v>
      </c>
      <c r="M1047">
        <v>0.7</v>
      </c>
      <c r="N1047">
        <v>387</v>
      </c>
      <c r="O1047">
        <v>228</v>
      </c>
      <c r="P1047">
        <v>3</v>
      </c>
      <c r="Q1047">
        <v>37.380000000000003</v>
      </c>
      <c r="R1047" t="s">
        <v>390</v>
      </c>
      <c r="S1047">
        <v>0.95</v>
      </c>
      <c r="U1047">
        <v>105</v>
      </c>
    </row>
    <row r="1048" spans="1:21" x14ac:dyDescent="0.25">
      <c r="A1048" s="2">
        <v>46045.83525462963</v>
      </c>
      <c r="B1048" t="s">
        <v>309</v>
      </c>
      <c r="C1048" t="s">
        <v>372</v>
      </c>
      <c r="D1048">
        <v>3</v>
      </c>
      <c r="E1048" t="s">
        <v>118</v>
      </c>
      <c r="F1048" t="s">
        <v>373</v>
      </c>
      <c r="G1048">
        <f t="shared" si="48"/>
        <v>6.1611374407582939</v>
      </c>
      <c r="H1048">
        <f t="shared" si="49"/>
        <v>0.15797788309636651</v>
      </c>
      <c r="I1048">
        <v>43.83</v>
      </c>
      <c r="J1048">
        <f t="shared" si="50"/>
        <v>93.68088467614534</v>
      </c>
      <c r="K1048">
        <v>0.9</v>
      </c>
      <c r="L1048">
        <v>0.3</v>
      </c>
      <c r="M1048">
        <v>0.7</v>
      </c>
      <c r="N1048">
        <v>593</v>
      </c>
      <c r="O1048">
        <v>39</v>
      </c>
      <c r="P1048">
        <v>1</v>
      </c>
      <c r="Q1048">
        <v>6.32</v>
      </c>
      <c r="R1048" t="s">
        <v>383</v>
      </c>
      <c r="S1048">
        <v>0.15</v>
      </c>
      <c r="U1048">
        <v>82</v>
      </c>
    </row>
    <row r="1049" spans="1:21" x14ac:dyDescent="0.25">
      <c r="A1049" s="2">
        <v>46045.835578703707</v>
      </c>
      <c r="B1049" t="s">
        <v>309</v>
      </c>
      <c r="C1049" t="s">
        <v>372</v>
      </c>
      <c r="D1049">
        <v>3</v>
      </c>
      <c r="E1049" t="s">
        <v>137</v>
      </c>
      <c r="F1049" t="s">
        <v>373</v>
      </c>
      <c r="G1049">
        <f t="shared" si="48"/>
        <v>82.753824756606392</v>
      </c>
      <c r="H1049">
        <f t="shared" si="49"/>
        <v>1.3908205841446455</v>
      </c>
      <c r="I1049">
        <v>43.83</v>
      </c>
      <c r="J1049">
        <f t="shared" si="50"/>
        <v>15.855354659248958</v>
      </c>
      <c r="K1049">
        <v>0.9</v>
      </c>
      <c r="L1049">
        <v>0.3</v>
      </c>
      <c r="M1049">
        <v>0.7</v>
      </c>
      <c r="N1049">
        <v>114</v>
      </c>
      <c r="O1049">
        <v>595</v>
      </c>
      <c r="P1049">
        <v>10</v>
      </c>
      <c r="Q1049">
        <v>84.14</v>
      </c>
      <c r="R1049" t="s">
        <v>389</v>
      </c>
      <c r="S1049">
        <v>2.52</v>
      </c>
      <c r="U1049">
        <v>33</v>
      </c>
    </row>
    <row r="1050" spans="1:21" x14ac:dyDescent="0.25">
      <c r="A1050" s="2">
        <v>46045.836041666669</v>
      </c>
      <c r="B1050" t="s">
        <v>309</v>
      </c>
      <c r="C1050" t="s">
        <v>372</v>
      </c>
      <c r="D1050">
        <v>3</v>
      </c>
      <c r="E1050" t="s">
        <v>162</v>
      </c>
      <c r="F1050" t="s">
        <v>373</v>
      </c>
      <c r="G1050">
        <f t="shared" si="48"/>
        <v>1.0355029585798818</v>
      </c>
      <c r="H1050">
        <f t="shared" si="49"/>
        <v>0</v>
      </c>
      <c r="I1050">
        <v>43.83</v>
      </c>
      <c r="J1050">
        <f t="shared" si="50"/>
        <v>98.964497041420117</v>
      </c>
      <c r="K1050">
        <v>0.9</v>
      </c>
      <c r="L1050">
        <v>0.3</v>
      </c>
      <c r="M1050">
        <v>0.7</v>
      </c>
      <c r="N1050">
        <v>669</v>
      </c>
      <c r="O1050">
        <v>7</v>
      </c>
      <c r="P1050">
        <v>0</v>
      </c>
      <c r="Q1050">
        <v>1.04</v>
      </c>
      <c r="R1050" t="s">
        <v>383</v>
      </c>
      <c r="S1050">
        <v>0.03</v>
      </c>
      <c r="U1050">
        <v>17</v>
      </c>
    </row>
    <row r="1051" spans="1:21" x14ac:dyDescent="0.25">
      <c r="A1051" s="2">
        <v>46045.836377314816</v>
      </c>
      <c r="B1051" t="s">
        <v>309</v>
      </c>
      <c r="C1051" t="s">
        <v>372</v>
      </c>
      <c r="D1051">
        <v>3</v>
      </c>
      <c r="E1051" t="s">
        <v>179</v>
      </c>
      <c r="F1051" t="s">
        <v>373</v>
      </c>
      <c r="G1051">
        <f t="shared" si="48"/>
        <v>17.450682852807283</v>
      </c>
      <c r="H1051">
        <f t="shared" si="49"/>
        <v>0</v>
      </c>
      <c r="I1051">
        <v>43.83</v>
      </c>
      <c r="J1051">
        <f t="shared" si="50"/>
        <v>82.54931714719271</v>
      </c>
      <c r="K1051">
        <v>0.9</v>
      </c>
      <c r="L1051">
        <v>0.3</v>
      </c>
      <c r="M1051">
        <v>0.7</v>
      </c>
      <c r="N1051">
        <v>544</v>
      </c>
      <c r="O1051">
        <v>115</v>
      </c>
      <c r="P1051">
        <v>0</v>
      </c>
      <c r="Q1051">
        <v>17.45</v>
      </c>
      <c r="R1051" t="s">
        <v>382</v>
      </c>
      <c r="S1051">
        <v>0.48</v>
      </c>
      <c r="U1051">
        <v>65</v>
      </c>
    </row>
    <row r="1052" spans="1:21" x14ac:dyDescent="0.25">
      <c r="A1052" s="2">
        <v>46045.836724537039</v>
      </c>
      <c r="B1052" t="s">
        <v>309</v>
      </c>
      <c r="C1052" t="s">
        <v>372</v>
      </c>
      <c r="D1052">
        <v>3</v>
      </c>
      <c r="E1052" t="s">
        <v>204</v>
      </c>
      <c r="F1052" t="s">
        <v>373</v>
      </c>
      <c r="G1052">
        <f t="shared" si="48"/>
        <v>0.90744101633393837</v>
      </c>
      <c r="H1052">
        <f t="shared" si="49"/>
        <v>0</v>
      </c>
      <c r="I1052">
        <v>43.83</v>
      </c>
      <c r="J1052">
        <f t="shared" si="50"/>
        <v>99.092558983666052</v>
      </c>
      <c r="K1052">
        <v>0.9</v>
      </c>
      <c r="L1052">
        <v>0.3</v>
      </c>
      <c r="M1052">
        <v>0.7</v>
      </c>
      <c r="N1052">
        <v>546</v>
      </c>
      <c r="O1052">
        <v>5</v>
      </c>
      <c r="P1052">
        <v>0</v>
      </c>
      <c r="Q1052">
        <v>0.91</v>
      </c>
      <c r="R1052" t="s">
        <v>376</v>
      </c>
      <c r="S1052">
        <v>0.02</v>
      </c>
      <c r="U1052">
        <v>17</v>
      </c>
    </row>
    <row r="1053" spans="1:21" x14ac:dyDescent="0.25">
      <c r="A1053" s="2">
        <v>46045.837013888886</v>
      </c>
      <c r="B1053" t="s">
        <v>309</v>
      </c>
      <c r="C1053" t="s">
        <v>372</v>
      </c>
      <c r="D1053">
        <v>3</v>
      </c>
      <c r="E1053" t="s">
        <v>207</v>
      </c>
      <c r="F1053" t="s">
        <v>373</v>
      </c>
      <c r="G1053">
        <f t="shared" si="48"/>
        <v>6.091370558375635</v>
      </c>
      <c r="H1053">
        <f t="shared" si="49"/>
        <v>0</v>
      </c>
      <c r="I1053">
        <v>43.83</v>
      </c>
      <c r="J1053">
        <f t="shared" si="50"/>
        <v>93.90862944162437</v>
      </c>
      <c r="K1053">
        <v>0.9</v>
      </c>
      <c r="L1053">
        <v>0.3</v>
      </c>
      <c r="M1053">
        <v>0.7</v>
      </c>
      <c r="N1053">
        <v>555</v>
      </c>
      <c r="O1053">
        <v>36</v>
      </c>
      <c r="P1053">
        <v>0</v>
      </c>
      <c r="Q1053">
        <v>6.09</v>
      </c>
      <c r="R1053" t="s">
        <v>375</v>
      </c>
      <c r="S1053">
        <v>0.17</v>
      </c>
      <c r="U1053">
        <v>45</v>
      </c>
    </row>
    <row r="1054" spans="1:21" x14ac:dyDescent="0.25">
      <c r="A1054" s="2">
        <v>46045.837326388886</v>
      </c>
      <c r="B1054" t="s">
        <v>309</v>
      </c>
      <c r="C1054" t="s">
        <v>372</v>
      </c>
      <c r="D1054">
        <v>3</v>
      </c>
      <c r="E1054" t="s">
        <v>212</v>
      </c>
      <c r="F1054" t="s">
        <v>373</v>
      </c>
      <c r="G1054">
        <f t="shared" si="48"/>
        <v>41.347626339969374</v>
      </c>
      <c r="H1054">
        <f t="shared" si="49"/>
        <v>0.91883614088820831</v>
      </c>
      <c r="I1054">
        <v>43.83</v>
      </c>
      <c r="J1054">
        <f t="shared" si="50"/>
        <v>57.733537519142416</v>
      </c>
      <c r="K1054">
        <v>0.9</v>
      </c>
      <c r="L1054">
        <v>0.3</v>
      </c>
      <c r="M1054">
        <v>0.7</v>
      </c>
      <c r="N1054">
        <v>377</v>
      </c>
      <c r="O1054">
        <v>270</v>
      </c>
      <c r="P1054">
        <v>6</v>
      </c>
      <c r="Q1054">
        <v>42.27</v>
      </c>
      <c r="R1054" t="s">
        <v>295</v>
      </c>
      <c r="S1054">
        <v>1.1499999999999999</v>
      </c>
      <c r="U105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Wiseman</dc:creator>
  <cp:keywords/>
  <dc:description/>
  <cp:lastModifiedBy>Wiseman, Michele S</cp:lastModifiedBy>
  <cp:revision/>
  <dcterms:created xsi:type="dcterms:W3CDTF">2023-11-27T18:02:57Z</dcterms:created>
  <dcterms:modified xsi:type="dcterms:W3CDTF">2026-02-02T20:39:22Z</dcterms:modified>
  <cp:category/>
  <cp:contentStatus/>
</cp:coreProperties>
</file>